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hidePivotFieldList="1"/>
  <mc:AlternateContent xmlns:mc="http://schemas.openxmlformats.org/markup-compatibility/2006">
    <mc:Choice Requires="x15">
      <x15ac:absPath xmlns:x15ac="http://schemas.microsoft.com/office/spreadsheetml/2010/11/ac" url="/Users/karroumi/Desktop/Améliorez_un_suivi_d'activité_des entrepôts_d'une_entreprise_karroumi_manale  2 2/"/>
    </mc:Choice>
  </mc:AlternateContent>
  <xr:revisionPtr revIDLastSave="0" documentId="13_ncr:1_{79024A82-FB94-2441-A0A0-9745B129951D}" xr6:coauthVersionLast="47" xr6:coauthVersionMax="47" xr10:uidLastSave="{00000000-0000-0000-0000-000000000000}"/>
  <bookViews>
    <workbookView xWindow="0" yWindow="500" windowWidth="25600" windowHeight="15500" firstSheet="2" activeTab="5" xr2:uid="{00000000-000D-0000-FFFF-FFFF00000000}"/>
  </bookViews>
  <sheets>
    <sheet name="Catégorie des articles" sheetId="1" r:id="rId1"/>
    <sheet name="Commandes (CDE)" sheetId="2" r:id="rId2"/>
    <sheet name="Réception" sheetId="3" r:id="rId3"/>
    <sheet name="Expéditions" sheetId="4" r:id="rId4"/>
    <sheet name="Etape-1" sheetId="53" r:id="rId5"/>
    <sheet name="Etape1-2" sheetId="5" r:id="rId6"/>
    <sheet name="Etape2" sheetId="11" r:id="rId7"/>
    <sheet name="Etape3" sheetId="40" r:id="rId8"/>
    <sheet name="Etape4-1" sheetId="49" r:id="rId9"/>
    <sheet name="Etape4_2" sheetId="50" r:id="rId10"/>
    <sheet name="Etape5-1" sheetId="54" r:id="rId11"/>
    <sheet name="Etape5-2" sheetId="36" r:id="rId12"/>
    <sheet name="Etape6-1" sheetId="46" r:id="rId13"/>
    <sheet name="Etape 6" sheetId="47" r:id="rId14"/>
  </sheets>
  <definedNames>
    <definedName name="_xlnm._FilterDatabase" localSheetId="0" hidden="1">'Catégorie des articles'!$A$1:$E$1000</definedName>
    <definedName name="_xlnm._FilterDatabase" localSheetId="1" hidden="1">'Commandes (CDE)'!$A$1:$E$2349</definedName>
    <definedName name="_xlnm._FilterDatabase" localSheetId="3" hidden="1">Expéditions!$A$1:$F$999</definedName>
    <definedName name="_xlnm._FilterDatabase" localSheetId="2" hidden="1">Réception!$A$1:$D$2159</definedName>
    <definedName name="DonnéesExternes_1" localSheetId="10" hidden="1">'Etape5-1'!$A$1:$B$11</definedName>
    <definedName name="DonnéesExternes_1" localSheetId="12" hidden="1">'Etape6-1'!$A$1:$D$973</definedName>
    <definedName name="DonnéesExternes_2" localSheetId="8" hidden="1">'Etape4-1'!$A$1:$D$47</definedName>
    <definedName name="Segment_Famille_de_Produit">#N/A</definedName>
    <definedName name="Segment_Famille_de_Produit1">#N/A</definedName>
    <definedName name="Segment_Famille_de_Produit3">#N/A</definedName>
  </definedNames>
  <calcPr calcId="191029"/>
  <pivotCaches>
    <pivotCache cacheId="116" r:id="rId15"/>
    <pivotCache cacheId="117" r:id="rId16"/>
    <pivotCache cacheId="118" r:id="rId17"/>
    <pivotCache cacheId="119" r:id="rId18"/>
    <pivotCache cacheId="120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50" l="1"/>
  <c r="B16" i="50"/>
  <c r="B22" i="50"/>
  <c r="D17" i="5"/>
  <c r="C17" i="5"/>
  <c r="B17" i="5"/>
  <c r="D16" i="5"/>
  <c r="C16" i="5"/>
  <c r="B16" i="5"/>
  <c r="B17" i="53"/>
  <c r="B18" i="53"/>
  <c r="B19" i="47"/>
  <c r="B17" i="47"/>
  <c r="B19" i="40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" i="2"/>
  <c r="B20" i="36"/>
  <c r="B21" i="11"/>
  <c r="B20" i="40"/>
  <c r="D5" i="47"/>
  <c r="D6" i="47"/>
  <c r="D7" i="47"/>
  <c r="D8" i="47"/>
  <c r="D9" i="47"/>
  <c r="D10" i="47"/>
  <c r="D11" i="47"/>
  <c r="D12" i="47"/>
  <c r="D4" i="47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2" i="4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2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" i="3"/>
  <c r="G3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0DC86-79AA-4A4F-8C78-6AE0B077CC81}" keepAlive="1" name="Requête - Catégorie des articles" description="Connexion à la requête « Catégorie des articles » dans le classeur." type="5" refreshedVersion="8" background="1" saveData="1">
    <dbPr connection="Provider=Microsoft.Mashup.OleDb.1;Data Source=$Workbook$;Location=&quot;Catégorie des articles&quot;;Extended Properties=&quot;&quot;" command="SELECT * FROM [Catégorie des articles]"/>
  </connection>
  <connection id="2" xr16:uid="{9E349830-2331-9D47-B251-FB00262805FB}" keepAlive="1" name="Requête - Commandes (CDE) (2)" description="Connexion à la requête « Commandes (CDE) (2) » dans le classeur." type="5" refreshedVersion="8" background="1" saveData="1">
    <dbPr connection="Provider=Microsoft.Mashup.OleDb.1;Data Source=$Workbook$;Location=&quot;Commandes (CDE) (2)&quot;;Extended Properties=&quot;&quot;" command="SELECT * FROM [Commandes (CDE) (2)]"/>
  </connection>
  <connection id="3" xr16:uid="{7C61968E-F6A7-A24F-A3E0-C8E25409B774}" keepAlive="1" name="Requête - Expéditions (2)" description="Connexion à la requête « Expéditions (2) » dans le classeur." type="5" refreshedVersion="8" background="1" saveData="1">
    <dbPr connection="Provider=Microsoft.Mashup.OleDb.1;Data Source=$Workbook$;Location=&quot;Expéditions (2)&quot;;Extended Properties=&quot;&quot;" command="SELECT * FROM [Expéditions (2)]"/>
  </connection>
  <connection id="4" xr16:uid="{23A8FCB1-201C-9D46-944B-02A44788310E}" keepAlive="1" name="Requête - Expéditions(1)" description="Connexion à la requête « Expéditions » dans le classeur." type="5" refreshedVersion="8" background="1" saveData="1">
    <dbPr connection="Provider=Microsoft.Mashup.OleDb.1;Data Source=$Workbook$;Location=Expéditions;Extended Properties=&quot;&quot;" command="SELECT * FROM [Expéditions]"/>
  </connection>
  <connection id="5" xr16:uid="{89B59D6D-DC4C-2945-8A26-E07DDA56D7F0}" keepAlive="1" name="Requête - Réception" description="Connexion à la requête « Réception » dans le classeur." type="5" refreshedVersion="8" background="1" saveData="1">
    <dbPr connection="Provider=Microsoft.Mashup.OleDb.1;Data Source=$Workbook$;Location=Réception;Extended Properties=&quot;&quot;" command="SELECT * FROM [Réception]"/>
  </connection>
  <connection id="6" xr16:uid="{67451784-11BE-9F46-BB5A-859B161855D6}" keepAlive="1" name="Requête - Réception (2)" description="Connexion à la requête « Réception (2) » dans le classeur." type="5" refreshedVersion="8" background="1" saveData="1">
    <dbPr connection="Provider=Microsoft.Mashup.OleDb.1;Data Source=$Workbook$;Location=&quot;Réception (2)&quot;;Extended Properties=&quot;&quot;" command="SELECT * FROM [Réception (2)]"/>
  </connection>
  <connection id="7" xr16:uid="{28A1203B-921E-EE41-86BD-6F07B0D488AD}" keepAlive="1" name="Requête - Réception (3)" description="Connexion à la requête « Réception (3) » dans le classeur." type="5" refreshedVersion="8" background="1" saveData="1">
    <dbPr connection="Provider=Microsoft.Mashup.OleDb.1;Data Source=$Workbook$;Location=&quot;Réception (3)&quot;;Extended Properties=&quot;&quot;" command="SELECT * FROM [Réception (3)]"/>
  </connection>
  <connection id="8" xr16:uid="{C9445CC7-8584-C34D-9B8A-EDC6B85BACD9}" keepAlive="1" name="Requête - Réception (4)" description="Connexion à la requête « Réception (4) » dans le classeur." type="5" refreshedVersion="8" background="1" saveData="1">
    <dbPr connection="Provider=Microsoft.Mashup.OleDb.1;Data Source=$Workbook$;Location=&quot;Réception (4)&quot;;Extended Properties=&quot;&quot;" command="SELECT * FROM [Réception (4)]"/>
  </connection>
  <connection id="9" xr16:uid="{3A3675F5-BF28-BC4B-A10A-CBFBC3F87F24}" keepAlive="1" name="Requête - Réception (5)" description="Connexion à la requête « Réception (5) » dans le classeur." type="5" refreshedVersion="8" background="1" saveData="1">
    <dbPr connection="Provider=Microsoft.Mashup.OleDb.1;Data Source=$Workbook$;Location=&quot;Réception (5)&quot;;Extended Properties=&quot;&quot;" command="SELECT * FROM [Réception (5)]"/>
  </connection>
</connections>
</file>

<file path=xl/sharedStrings.xml><?xml version="1.0" encoding="utf-8"?>
<sst xmlns="http://schemas.openxmlformats.org/spreadsheetml/2006/main" count="780" uniqueCount="200">
  <si>
    <t>Code EAN</t>
  </si>
  <si>
    <t>Désignation</t>
  </si>
  <si>
    <t>Type de Produit</t>
  </si>
  <si>
    <t>Famille de Produit</t>
  </si>
  <si>
    <t>Unite de Stockage</t>
  </si>
  <si>
    <t>BUN 4.5P</t>
  </si>
  <si>
    <t>Surgelé</t>
  </si>
  <si>
    <t>BOULANGERIE</t>
  </si>
  <si>
    <t>UVC</t>
  </si>
  <si>
    <t>BUNS MAXI</t>
  </si>
  <si>
    <t>BUN RECTAN</t>
  </si>
  <si>
    <t>BUN BRILLA</t>
  </si>
  <si>
    <t>Frais</t>
  </si>
  <si>
    <t>BUN PREMIU</t>
  </si>
  <si>
    <t xml:space="preserve">CROISSANT </t>
  </si>
  <si>
    <t>DBL MORICE</t>
  </si>
  <si>
    <t>DEMI BAGUE</t>
  </si>
  <si>
    <t>PAIN BURGE</t>
  </si>
  <si>
    <t>BRETZEL CU</t>
  </si>
  <si>
    <t>PAIN LAIT</t>
  </si>
  <si>
    <t>Sec</t>
  </si>
  <si>
    <t>BATON FRUI</t>
  </si>
  <si>
    <t>PAIN LOSAN</t>
  </si>
  <si>
    <t>PAIN STICK</t>
  </si>
  <si>
    <t>PAIN GRIS</t>
  </si>
  <si>
    <t>PAIN MIE</t>
  </si>
  <si>
    <t>PAIN CAMPA</t>
  </si>
  <si>
    <t>BUN SESAME</t>
  </si>
  <si>
    <t>BUN POTIRO</t>
  </si>
  <si>
    <t>PAIN L'AIL</t>
  </si>
  <si>
    <t>BRIOCHE PR</t>
  </si>
  <si>
    <t>TIGELLE 35</t>
  </si>
  <si>
    <t>PAIN HOT</t>
  </si>
  <si>
    <t>PAIN BUN</t>
  </si>
  <si>
    <t>BUN VEGAN</t>
  </si>
  <si>
    <t>PAIN SEIGL</t>
  </si>
  <si>
    <t>TOFU NATUR</t>
  </si>
  <si>
    <t>CREMERIE</t>
  </si>
  <si>
    <t>LAIT 44593</t>
  </si>
  <si>
    <t>BOISSON SO</t>
  </si>
  <si>
    <t>CHEDDAR OR</t>
  </si>
  <si>
    <t>EMMENTAL F</t>
  </si>
  <si>
    <t>YAOURT FRA</t>
  </si>
  <si>
    <t>YAOURT LAC</t>
  </si>
  <si>
    <t>YAOURT BIF</t>
  </si>
  <si>
    <t>BEURRE DOU</t>
  </si>
  <si>
    <t>BEURRE DEM</t>
  </si>
  <si>
    <t>OEUF NEIGE</t>
  </si>
  <si>
    <t>FROMAGE BL</t>
  </si>
  <si>
    <t>OEUF LIQUI</t>
  </si>
  <si>
    <t>YAG YAOS</t>
  </si>
  <si>
    <t>YAG S/LIT</t>
  </si>
  <si>
    <t>OEUF PLEIN</t>
  </si>
  <si>
    <t>OEUF ENTIE</t>
  </si>
  <si>
    <t>JAUNE LIQU</t>
  </si>
  <si>
    <t>MOZZARELLA</t>
  </si>
  <si>
    <t>OEUF FRAIS</t>
  </si>
  <si>
    <t>YOP FRAISE</t>
  </si>
  <si>
    <t>PETIT YOPL</t>
  </si>
  <si>
    <t>OEUF BROUI</t>
  </si>
  <si>
    <t>LAIT ECREM</t>
  </si>
  <si>
    <t>BURRATA PO</t>
  </si>
  <si>
    <t>STRACCIATE</t>
  </si>
  <si>
    <t>PARMESAN C</t>
  </si>
  <si>
    <t>DESSERT CH</t>
  </si>
  <si>
    <t>PEPPER TR2</t>
  </si>
  <si>
    <t>CHEDDAR FO</t>
  </si>
  <si>
    <t>MANCHEGO P</t>
  </si>
  <si>
    <t>EMMENTAL J</t>
  </si>
  <si>
    <t>CHEDDAR RG</t>
  </si>
  <si>
    <t>GOUDA PORT</t>
  </si>
  <si>
    <t>EMMENTAL P</t>
  </si>
  <si>
    <t>FRUITE POI</t>
  </si>
  <si>
    <t>CHEDDAR PO</t>
  </si>
  <si>
    <t>MONTEREY T</t>
  </si>
  <si>
    <t>PEPPER JAC</t>
  </si>
  <si>
    <t>MONTEREY J</t>
  </si>
  <si>
    <t>HARICOT FA</t>
  </si>
  <si>
    <t>MIX LEGUMES</t>
  </si>
  <si>
    <t>POELEE FOR</t>
  </si>
  <si>
    <t>POELEE GOU</t>
  </si>
  <si>
    <t>MAIS EPIS</t>
  </si>
  <si>
    <t>LEGUME PLA</t>
  </si>
  <si>
    <t>LEGUME TEM</t>
  </si>
  <si>
    <t>PATATE DOU</t>
  </si>
  <si>
    <t>SNAP PEAS</t>
  </si>
  <si>
    <t>DUO HARICO</t>
  </si>
  <si>
    <t>BROCOLI FL</t>
  </si>
  <si>
    <t>FRITE SUPE</t>
  </si>
  <si>
    <t>CHEF TRADE</t>
  </si>
  <si>
    <t>FRITE MAIS</t>
  </si>
  <si>
    <t>FRITE REGU</t>
  </si>
  <si>
    <t>ROSTI MINI</t>
  </si>
  <si>
    <t>TRIANGLE M</t>
  </si>
  <si>
    <t>PDT TRADIT</t>
  </si>
  <si>
    <t>CRISPY SLI</t>
  </si>
  <si>
    <t>FRITE YELL</t>
  </si>
  <si>
    <t>FRITE ZIGG</t>
  </si>
  <si>
    <t>CEPE BOUCH</t>
  </si>
  <si>
    <t>POELEE CHA</t>
  </si>
  <si>
    <t>CEPE LAMEL</t>
  </si>
  <si>
    <t>MORILLE MR</t>
  </si>
  <si>
    <t>POELEE EPA</t>
  </si>
  <si>
    <t>PLEUROTE P</t>
  </si>
  <si>
    <t>HARICOT BO</t>
  </si>
  <si>
    <t>FRITE SURE</t>
  </si>
  <si>
    <t>BREADED MO</t>
  </si>
  <si>
    <t>CRUNCHY PE</t>
  </si>
  <si>
    <t>BEIGNET OI</t>
  </si>
  <si>
    <t>MELANGE 3L</t>
  </si>
  <si>
    <t>ECHALOTE 2</t>
  </si>
  <si>
    <t>AIL HACHEE</t>
  </si>
  <si>
    <t>ASPERGE VR</t>
  </si>
  <si>
    <t>BASILIC 25</t>
  </si>
  <si>
    <t>PERSIL 250</t>
  </si>
  <si>
    <t xml:space="preserve">AUBERGINE </t>
  </si>
  <si>
    <t>ASPERGE VE</t>
  </si>
  <si>
    <t>BANANE PLA</t>
  </si>
  <si>
    <t>CAROTTE TE</t>
  </si>
  <si>
    <t xml:space="preserve">COURGETTE </t>
  </si>
  <si>
    <t>ANANAS TRO</t>
  </si>
  <si>
    <t>COUPELLE T</t>
  </si>
  <si>
    <t>PECHE JUS</t>
  </si>
  <si>
    <t>BTE PIZZA</t>
  </si>
  <si>
    <t>EMBALLAGES</t>
  </si>
  <si>
    <t>GODET 15CL</t>
  </si>
  <si>
    <t>GODET GO85</t>
  </si>
  <si>
    <t>TARTELETTE</t>
  </si>
  <si>
    <t>PIC BAMBOU</t>
  </si>
  <si>
    <t>COUTEAU FO</t>
  </si>
  <si>
    <t>COUTEAU KR</t>
  </si>
  <si>
    <t>FOURCHETTE</t>
  </si>
  <si>
    <t>GRDE CUILL</t>
  </si>
  <si>
    <t>RINCE DOIG</t>
  </si>
  <si>
    <t>WRAP PAPER</t>
  </si>
  <si>
    <t>PAPIER GEN</t>
  </si>
  <si>
    <t>PAPIER HAL</t>
  </si>
  <si>
    <t>PAPIER BUR</t>
  </si>
  <si>
    <t>PAPIER ING</t>
  </si>
  <si>
    <t>CRAYON COU</t>
  </si>
  <si>
    <t>BTE HOTDOG</t>
  </si>
  <si>
    <t>BTE HOT</t>
  </si>
  <si>
    <t>POT 44622</t>
  </si>
  <si>
    <t>DINDE FOND</t>
  </si>
  <si>
    <t>VOLAILLE</t>
  </si>
  <si>
    <t>PLT PANE</t>
  </si>
  <si>
    <t>PLT MANCHO</t>
  </si>
  <si>
    <t>PLT BOUCHE</t>
  </si>
  <si>
    <t>PLT CUIT</t>
  </si>
  <si>
    <t>POULET MAN</t>
  </si>
  <si>
    <t>PLT YASSA</t>
  </si>
  <si>
    <t>PLT NUGGET</t>
  </si>
  <si>
    <t>PLT ROTI</t>
  </si>
  <si>
    <t>Date de Passation de CDE</t>
  </si>
  <si>
    <t>Num CDE</t>
  </si>
  <si>
    <t>Article Commande</t>
  </si>
  <si>
    <t>Date de Livraison prévue</t>
  </si>
  <si>
    <t>Qte Commandee (UVC)</t>
  </si>
  <si>
    <t>Date de Reception</t>
  </si>
  <si>
    <t>Qte receptionnee (UVC)</t>
  </si>
  <si>
    <t>AnnéeMois</t>
  </si>
  <si>
    <t>Codes Produits Achetes</t>
  </si>
  <si>
    <t>Stock Moyen (UVC)</t>
  </si>
  <si>
    <t>Stock Moyen (PMP €)</t>
  </si>
  <si>
    <t>Expeditions (UVC)</t>
  </si>
  <si>
    <t>Étiquettes de lignes</t>
  </si>
  <si>
    <t>Total général</t>
  </si>
  <si>
    <t>Somme de Stock Moyen (UVC)</t>
  </si>
  <si>
    <t>(Tous)</t>
  </si>
  <si>
    <t>Prix (UVC)</t>
  </si>
  <si>
    <t>Moyenne de Prix (UVC)</t>
  </si>
  <si>
    <t>variation</t>
  </si>
  <si>
    <t>Annéemois</t>
  </si>
  <si>
    <t>Taux d'évolution sur la période</t>
  </si>
  <si>
    <t>Ecart Total</t>
  </si>
  <si>
    <t>Nombre de NombreCommandes</t>
  </si>
  <si>
    <t>Référence Stockées</t>
  </si>
  <si>
    <t>Somme de Référence Stockées</t>
  </si>
  <si>
    <t>Quantité Commandées</t>
  </si>
  <si>
    <t>Total-quantité-réceptionnée</t>
  </si>
  <si>
    <t>Somme de Quantité Commandées</t>
  </si>
  <si>
    <t>Taux de service des commandes</t>
  </si>
  <si>
    <t/>
  </si>
  <si>
    <t>Somme de quantité réceptionnées</t>
  </si>
  <si>
    <t>le taux d’évolution sur la période</t>
  </si>
  <si>
    <t>l’écart total</t>
  </si>
  <si>
    <t>(Plusieurs éléments)</t>
  </si>
  <si>
    <t>Taux d'évolution</t>
  </si>
  <si>
    <t>expéditions</t>
  </si>
  <si>
    <t>receptions</t>
  </si>
  <si>
    <t>Somme de receptions</t>
  </si>
  <si>
    <t>Somme de expéditions</t>
  </si>
  <si>
    <t>la variation Absolue</t>
  </si>
  <si>
    <t>Étiquettes de colonnes</t>
  </si>
  <si>
    <t>Ecart</t>
  </si>
  <si>
    <t>Ecart valeur absolue</t>
  </si>
  <si>
    <t>Taux d'écart</t>
  </si>
  <si>
    <t>Nombredecommande</t>
  </si>
  <si>
    <t>Taux écart réception</t>
  </si>
  <si>
    <t>Taux d'écart expédition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</si>
</sst>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#,##0.00\ &quot;€&quot;_);[Red]\(#,##0.00\ &quot;€&quot;\)"/>
    <numFmt numFmtId="164" formatCode="d/m/yyyy"/>
    <numFmt numFmtId="165" formatCode="#,##0.00\ &quot;€&quot;"/>
    <numFmt numFmtId="166" formatCode="_-* #,##0.00\ [$€-40C]_-;\-* #,##0.00\ [$€-40C]_-;_-* &quot;-&quot;??\ [$€-40C]_-;_-@_-"/>
  </numFmts>
  <fonts count="20">
    <font>
      <sz val="10"/>
      <color rgb="FF000000"/>
      <name val="Arial"/>
      <scheme val="minor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9"/>
      <color rgb="FF333333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9"/>
      <color rgb="FFFFFFFF"/>
      <name val="Standard"/>
    </font>
    <font>
      <sz val="9"/>
      <color rgb="FF333333"/>
      <name val="Standard"/>
    </font>
    <font>
      <sz val="10"/>
      <color rgb="FF000000"/>
      <name val="Standard"/>
    </font>
    <font>
      <sz val="9"/>
      <color theme="0"/>
      <name val="Arial"/>
      <family val="2"/>
    </font>
    <font>
      <strike/>
      <sz val="10"/>
      <color theme="1"/>
      <name val="Arial"/>
      <family val="2"/>
      <scheme val="minor"/>
    </font>
    <font>
      <b/>
      <sz val="9"/>
      <color theme="0"/>
      <name val="Arial"/>
      <family val="2"/>
    </font>
    <font>
      <b/>
      <sz val="12"/>
      <color rgb="FF000000"/>
      <name val="Arial (Corps)"/>
    </font>
    <font>
      <b/>
      <sz val="10"/>
      <color theme="0" tint="-0.14999847407452621"/>
      <name val="Arial"/>
      <family val="2"/>
      <scheme val="minor"/>
    </font>
    <font>
      <sz val="11"/>
      <color theme="0" tint="-0.14999847407452621"/>
      <name val="Arial"/>
      <family val="2"/>
      <scheme val="minor"/>
    </font>
    <font>
      <b/>
      <sz val="10"/>
      <color theme="1"/>
      <name val="Arial (Corps)"/>
    </font>
    <font>
      <b/>
      <sz val="14"/>
      <color rgb="FF000000"/>
      <name val="Arial (Corps)"/>
    </font>
    <font>
      <sz val="14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8FBFC"/>
      </patternFill>
    </fill>
    <fill>
      <patternFill patternType="solid">
        <fgColor rgb="FFA8CF8D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5" fillId="0" borderId="3"/>
  </cellStyleXfs>
  <cellXfs count="83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1" fontId="2" fillId="0" borderId="0" xfId="0" applyNumberFormat="1" applyFont="1"/>
    <xf numFmtId="0" fontId="2" fillId="0" borderId="0" xfId="0" applyFont="1"/>
    <xf numFmtId="0" fontId="3" fillId="0" borderId="0" xfId="0" applyFont="1"/>
    <xf numFmtId="164" fontId="4" fillId="3" borderId="2" xfId="0" applyNumberFormat="1" applyFont="1" applyFill="1" applyBorder="1" applyAlignment="1">
      <alignment horizontal="left"/>
    </xf>
    <xf numFmtId="1" fontId="4" fillId="3" borderId="2" xfId="0" applyNumberFormat="1" applyFont="1" applyFill="1" applyBorder="1" applyAlignment="1">
      <alignment horizontal="right"/>
    </xf>
    <xf numFmtId="2" fontId="4" fillId="3" borderId="2" xfId="0" applyNumberFormat="1" applyFont="1" applyFill="1" applyBorder="1" applyAlignment="1">
      <alignment horizontal="right"/>
    </xf>
    <xf numFmtId="164" fontId="4" fillId="4" borderId="2" xfId="0" applyNumberFormat="1" applyFont="1" applyFill="1" applyBorder="1" applyAlignment="1">
      <alignment horizontal="left"/>
    </xf>
    <xf numFmtId="1" fontId="4" fillId="4" borderId="2" xfId="0" applyNumberFormat="1" applyFont="1" applyFill="1" applyBorder="1" applyAlignment="1">
      <alignment horizontal="right"/>
    </xf>
    <xf numFmtId="2" fontId="4" fillId="4" borderId="2" xfId="0" applyNumberFormat="1" applyFont="1" applyFill="1" applyBorder="1" applyAlignment="1">
      <alignment horizontal="right"/>
    </xf>
    <xf numFmtId="0" fontId="4" fillId="3" borderId="3" xfId="0" applyFont="1" applyFill="1" applyBorder="1" applyAlignment="1">
      <alignment horizontal="left" vertical="center" wrapText="1"/>
    </xf>
    <xf numFmtId="1" fontId="4" fillId="3" borderId="2" xfId="0" applyNumberFormat="1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" fontId="4" fillId="4" borderId="2" xfId="0" applyNumberFormat="1" applyFont="1" applyFill="1" applyBorder="1" applyAlignment="1">
      <alignment horizontal="left"/>
    </xf>
    <xf numFmtId="0" fontId="4" fillId="3" borderId="3" xfId="0" applyFont="1" applyFill="1" applyBorder="1" applyAlignment="1">
      <alignment horizontal="left" vertical="top" wrapText="1"/>
    </xf>
    <xf numFmtId="1" fontId="4" fillId="3" borderId="3" xfId="0" applyNumberFormat="1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9" fontId="1" fillId="2" borderId="4" xfId="0" applyNumberFormat="1" applyFont="1" applyFill="1" applyBorder="1" applyAlignment="1">
      <alignment horizontal="left" vertical="center" wrapText="1"/>
    </xf>
    <xf numFmtId="8" fontId="0" fillId="0" borderId="0" xfId="0" applyNumberFormat="1"/>
    <xf numFmtId="9" fontId="0" fillId="0" borderId="0" xfId="1" applyFont="1"/>
    <xf numFmtId="0" fontId="5" fillId="0" borderId="0" xfId="0" applyFont="1"/>
    <xf numFmtId="165" fontId="1" fillId="2" borderId="1" xfId="0" applyNumberFormat="1" applyFont="1" applyFill="1" applyBorder="1" applyAlignment="1">
      <alignment horizontal="left" vertical="center" wrapText="1"/>
    </xf>
    <xf numFmtId="165" fontId="4" fillId="4" borderId="2" xfId="0" applyNumberFormat="1" applyFont="1" applyFill="1" applyBorder="1" applyAlignment="1">
      <alignment horizontal="right"/>
    </xf>
    <xf numFmtId="165" fontId="4" fillId="3" borderId="3" xfId="0" applyNumberFormat="1" applyFont="1" applyFill="1" applyBorder="1" applyAlignment="1">
      <alignment horizontal="left"/>
    </xf>
    <xf numFmtId="165" fontId="0" fillId="0" borderId="0" xfId="0" applyNumberFormat="1"/>
    <xf numFmtId="0" fontId="6" fillId="0" borderId="5" xfId="0" applyFont="1" applyBorder="1"/>
    <xf numFmtId="9" fontId="0" fillId="0" borderId="6" xfId="1" applyFont="1" applyBorder="1"/>
    <xf numFmtId="49" fontId="7" fillId="2" borderId="1" xfId="0" applyNumberFormat="1" applyFont="1" applyFill="1" applyBorder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left"/>
    </xf>
    <xf numFmtId="164" fontId="8" fillId="4" borderId="2" xfId="0" applyNumberFormat="1" applyFont="1" applyFill="1" applyBorder="1" applyAlignment="1">
      <alignment horizontal="left"/>
    </xf>
    <xf numFmtId="0" fontId="9" fillId="0" borderId="0" xfId="0" applyFont="1"/>
    <xf numFmtId="0" fontId="10" fillId="5" borderId="3" xfId="0" applyFont="1" applyFill="1" applyBorder="1" applyAlignment="1">
      <alignment horizontal="left" vertical="center" wrapText="1"/>
    </xf>
    <xf numFmtId="0" fontId="5" fillId="0" borderId="5" xfId="0" applyFont="1" applyBorder="1"/>
    <xf numFmtId="1" fontId="0" fillId="0" borderId="0" xfId="0" applyNumberFormat="1" applyAlignment="1">
      <alignment horizontal="left"/>
    </xf>
    <xf numFmtId="0" fontId="11" fillId="0" borderId="0" xfId="0" applyFont="1"/>
    <xf numFmtId="0" fontId="0" fillId="0" borderId="6" xfId="0" applyBorder="1"/>
    <xf numFmtId="166" fontId="0" fillId="0" borderId="0" xfId="0" applyNumberFormat="1"/>
    <xf numFmtId="0" fontId="12" fillId="5" borderId="3" xfId="0" applyFont="1" applyFill="1" applyBorder="1" applyAlignment="1">
      <alignment horizontal="center" vertical="center" wrapText="1"/>
    </xf>
    <xf numFmtId="9" fontId="5" fillId="0" borderId="0" xfId="1" applyFont="1"/>
    <xf numFmtId="0" fontId="6" fillId="6" borderId="0" xfId="0" applyFont="1" applyFill="1"/>
    <xf numFmtId="8" fontId="5" fillId="0" borderId="0" xfId="0" quotePrefix="1" applyNumberFormat="1" applyFont="1"/>
    <xf numFmtId="2" fontId="0" fillId="0" borderId="0" xfId="0" applyNumberFormat="1"/>
    <xf numFmtId="0" fontId="5" fillId="0" borderId="0" xfId="1" applyNumberFormat="1" applyFont="1"/>
    <xf numFmtId="9" fontId="5" fillId="0" borderId="6" xfId="1" applyFont="1" applyBorder="1"/>
    <xf numFmtId="0" fontId="13" fillId="0" borderId="5" xfId="0" applyFont="1" applyBorder="1"/>
    <xf numFmtId="0" fontId="6" fillId="0" borderId="3" xfId="0" applyFont="1" applyBorder="1"/>
    <xf numFmtId="0" fontId="15" fillId="0" borderId="0" xfId="0" applyFont="1"/>
    <xf numFmtId="9" fontId="14" fillId="7" borderId="9" xfId="1" applyFont="1" applyFill="1" applyBorder="1"/>
    <xf numFmtId="9" fontId="5" fillId="0" borderId="8" xfId="1" applyFont="1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/>
    <xf numFmtId="2" fontId="5" fillId="0" borderId="7" xfId="1" applyNumberFormat="1" applyFont="1" applyBorder="1" applyAlignment="1">
      <alignment wrapText="1"/>
    </xf>
    <xf numFmtId="10" fontId="0" fillId="0" borderId="3" xfId="0" applyNumberFormat="1" applyBorder="1"/>
    <xf numFmtId="0" fontId="16" fillId="0" borderId="3" xfId="0" applyFont="1" applyBorder="1"/>
    <xf numFmtId="2" fontId="5" fillId="0" borderId="6" xfId="1" applyNumberFormat="1" applyFont="1" applyBorder="1"/>
    <xf numFmtId="0" fontId="17" fillId="0" borderId="5" xfId="0" applyFont="1" applyBorder="1"/>
    <xf numFmtId="0" fontId="18" fillId="0" borderId="6" xfId="0" applyFont="1" applyBorder="1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3" xfId="1" applyNumberFormat="1" applyFont="1" applyBorder="1"/>
    <xf numFmtId="0" fontId="5" fillId="0" borderId="3" xfId="0" applyFont="1" applyBorder="1"/>
    <xf numFmtId="9" fontId="0" fillId="0" borderId="3" xfId="1" applyFont="1" applyBorder="1"/>
    <xf numFmtId="0" fontId="6" fillId="0" borderId="0" xfId="0" applyFont="1"/>
    <xf numFmtId="10" fontId="6" fillId="0" borderId="6" xfId="0" applyNumberFormat="1" applyFont="1" applyBorder="1"/>
    <xf numFmtId="0" fontId="6" fillId="0" borderId="6" xfId="0" applyFont="1" applyBorder="1"/>
    <xf numFmtId="9" fontId="0" fillId="0" borderId="10" xfId="1" applyFont="1" applyBorder="1"/>
    <xf numFmtId="9" fontId="0" fillId="0" borderId="11" xfId="1" applyFont="1" applyBorder="1"/>
    <xf numFmtId="9" fontId="0" fillId="0" borderId="12" xfId="1" applyFont="1" applyBorder="1"/>
    <xf numFmtId="0" fontId="5" fillId="0" borderId="13" xfId="0" applyFont="1" applyBorder="1"/>
    <xf numFmtId="0" fontId="5" fillId="0" borderId="7" xfId="0" applyFont="1" applyBorder="1"/>
    <xf numFmtId="0" fontId="0" fillId="0" borderId="5" xfId="0" applyBorder="1"/>
    <xf numFmtId="0" fontId="0" fillId="0" borderId="14" xfId="0" applyBorder="1"/>
    <xf numFmtId="0" fontId="0" fillId="0" borderId="0" xfId="0" applyNumberFormat="1"/>
    <xf numFmtId="0" fontId="18" fillId="0" borderId="0" xfId="0" applyNumberFormat="1" applyFont="1"/>
    <xf numFmtId="0" fontId="19" fillId="0" borderId="10" xfId="0" applyFont="1" applyBorder="1"/>
    <xf numFmtId="9" fontId="19" fillId="0" borderId="12" xfId="1" applyFont="1" applyBorder="1"/>
    <xf numFmtId="0" fontId="19" fillId="0" borderId="5" xfId="0" applyFont="1" applyBorder="1"/>
    <xf numFmtId="9" fontId="19" fillId="0" borderId="6" xfId="1" applyFont="1" applyBorder="1"/>
  </cellXfs>
  <cellStyles count="3">
    <cellStyle name="Normal" xfId="0" builtinId="0"/>
    <cellStyle name="Normal 2" xfId="2" xr:uid="{503031D9-4EAE-8744-93E3-A60FC56922AD}"/>
    <cellStyle name="Pourcentage" xfId="1" builtinId="5"/>
  </cellStyles>
  <dxfs count="25">
    <dxf>
      <border>
        <right style="thin">
          <color theme="0" tint="-0.14999847407452621"/>
        </right>
      </border>
    </dxf>
    <dxf>
      <border>
        <bottom style="thin">
          <color theme="0" tint="-0.14999847407452621"/>
        </bottom>
      </border>
    </dxf>
    <dxf>
      <border>
        <bottom style="thin">
          <color theme="0" tint="-0.14999847407452621"/>
        </bottom>
      </border>
    </dxf>
    <dxf>
      <border>
        <bottom style="thin">
          <color theme="0" tint="-0.14999847407452621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6" formatCode="_-* #,##0.00\ [$€-40C]_-;\-* #,##0.00\ [$€-40C]_-;_-* &quot;-&quot;??\ [$€-4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rgb="FFFFFFFF"/>
          <bgColor rgb="FFA8CF8D"/>
        </patternFill>
      </fill>
      <alignment horizontal="center" vertical="center" textRotation="0" wrapText="1" indent="0" justifyLastLine="0" shrinkToFit="0" readingOrder="0"/>
    </dxf>
    <dxf>
      <numFmt numFmtId="165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rgb="FFA8D08D"/>
          <bgColor rgb="FFA8D08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Standard"/>
        <scheme val="none"/>
      </font>
      <numFmt numFmtId="164" formatCode="d/m/yyyy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rgb="FFA8D08D"/>
          <bgColor rgb="FFA8D08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Style de tableau 1" pivot="0" count="0" xr9:uid="{05810C6B-4DAF-3B41-85B0-ADC3224B8804}"/>
  </tableStyles>
  <colors>
    <mruColors>
      <color rgb="FFD1C0FF"/>
      <color rgb="FFA8CF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3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[manale.xlsx]Etape-1!Tableau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de Stock Moyen (UVC)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2.73294753818422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256002976055367E-17"/>
              <c:y val="1.92973468677860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256002976055367E-17"/>
              <c:y val="1.92973468677861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1.9297346867786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9230769230769232E-3"/>
              <c:y val="1.12652183537298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7692307692306984E-3"/>
              <c:y val="1.12652183537298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9230769230769232E-3"/>
              <c:y val="1.12652183537298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9230769230769232E-3"/>
              <c:y val="1.12652183537298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9230769230769232E-3"/>
              <c:y val="3.233089839673618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'Etape-1'!$B$3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FDF-4F4A-A4F9-3058BF2E60D3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DF-4F4A-A4F9-3058BF2E60D3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FDF-4F4A-A4F9-3058BF2E60D3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DF-4F4A-A4F9-3058BF2E60D3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FDF-4F4A-A4F9-3058BF2E60D3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DF-4F4A-A4F9-3058BF2E60D3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FDF-4F4A-A4F9-3058BF2E60D3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FDF-4F4A-A4F9-3058BF2E60D3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FDF-4F4A-A4F9-3058BF2E60D3}"/>
              </c:ext>
            </c:extLst>
          </c:dPt>
          <c:dLbls>
            <c:dLbl>
              <c:idx val="0"/>
              <c:layout>
                <c:manualLayout>
                  <c:x val="0"/>
                  <c:y val="2.73294753818422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DF-4F4A-A4F9-3058BF2E60D3}"/>
                </c:ext>
              </c:extLst>
            </c:dLbl>
            <c:dLbl>
              <c:idx val="1"/>
              <c:layout>
                <c:manualLayout>
                  <c:x val="-3.5256002976055367E-17"/>
                  <c:y val="1.92973468677860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DF-4F4A-A4F9-3058BF2E60D3}"/>
                </c:ext>
              </c:extLst>
            </c:dLbl>
            <c:dLbl>
              <c:idx val="2"/>
              <c:layout>
                <c:manualLayout>
                  <c:x val="-3.5256002976055367E-17"/>
                  <c:y val="1.92973468677861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DF-4F4A-A4F9-3058BF2E60D3}"/>
                </c:ext>
              </c:extLst>
            </c:dLbl>
            <c:dLbl>
              <c:idx val="3"/>
              <c:layout>
                <c:manualLayout>
                  <c:x val="0"/>
                  <c:y val="1.9297346867786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DF-4F4A-A4F9-3058BF2E60D3}"/>
                </c:ext>
              </c:extLst>
            </c:dLbl>
            <c:dLbl>
              <c:idx val="4"/>
              <c:layout>
                <c:manualLayout>
                  <c:x val="-1.9230769230769232E-3"/>
                  <c:y val="1.12652183537298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DF-4F4A-A4F9-3058BF2E60D3}"/>
                </c:ext>
              </c:extLst>
            </c:dLbl>
            <c:dLbl>
              <c:idx val="5"/>
              <c:layout>
                <c:manualLayout>
                  <c:x val="5.7692307692306984E-3"/>
                  <c:y val="1.12652183537298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DF-4F4A-A4F9-3058BF2E60D3}"/>
                </c:ext>
              </c:extLst>
            </c:dLbl>
            <c:dLbl>
              <c:idx val="6"/>
              <c:layout>
                <c:manualLayout>
                  <c:x val="-1.9230769230769232E-3"/>
                  <c:y val="1.12652183537298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DF-4F4A-A4F9-3058BF2E60D3}"/>
                </c:ext>
              </c:extLst>
            </c:dLbl>
            <c:dLbl>
              <c:idx val="7"/>
              <c:layout>
                <c:manualLayout>
                  <c:x val="1.9230769230769232E-3"/>
                  <c:y val="1.12652183537298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DF-4F4A-A4F9-3058BF2E60D3}"/>
                </c:ext>
              </c:extLst>
            </c:dLbl>
            <c:dLbl>
              <c:idx val="8"/>
              <c:layout>
                <c:manualLayout>
                  <c:x val="1.9230769230769232E-3"/>
                  <c:y val="3.23308983967361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DF-4F4A-A4F9-3058BF2E60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'Etape-1'!$A$4:$A$13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'Etape-1'!$B$4:$B$13</c:f>
              <c:numCache>
                <c:formatCode>General</c:formatCode>
                <c:ptCount val="9"/>
                <c:pt idx="0">
                  <c:v>207364</c:v>
                </c:pt>
                <c:pt idx="1">
                  <c:v>351521</c:v>
                </c:pt>
                <c:pt idx="2">
                  <c:v>284421</c:v>
                </c:pt>
                <c:pt idx="3">
                  <c:v>280572</c:v>
                </c:pt>
                <c:pt idx="4">
                  <c:v>246851</c:v>
                </c:pt>
                <c:pt idx="5">
                  <c:v>245160</c:v>
                </c:pt>
                <c:pt idx="6">
                  <c:v>401047</c:v>
                </c:pt>
                <c:pt idx="7">
                  <c:v>407052</c:v>
                </c:pt>
                <c:pt idx="8">
                  <c:v>345478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6-F142-8282-A763171CF4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57204223"/>
        <c:axId val="1118752880"/>
      </c:barChart>
      <c:dateAx>
        <c:axId val="35720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8752880"/>
        <c:crosses val="autoZero"/>
        <c:auto val="0"/>
        <c:lblOffset val="100"/>
        <c:baseTimeUnit val="days"/>
      </c:dateAx>
      <c:valAx>
        <c:axId val="11187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720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[manale.xlsx]Etape1-2!Tableau croisé dynamique1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chemeClr val="tx1"/>
                </a:solidFill>
              </a:rPr>
              <a:t>TOP</a:t>
            </a:r>
            <a:r>
              <a:rPr lang="fr-FR" sz="1600" b="1" baseline="0">
                <a:solidFill>
                  <a:schemeClr val="tx1"/>
                </a:solidFill>
              </a:rPr>
              <a:t> 3 familles de produits</a:t>
            </a:r>
            <a:endParaRPr lang="fr-FR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488647427374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943167879426935E-2"/>
          <c:y val="4.7067162199880247E-2"/>
          <c:w val="0.77432433172124049"/>
          <c:h val="0.90298281191549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'Etape1-2'!$B$3:$B$4</c:f>
              <c:strCache>
                <c:ptCount val="1"/>
                <c:pt idx="0">
                  <c:v>BOULANGERIE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'Etape1-2'!$A$5:$A$14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'Etape1-2'!$B$5:$B$14</c:f>
              <c:numCache>
                <c:formatCode>General</c:formatCode>
                <c:ptCount val="9"/>
                <c:pt idx="0">
                  <c:v>10200</c:v>
                </c:pt>
                <c:pt idx="1">
                  <c:v>33814</c:v>
                </c:pt>
                <c:pt idx="2">
                  <c:v>19386</c:v>
                </c:pt>
                <c:pt idx="3">
                  <c:v>32000</c:v>
                </c:pt>
                <c:pt idx="4">
                  <c:v>40725</c:v>
                </c:pt>
                <c:pt idx="5">
                  <c:v>57990</c:v>
                </c:pt>
                <c:pt idx="6">
                  <c:v>77934</c:v>
                </c:pt>
                <c:pt idx="7">
                  <c:v>80717</c:v>
                </c:pt>
                <c:pt idx="8">
                  <c:v>112484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8-3740-9DCD-E1D20EDEE827}"/>
            </c:ext>
          </c:extLst>
        </c:ser>
        <c:ser>
          <c:idx val="1"/>
          <c:order val="1"/>
          <c:tx>
            <c:strRef>
              <c:f>'Etape1-2'!$C$3:$C$4</c:f>
              <c:strCache>
                <c:ptCount val="1"/>
                <c:pt idx="0">
                  <c:v>CREMERIE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'Etape1-2'!$A$5:$A$14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'Etape1-2'!$C$5:$C$14</c:f>
              <c:numCache>
                <c:formatCode>General</c:formatCode>
                <c:ptCount val="9"/>
                <c:pt idx="0">
                  <c:v>22508</c:v>
                </c:pt>
                <c:pt idx="1">
                  <c:v>24700</c:v>
                </c:pt>
                <c:pt idx="2">
                  <c:v>18537</c:v>
                </c:pt>
                <c:pt idx="3">
                  <c:v>25112</c:v>
                </c:pt>
                <c:pt idx="4">
                  <c:v>27558</c:v>
                </c:pt>
                <c:pt idx="5">
                  <c:v>39661</c:v>
                </c:pt>
                <c:pt idx="6">
                  <c:v>37794</c:v>
                </c:pt>
                <c:pt idx="7">
                  <c:v>25570</c:v>
                </c:pt>
                <c:pt idx="8">
                  <c:v>40564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8-3740-9DCD-E1D20EDEE827}"/>
            </c:ext>
          </c:extLst>
        </c:ser>
        <c:ser>
          <c:idx val="2"/>
          <c:order val="2"/>
          <c:tx>
            <c:strRef>
              <c:f>'Etape1-2'!$D$3:$D$4</c:f>
              <c:strCache>
                <c:ptCount val="1"/>
                <c:pt idx="0">
                  <c:v>EMBALLAGES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'Etape1-2'!$A$5:$A$14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'Etape1-2'!$D$5:$D$14</c:f>
              <c:numCache>
                <c:formatCode>General</c:formatCode>
                <c:ptCount val="9"/>
                <c:pt idx="0">
                  <c:v>3029</c:v>
                </c:pt>
                <c:pt idx="1">
                  <c:v>6102</c:v>
                </c:pt>
                <c:pt idx="2">
                  <c:v>5057</c:v>
                </c:pt>
                <c:pt idx="3">
                  <c:v>4106</c:v>
                </c:pt>
                <c:pt idx="4">
                  <c:v>7943</c:v>
                </c:pt>
                <c:pt idx="5">
                  <c:v>6468</c:v>
                </c:pt>
                <c:pt idx="6">
                  <c:v>5938</c:v>
                </c:pt>
                <c:pt idx="7">
                  <c:v>7702</c:v>
                </c:pt>
                <c:pt idx="8">
                  <c:v>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D8-3740-9DCD-E1D20EDEE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8630383"/>
        <c:axId val="1118779055"/>
      </c:barChart>
      <c:dateAx>
        <c:axId val="111863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8779055"/>
        <c:crosses val="autoZero"/>
        <c:auto val="0"/>
        <c:lblOffset val="100"/>
        <c:baseTimeUnit val="days"/>
      </c:dateAx>
      <c:valAx>
        <c:axId val="111877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863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[manale.xlsx]Etape2!Tableau croisé dynamique10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solidFill>
                  <a:schemeClr val="tx1"/>
                </a:solidFill>
              </a:rPr>
              <a:t>Évolution mensuelle du prix moyen UVC (filtrable)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8228070175438602"/>
          <c:y val="4.91951272048440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Etape2!$B$3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Etape2!$A$4:$A$13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Etape2!$B$4:$B$13</c:f>
              <c:numCache>
                <c:formatCode>_-* #\ ##0.00\ [$€-40C]_-;\-* #\ ##0.00\ [$€-40C]_-;_-* "-"??\ [$€-40C]_-;_-@_-</c:formatCode>
                <c:ptCount val="9"/>
                <c:pt idx="0">
                  <c:v>30.244538648181916</c:v>
                </c:pt>
                <c:pt idx="1">
                  <c:v>29.435906942591377</c:v>
                </c:pt>
                <c:pt idx="2">
                  <c:v>30.109033907209284</c:v>
                </c:pt>
                <c:pt idx="3">
                  <c:v>25.077206167744201</c:v>
                </c:pt>
                <c:pt idx="4">
                  <c:v>25.42556865822516</c:v>
                </c:pt>
                <c:pt idx="5">
                  <c:v>24.940123602283979</c:v>
                </c:pt>
                <c:pt idx="6">
                  <c:v>26.219492579549527</c:v>
                </c:pt>
                <c:pt idx="7">
                  <c:v>26.658604488125064</c:v>
                </c:pt>
                <c:pt idx="8">
                  <c:v>27.331815022011927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2-6941-8A3F-44A95BD29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272384"/>
        <c:axId val="767430336"/>
      </c:lineChart>
      <c:dateAx>
        <c:axId val="7512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7430336"/>
        <c:crosses val="autoZero"/>
        <c:auto val="0"/>
        <c:lblOffset val="100"/>
        <c:baseTimeUnit val="days"/>
      </c:dateAx>
      <c:valAx>
        <c:axId val="7674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€-40C]_-;\-* #\ 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127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[manale.xlsx]Etape3!Tableau croisé dynamique7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Somme de Référence Stockées/Mois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Etape3!$B$3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Etape3!$A$4:$A$13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Etape3!$B$4:$B$13</c:f>
              <c:numCache>
                <c:formatCode>General</c:formatCode>
                <c:ptCount val="9"/>
                <c:pt idx="0">
                  <c:v>88</c:v>
                </c:pt>
                <c:pt idx="1">
                  <c:v>99</c:v>
                </c:pt>
                <c:pt idx="2">
                  <c:v>96</c:v>
                </c:pt>
                <c:pt idx="3">
                  <c:v>92</c:v>
                </c:pt>
                <c:pt idx="4">
                  <c:v>91</c:v>
                </c:pt>
                <c:pt idx="5">
                  <c:v>95</c:v>
                </c:pt>
                <c:pt idx="6">
                  <c:v>97</c:v>
                </c:pt>
                <c:pt idx="7">
                  <c:v>99</c:v>
                </c:pt>
                <c:pt idx="8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FE-C043-BE7A-ACD447C2B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373952"/>
        <c:axId val="309114544"/>
      </c:lineChart>
      <c:dateAx>
        <c:axId val="3083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1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9114544"/>
        <c:crosses val="autoZero"/>
        <c:auto val="0"/>
        <c:lblOffset val="100"/>
        <c:baseTimeUnit val="days"/>
      </c:dateAx>
      <c:valAx>
        <c:axId val="3091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8373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[manale.xlsx]Etape4_2!Tableau croisé dynamique4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Combo receptions/expéditions</a:t>
            </a:r>
          </a:p>
        </c:rich>
      </c:tx>
      <c:layout>
        <c:manualLayout>
          <c:xMode val="edge"/>
          <c:yMode val="edge"/>
          <c:x val="0.24897677466611232"/>
          <c:y val="3.2069970845481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Etape4_2!$B$3</c:f>
              <c:strCache>
                <c:ptCount val="1"/>
                <c:pt idx="0">
                  <c:v>Somme de receptions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Etape4_2!$A$4:$A$12</c:f>
              <c:strCache>
                <c:ptCount val="8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</c:strCache>
            </c:strRef>
          </c:cat>
          <c:val>
            <c:numRef>
              <c:f>Etape4_2!$B$4:$B$12</c:f>
              <c:numCache>
                <c:formatCode>General</c:formatCode>
                <c:ptCount val="8"/>
                <c:pt idx="0">
                  <c:v>682402</c:v>
                </c:pt>
                <c:pt idx="1">
                  <c:v>642686</c:v>
                </c:pt>
                <c:pt idx="2">
                  <c:v>373895</c:v>
                </c:pt>
                <c:pt idx="3">
                  <c:v>508099</c:v>
                </c:pt>
                <c:pt idx="4">
                  <c:v>685728</c:v>
                </c:pt>
                <c:pt idx="5">
                  <c:v>898975</c:v>
                </c:pt>
                <c:pt idx="6">
                  <c:v>788633</c:v>
                </c:pt>
                <c:pt idx="7">
                  <c:v>819616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F-3A4E-A01A-4C5F33BC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787759"/>
        <c:axId val="1250999167"/>
      </c:barChart>
      <c:lineChart>
        <c:grouping val="standard"/>
        <c:varyColors val="0"/>
        <c:ser>
          <c:idx val="1"/>
          <c:order val="1"/>
          <c:tx>
            <c:strRef>
              <c:f>Etape4_2!$C$3</c:f>
              <c:strCache>
                <c:ptCount val="1"/>
                <c:pt idx="0">
                  <c:v>Somme de expéditions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Etape4_2!$A$4:$A$12</c:f>
              <c:strCache>
                <c:ptCount val="8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</c:strCache>
            </c:strRef>
          </c:cat>
          <c:val>
            <c:numRef>
              <c:f>Etape4_2!$C$4:$C$12</c:f>
              <c:numCache>
                <c:formatCode>General</c:formatCode>
                <c:ptCount val="8"/>
                <c:pt idx="0">
                  <c:v>629170</c:v>
                </c:pt>
                <c:pt idx="1">
                  <c:v>867493</c:v>
                </c:pt>
                <c:pt idx="2">
                  <c:v>377436</c:v>
                </c:pt>
                <c:pt idx="3">
                  <c:v>503449</c:v>
                </c:pt>
                <c:pt idx="4">
                  <c:v>711535</c:v>
                </c:pt>
                <c:pt idx="5">
                  <c:v>812164</c:v>
                </c:pt>
                <c:pt idx="6">
                  <c:v>796795</c:v>
                </c:pt>
                <c:pt idx="7">
                  <c:v>801462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F-3A4E-A01A-4C5F33BC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787759"/>
        <c:axId val="1250999167"/>
      </c:lineChart>
      <c:dateAx>
        <c:axId val="126078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0999167"/>
        <c:crosses val="autoZero"/>
        <c:auto val="0"/>
        <c:lblOffset val="100"/>
        <c:baseTimeUnit val="days"/>
      </c:dateAx>
      <c:valAx>
        <c:axId val="125099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078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[manale.xlsx]Etape5-2!Tableau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Nombre</a:t>
            </a:r>
            <a:r>
              <a:rPr lang="en-US" b="1" baseline="0">
                <a:solidFill>
                  <a:schemeClr val="tx1"/>
                </a:solidFill>
              </a:rPr>
              <a:t> de commandes réceptionnées par mois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'Etape5-2'!$B$3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'Etape5-2'!$A$4:$A$13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'Etape5-2'!$B$4:$B$13</c:f>
              <c:numCache>
                <c:formatCode>General</c:formatCode>
                <c:ptCount val="9"/>
                <c:pt idx="0">
                  <c:v>118</c:v>
                </c:pt>
                <c:pt idx="1">
                  <c:v>96</c:v>
                </c:pt>
                <c:pt idx="2">
                  <c:v>79</c:v>
                </c:pt>
                <c:pt idx="3">
                  <c:v>104</c:v>
                </c:pt>
                <c:pt idx="4">
                  <c:v>114</c:v>
                </c:pt>
                <c:pt idx="5">
                  <c:v>130</c:v>
                </c:pt>
                <c:pt idx="6">
                  <c:v>104</c:v>
                </c:pt>
                <c:pt idx="7">
                  <c:v>125</c:v>
                </c:pt>
                <c:pt idx="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9-A94A-A88E-90A4A7D0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459104"/>
        <c:axId val="1680461616"/>
      </c:barChart>
      <c:catAx>
        <c:axId val="168045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0461616"/>
        <c:crosses val="autoZero"/>
        <c:auto val="1"/>
        <c:lblAlgn val="ctr"/>
        <c:lblOffset val="100"/>
        <c:noMultiLvlLbl val="0"/>
      </c:catAx>
      <c:valAx>
        <c:axId val="16804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045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[manale.xlsx]Etape 6!Tableau croisé dynamique9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'Etape 6'!$B$3</c:f>
              <c:strCache>
                <c:ptCount val="1"/>
                <c:pt idx="0">
                  <c:v>Somme de Quantité Commandées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'Etape 6'!$A$4:$A$13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'Etape 6'!$B$4:$B$13</c:f>
              <c:numCache>
                <c:formatCode>General</c:formatCode>
                <c:ptCount val="9"/>
                <c:pt idx="0">
                  <c:v>714122</c:v>
                </c:pt>
                <c:pt idx="1">
                  <c:v>652155</c:v>
                </c:pt>
                <c:pt idx="2">
                  <c:v>383079</c:v>
                </c:pt>
                <c:pt idx="3">
                  <c:v>507081</c:v>
                </c:pt>
                <c:pt idx="4">
                  <c:v>694721</c:v>
                </c:pt>
                <c:pt idx="5">
                  <c:v>943481</c:v>
                </c:pt>
                <c:pt idx="6">
                  <c:v>804250</c:v>
                </c:pt>
                <c:pt idx="7">
                  <c:v>849747</c:v>
                </c:pt>
                <c:pt idx="8">
                  <c:v>719153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0-8B4A-A19C-6AD45A0E6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717663"/>
        <c:axId val="1283507231"/>
      </c:barChart>
      <c:lineChart>
        <c:grouping val="standard"/>
        <c:varyColors val="0"/>
        <c:ser>
          <c:idx val="1"/>
          <c:order val="1"/>
          <c:tx>
            <c:strRef>
              <c:f>'Etape 6'!$C$3</c:f>
              <c:strCache>
                <c:ptCount val="1"/>
                <c:pt idx="0">
                  <c:v>Somme de quantité réceptionnées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'Etape 6'!$A$4:$A$13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'Etape 6'!$C$4:$C$13</c:f>
              <c:numCache>
                <c:formatCode>General</c:formatCode>
                <c:ptCount val="9"/>
                <c:pt idx="0">
                  <c:v>682402</c:v>
                </c:pt>
                <c:pt idx="1">
                  <c:v>642686</c:v>
                </c:pt>
                <c:pt idx="2">
                  <c:v>373895</c:v>
                </c:pt>
                <c:pt idx="3">
                  <c:v>508099</c:v>
                </c:pt>
                <c:pt idx="4">
                  <c:v>685728</c:v>
                </c:pt>
                <c:pt idx="5">
                  <c:v>898975</c:v>
                </c:pt>
                <c:pt idx="6">
                  <c:v>788633</c:v>
                </c:pt>
                <c:pt idx="7">
                  <c:v>819616</c:v>
                </c:pt>
                <c:pt idx="8">
                  <c:v>697323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0-8B4A-A19C-6AD45A0E6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717663"/>
        <c:axId val="1283507231"/>
      </c:lineChart>
      <c:dateAx>
        <c:axId val="12507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3507231"/>
        <c:crosses val="autoZero"/>
        <c:auto val="0"/>
        <c:lblOffset val="100"/>
        <c:baseTimeUnit val="days"/>
      </c:dateAx>
      <c:valAx>
        <c:axId val="128350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071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9</xdr:row>
      <xdr:rowOff>63500</xdr:rowOff>
    </xdr:from>
    <xdr:to>
      <xdr:col>11</xdr:col>
      <xdr:colOff>25400</xdr:colOff>
      <xdr:row>28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D98435-EEA2-FA71-F853-236CC67F1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812800</xdr:colOff>
      <xdr:row>9</xdr:row>
      <xdr:rowOff>101600</xdr:rowOff>
    </xdr:from>
    <xdr:to>
      <xdr:col>15</xdr:col>
      <xdr:colOff>165100</xdr:colOff>
      <xdr:row>22</xdr:row>
      <xdr:rowOff>155575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amille de Produit 1">
              <a:extLst>
                <a:ext uri="{FF2B5EF4-FFF2-40B4-BE49-F238E27FC236}">
                  <a16:creationId xmlns:a16="http://schemas.microsoft.com/office/drawing/2014/main" id="{08280FA5-FF50-F94B-8631-084C6F5E40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le de Produi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47600" y="15875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850900</xdr:colOff>
      <xdr:row>20</xdr:row>
      <xdr:rowOff>38100</xdr:rowOff>
    </xdr:from>
    <xdr:ext cx="3086100" cy="1876026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F344638B-1DE3-8E84-6DBD-6562D8197F77}"/>
            </a:ext>
          </a:extLst>
        </xdr:cNvPr>
        <xdr:cNvSpPr txBox="1"/>
      </xdr:nvSpPr>
      <xdr:spPr>
        <a:xfrm>
          <a:off x="2844800" y="3009900"/>
          <a:ext cx="3086100" cy="1876026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Entre mai 2022 (202205) et janvier 2023 (202301), les familles de produits ayant connu la plus forte augmentation de stock moyen (UVC) sont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:</a:t>
          </a:r>
          <a:endParaRPr lang="fr-F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b="1"/>
            <a:t>Boulangerie</a:t>
          </a:r>
          <a:r>
            <a:rPr lang="fr-FR"/>
            <a:t> : +1003 %</a:t>
          </a:r>
        </a:p>
        <a:p>
          <a:r>
            <a:rPr lang="fr-FR" b="1"/>
            <a:t>Emballages</a:t>
          </a:r>
          <a:r>
            <a:rPr lang="fr-FR"/>
            <a:t> : +161 %</a:t>
          </a:r>
        </a:p>
        <a:p>
          <a:r>
            <a:rPr lang="fr-FR" b="1"/>
            <a:t>Crèmerie</a:t>
          </a:r>
          <a:r>
            <a:rPr lang="fr-FR"/>
            <a:t> : +80 %</a:t>
          </a:r>
        </a:p>
        <a:p>
          <a:r>
            <a:rPr lang="fr-FR"/>
            <a:t>Ces trois familles représentent donc les </a:t>
          </a:r>
          <a:r>
            <a:rPr lang="fr-FR" b="1"/>
            <a:t>TOP 3 augmentations</a:t>
          </a:r>
          <a:r>
            <a:rPr lang="fr-FR"/>
            <a:t> et devront être analysées en priorité.</a:t>
          </a:r>
        </a:p>
        <a:p>
          <a:endParaRPr lang="fr-FR" sz="1100"/>
        </a:p>
      </xdr:txBody>
    </xdr:sp>
    <xdr:clientData/>
  </xdr:oneCellAnchor>
  <xdr:twoCellAnchor>
    <xdr:from>
      <xdr:col>8</xdr:col>
      <xdr:colOff>673254</xdr:colOff>
      <xdr:row>7</xdr:row>
      <xdr:rowOff>155964</xdr:rowOff>
    </xdr:from>
    <xdr:to>
      <xdr:col>18</xdr:col>
      <xdr:colOff>642651</xdr:colOff>
      <xdr:row>38</xdr:row>
      <xdr:rowOff>107109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E6E37CD8-E2B7-A601-7AB8-C12127AF4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14</xdr:row>
      <xdr:rowOff>25400</xdr:rowOff>
    </xdr:from>
    <xdr:to>
      <xdr:col>8</xdr:col>
      <xdr:colOff>558800</xdr:colOff>
      <xdr:row>39</xdr:row>
      <xdr:rowOff>76200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CA74EFD-6B86-85C1-DF16-78F927797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673100</xdr:colOff>
      <xdr:row>5</xdr:row>
      <xdr:rowOff>76200</xdr:rowOff>
    </xdr:from>
    <xdr:to>
      <xdr:col>10</xdr:col>
      <xdr:colOff>647700</xdr:colOff>
      <xdr:row>19</xdr:row>
      <xdr:rowOff>3175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amille de Produit 3">
              <a:extLst>
                <a:ext uri="{FF2B5EF4-FFF2-40B4-BE49-F238E27FC236}">
                  <a16:creationId xmlns:a16="http://schemas.microsoft.com/office/drawing/2014/main" id="{073E7F60-74D3-F59C-6B04-3D668DD76D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le de Produi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3200" y="9017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203200</xdr:colOff>
      <xdr:row>6</xdr:row>
      <xdr:rowOff>152400</xdr:rowOff>
    </xdr:from>
    <xdr:to>
      <xdr:col>12</xdr:col>
      <xdr:colOff>381000</xdr:colOff>
      <xdr:row>20</xdr:row>
      <xdr:rowOff>33655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amille de Produit">
              <a:extLst>
                <a:ext uri="{FF2B5EF4-FFF2-40B4-BE49-F238E27FC236}">
                  <a16:creationId xmlns:a16="http://schemas.microsoft.com/office/drawing/2014/main" id="{4488C2D0-E4BD-E1FC-C1AD-BFC4822D2B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le de 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95000" y="11430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</xdr:col>
      <xdr:colOff>304800</xdr:colOff>
      <xdr:row>4</xdr:row>
      <xdr:rowOff>12700</xdr:rowOff>
    </xdr:from>
    <xdr:to>
      <xdr:col>10</xdr:col>
      <xdr:colOff>203200</xdr:colOff>
      <xdr:row>29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7F86470-E4CF-6E84-1D72-0728BFB61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33867</xdr:colOff>
      <xdr:row>4</xdr:row>
      <xdr:rowOff>33866</xdr:rowOff>
    </xdr:from>
    <xdr:to>
      <xdr:col>15</xdr:col>
      <xdr:colOff>812799</xdr:colOff>
      <xdr:row>29</xdr:row>
      <xdr:rowOff>139700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C0406C3-EAD4-F91D-41E6-B235873F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463550</xdr:colOff>
      <xdr:row>10</xdr:row>
      <xdr:rowOff>114300</xdr:rowOff>
    </xdr:from>
    <xdr:to>
      <xdr:col>12</xdr:col>
      <xdr:colOff>12700</xdr:colOff>
      <xdr:row>29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00491A-C5C9-C94D-CB25-B524870A1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1054101</xdr:colOff>
      <xdr:row>21</xdr:row>
      <xdr:rowOff>0</xdr:rowOff>
    </xdr:from>
    <xdr:ext cx="4635500" cy="175260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BC09969F-6754-80E0-30F3-38F8F2269833}"/>
            </a:ext>
          </a:extLst>
        </xdr:cNvPr>
        <xdr:cNvSpPr txBox="1"/>
      </xdr:nvSpPr>
      <xdr:spPr>
        <a:xfrm>
          <a:off x="1054101" y="3492500"/>
          <a:ext cx="4635500" cy="17526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dirty="0"/>
            <a:t>L’analyse montre que, même si le nombre total de commandes a légèrement diminué sur la période, les </a:t>
          </a:r>
          <a:r>
            <a:rPr lang="fr-FR" sz="1100" b="1" dirty="0"/>
            <a:t>trois familles les plus volumineuses</a:t>
          </a:r>
          <a:r>
            <a:rPr lang="fr-FR" sz="1100" dirty="0"/>
            <a:t> concentrent l’essentiel des réceptions. Pour ces familles, les quantités réceptionnées restent </a:t>
          </a:r>
          <a:r>
            <a:rPr lang="fr-FR" sz="1100" b="1" dirty="0"/>
            <a:t>supérieures aux expéditions</a:t>
          </a:r>
          <a:r>
            <a:rPr lang="fr-FR" sz="1100" dirty="0"/>
            <a:t>, ce qui alimente progressivement un </a:t>
          </a:r>
          <a:r>
            <a:rPr lang="fr-FR" sz="1100" b="1" dirty="0"/>
            <a:t>surstock</a:t>
          </a:r>
          <a:r>
            <a:rPr lang="fr-FR" sz="1100" dirty="0"/>
            <a:t>.</a:t>
          </a:r>
          <a:br>
            <a:rPr lang="fr-FR" sz="1100" dirty="0"/>
          </a:br>
          <a:r>
            <a:rPr lang="fr-FR" sz="1100" dirty="0"/>
            <a:t>Autrement dit, malgré moins de commandes, les volumes reçus par commande dans les top-familles sont suffisamment élevés pour faire augmenter le niveau de stock, expliquant la surcharge observée en entrepôt.</a:t>
          </a:r>
          <a:endParaRPr lang="fr-FR" sz="1100"/>
        </a:p>
        <a:p>
          <a:endParaRPr lang="fr-FR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23</xdr:row>
      <xdr:rowOff>139700</xdr:rowOff>
    </xdr:from>
    <xdr:ext cx="4241800" cy="177800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2CFD6A5-E53D-AC1B-6621-A4B8D1B8B578}"/>
            </a:ext>
          </a:extLst>
        </xdr:cNvPr>
        <xdr:cNvSpPr txBox="1"/>
      </xdr:nvSpPr>
      <xdr:spPr>
        <a:xfrm>
          <a:off x="1752600" y="3937000"/>
          <a:ext cx="4241800" cy="17780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/>
            <a:t>Le taux est </a:t>
          </a:r>
          <a:r>
            <a:rPr lang="fr-FR" b="1"/>
            <a:t>globalement bon</a:t>
          </a:r>
          <a:r>
            <a:rPr lang="fr-FR"/>
            <a:t> (95–100 %) → chaîne logistique maîtrisée.</a:t>
          </a:r>
        </a:p>
        <a:p>
          <a:r>
            <a:rPr lang="fr-FR"/>
            <a:t>Il y a une baisse en juin/juillet → possible retard fournisseur, sous-réception, pic activité.</a:t>
          </a:r>
        </a:p>
        <a:p>
          <a:r>
            <a:rPr lang="fr-FR"/>
            <a:t>Forte hausse en octobre/novembre → amélioration des délais, meilleure anticipation.</a:t>
          </a:r>
        </a:p>
        <a:p>
          <a:r>
            <a:rPr lang="fr-FR"/>
            <a:t>Stabilité autour de 97 % en fin de période → confort opérationnel.</a:t>
          </a:r>
        </a:p>
        <a:p>
          <a:r>
            <a:rPr lang="fr-FR" b="1"/>
            <a:t>-Le taux de service mesure la disponibilité des produits </a:t>
          </a:r>
          <a:r>
            <a:rPr lang="fr-FR"/>
            <a:t>,pas l’équilibre du stock</a:t>
          </a:r>
          <a:endParaRPr lang="fr-FR" sz="1100"/>
        </a:p>
      </xdr:txBody>
    </xdr:sp>
    <xdr:clientData/>
  </xdr:oneCellAnchor>
  <xdr:twoCellAnchor>
    <xdr:from>
      <xdr:col>5</xdr:col>
      <xdr:colOff>0</xdr:colOff>
      <xdr:row>6</xdr:row>
      <xdr:rowOff>11546</xdr:rowOff>
    </xdr:from>
    <xdr:to>
      <xdr:col>14</xdr:col>
      <xdr:colOff>0</xdr:colOff>
      <xdr:row>25</xdr:row>
      <xdr:rowOff>147782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C6D96DF-37E6-2405-3AC6-8E20ADD3A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roumi" refreshedDate="45984.752110648151" createdVersion="8" refreshedVersion="8" minRefreshableVersion="3" recordCount="998" xr:uid="{90BDA737-2B91-894D-806F-AC393056A1CC}">
  <cacheSource type="worksheet">
    <worksheetSource name="Tableau5"/>
  </cacheSource>
  <cacheFields count="7">
    <cacheField name="AnnéeMois" numFmtId="0">
      <sharedItems containsString="0" containsBlank="1" containsNumber="1" containsInteger="1" minValue="202205" maxValue="202301" count="10">
        <n v="202205"/>
        <n v="202206"/>
        <n v="202207"/>
        <n v="202208"/>
        <n v="202209"/>
        <n v="202210"/>
        <n v="202211"/>
        <n v="202212"/>
        <n v="202301"/>
        <m/>
      </sharedItems>
    </cacheField>
    <cacheField name="Codes Produits Achetes" numFmtId="1">
      <sharedItems containsString="0" containsBlank="1" containsNumber="1" containsInteger="1" minValue="5540246170256" maxValue="5540246196800" count="134">
        <n v="5540246170256"/>
        <n v="5540246171759"/>
        <n v="5540246171796"/>
        <n v="5540246171888"/>
        <n v="5540246171933"/>
        <n v="5540246172539"/>
        <n v="5540246172669"/>
        <n v="5540246172978"/>
        <n v="5540246173472"/>
        <n v="5540246173492"/>
        <n v="5540246173685"/>
        <n v="5540246173686"/>
        <n v="5540246173906"/>
        <n v="5540246174095"/>
        <n v="5540246174174"/>
        <n v="5540246175047"/>
        <n v="5540246175049"/>
        <n v="5540246175050"/>
        <n v="5540246175372"/>
        <n v="5540246175461"/>
        <n v="5540246176294"/>
        <n v="5540246176295"/>
        <n v="5540246176699"/>
        <n v="5540246177132"/>
        <n v="5540246177133"/>
        <n v="5540246177376"/>
        <n v="5540246180522"/>
        <n v="5540246181016"/>
        <n v="5540246181061"/>
        <n v="5540246182684"/>
        <n v="5540246183130"/>
        <n v="5540246183455"/>
        <n v="5540246183537"/>
        <n v="5540246183538"/>
        <n v="5540246183541"/>
        <n v="5540246183542"/>
        <n v="5540246183547"/>
        <n v="5540246183552"/>
        <n v="5540246183554"/>
        <n v="5540246183555"/>
        <n v="5540246183556"/>
        <n v="5540246183558"/>
        <n v="5540246183560"/>
        <n v="5540246183562"/>
        <n v="5540246183587"/>
        <n v="5540246183589"/>
        <n v="5540246183590"/>
        <n v="5540246183844"/>
        <n v="5540246184036"/>
        <n v="5540246184617"/>
        <n v="5540246184808"/>
        <n v="5540246185278"/>
        <n v="5540246185429"/>
        <n v="5540246185562"/>
        <n v="5540246185627"/>
        <n v="5540246186010"/>
        <n v="5540246186011"/>
        <n v="5540246186017"/>
        <n v="5540246186325"/>
        <n v="5540246186351"/>
        <n v="5540246186352"/>
        <n v="5540246187882"/>
        <n v="5540246187940"/>
        <n v="5540246187987"/>
        <n v="5540246187995"/>
        <n v="5540246187996"/>
        <n v="5540246187997"/>
        <n v="5540246187998"/>
        <n v="5540246188047"/>
        <n v="5540246188175"/>
        <n v="5540246188200"/>
        <n v="5540246188224"/>
        <n v="5540246188512"/>
        <n v="5540246188583"/>
        <n v="5540246188647"/>
        <n v="5540246190092"/>
        <n v="5540246190097"/>
        <n v="5540246190727"/>
        <n v="5540246190743"/>
        <n v="5540246190831"/>
        <n v="5540246190835"/>
        <n v="5540246191380"/>
        <n v="5540246191394"/>
        <n v="5540246191594"/>
        <n v="5540246191596"/>
        <n v="5540246191598"/>
        <n v="5540246191718"/>
        <n v="5540246191736"/>
        <n v="5540246192102"/>
        <n v="5540246192209"/>
        <n v="5540246192264"/>
        <n v="5540246192265"/>
        <n v="5540246192462"/>
        <n v="5540246192505"/>
        <n v="5540246192518"/>
        <n v="5540246192571"/>
        <n v="5540246192594"/>
        <n v="5540246192824"/>
        <n v="5540246192831"/>
        <n v="5540246192836"/>
        <n v="5540246192907"/>
        <n v="5540246193249"/>
        <n v="5540246193316"/>
        <n v="5540246193409"/>
        <n v="5540246193505"/>
        <n v="5540246193566"/>
        <n v="5540246193999"/>
        <n v="5540246193878"/>
        <n v="5540246192148"/>
        <n v="5540246194467"/>
        <n v="5540246194632"/>
        <n v="5540246194330"/>
        <n v="5540246194478"/>
        <n v="5540246195096"/>
        <n v="5540246194790"/>
        <n v="5540246194947"/>
        <n v="5540246195241"/>
        <n v="5540246195242"/>
        <n v="5540246195250"/>
        <n v="5540246195539"/>
        <n v="5540246195596"/>
        <n v="5540246195653"/>
        <n v="5540246195195"/>
        <n v="5540246195943"/>
        <n v="5540246195944"/>
        <n v="5540246196046"/>
        <n v="5540246196092"/>
        <n v="5540246195999"/>
        <n v="5540246196002"/>
        <n v="5540246196065"/>
        <n v="5540246196148"/>
        <n v="5540246196466"/>
        <n v="5540246196800"/>
        <m/>
      </sharedItems>
    </cacheField>
    <cacheField name="Stock Moyen (UVC)" numFmtId="0">
      <sharedItems containsString="0" containsBlank="1" containsNumber="1" containsInteger="1" minValue="-1253" maxValue="93209"/>
    </cacheField>
    <cacheField name="Stock Moyen (PMP €)" numFmtId="0">
      <sharedItems containsString="0" containsBlank="1" containsNumber="1" minValue="-559.87199999999996" maxValue="278205.27840000001"/>
    </cacheField>
    <cacheField name="Prix (UVC)" numFmtId="165">
      <sharedItems containsBlank="1" containsMixedTypes="1" containsNumber="1" minValue="0.44646889952153118" maxValue="575.42400000000009"/>
    </cacheField>
    <cacheField name="Expeditions (UVC)" numFmtId="0">
      <sharedItems containsString="0" containsBlank="1" containsNumber="1" containsInteger="1" minValue="0" maxValue="127805"/>
    </cacheField>
    <cacheField name="Famille de Produit" numFmtId="0">
      <sharedItems containsBlank="1" count="6">
        <s v="BOULANGERIE"/>
        <s v="MIX LEGUMES"/>
        <m/>
        <s v="CREMERIE"/>
        <s v="VOLAILLE"/>
        <s v="EMBALLAGES"/>
      </sharedItems>
    </cacheField>
  </cacheFields>
  <extLst>
    <ext xmlns:x14="http://schemas.microsoft.com/office/spreadsheetml/2009/9/main" uri="{725AE2AE-9491-48be-B2B4-4EB974FC3084}">
      <x14:pivotCacheDefinition pivotCacheId="193496582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roumi" refreshedDate="45985.10363125" createdVersion="8" refreshedVersion="8" minRefreshableVersion="3" recordCount="972" xr:uid="{69640DE2-18E3-0545-81BC-E1000BB47122}">
  <cacheSource type="worksheet">
    <worksheetSource name="Réception__2"/>
  </cacheSource>
  <cacheFields count="3">
    <cacheField name="AnnéeMois" numFmtId="0">
      <sharedItems containsString="0" containsBlank="1" containsNumber="1" containsInteger="1" minValue="202205" maxValue="202301" count="10">
        <n v="202205"/>
        <n v="202208"/>
        <n v="202206"/>
        <n v="202207"/>
        <n v="202209"/>
        <n v="202210"/>
        <n v="202211"/>
        <n v="202301"/>
        <n v="202212"/>
        <m/>
      </sharedItems>
    </cacheField>
    <cacheField name="Num CDE" numFmtId="0">
      <sharedItems containsString="0" containsBlank="1" containsNumber="1" containsInteger="1" minValue="142634985" maxValue="143541616"/>
    </cacheField>
    <cacheField name="NombreCommande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roumi" refreshedDate="45985.644428356478" createdVersion="8" refreshedVersion="8" minRefreshableVersion="3" recordCount="928" xr:uid="{FF7DEB8D-BE17-5842-8AA8-24F72EBBCC7F}">
  <cacheSource type="worksheet">
    <worksheetSource ref="A1:H929" sheet="Expéditions"/>
  </cacheSource>
  <cacheFields count="8">
    <cacheField name="AnnéeMois" numFmtId="1">
      <sharedItems containsSemiMixedTypes="0" containsString="0" containsNumber="1" containsInteger="1" minValue="202205" maxValue="202301" count="9">
        <n v="202205"/>
        <n v="202206"/>
        <n v="202207"/>
        <n v="202208"/>
        <n v="202209"/>
        <n v="202210"/>
        <n v="202211"/>
        <n v="202212"/>
        <n v="202301"/>
      </sharedItems>
    </cacheField>
    <cacheField name="Codes Produits Achetes" numFmtId="1">
      <sharedItems containsSemiMixedTypes="0" containsString="0" containsNumber="1" containsInteger="1" minValue="5540246170256" maxValue="5540246196800"/>
    </cacheField>
    <cacheField name="Stock Moyen (UVC)" numFmtId="2">
      <sharedItems containsSemiMixedTypes="0" containsString="0" containsNumber="1" containsInteger="1" minValue="-1253" maxValue="93209"/>
    </cacheField>
    <cacheField name="Stock Moyen (PMP €)" numFmtId="2">
      <sharedItems containsSemiMixedTypes="0" containsString="0" containsNumber="1" minValue="-559.87199999999996" maxValue="278205.27840000001"/>
    </cacheField>
    <cacheField name="Prix (UVC)" numFmtId="165">
      <sharedItems containsMixedTypes="1" containsNumber="1" minValue="0.44646889952153118" maxValue="575.42400000000009"/>
    </cacheField>
    <cacheField name="Expeditions (UVC)" numFmtId="2">
      <sharedItems containsSemiMixedTypes="0" containsString="0" containsNumber="1" containsInteger="1" minValue="0" maxValue="127805"/>
    </cacheField>
    <cacheField name="Famille de Produit" numFmtId="1">
      <sharedItems containsBlank="1" count="6">
        <s v="BOULANGERIE"/>
        <s v="MIX LEGUMES"/>
        <m/>
        <s v="CREMERIE"/>
        <s v="VOLAILLE"/>
        <s v="EMBALLAGES"/>
      </sharedItems>
    </cacheField>
    <cacheField name="Référence Stockée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27361362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roumi" refreshedDate="45985.76206990741" createdVersion="8" refreshedVersion="8" minRefreshableVersion="3" recordCount="972" xr:uid="{69073463-D9CE-EF4F-9610-CF14408BC1D5}">
  <cacheSource type="worksheet">
    <worksheetSource name="Réception__3"/>
  </cacheSource>
  <cacheFields count="4">
    <cacheField name="Num CDE" numFmtId="0">
      <sharedItems containsString="0" containsBlank="1" containsNumber="1" containsInteger="1" minValue="142634985" maxValue="143541616"/>
    </cacheField>
    <cacheField name="Total-quantité-réceptionnée" numFmtId="0">
      <sharedItems containsString="0" containsBlank="1" containsNumber="1" containsInteger="1" minValue="42" maxValue="58743"/>
    </cacheField>
    <cacheField name="AnnéeMois" numFmtId="0">
      <sharedItems containsString="0" containsBlank="1" containsNumber="1" containsInteger="1" minValue="202205" maxValue="202301" count="10">
        <n v="202205"/>
        <n v="202208"/>
        <n v="202206"/>
        <n v="202207"/>
        <n v="202209"/>
        <n v="202210"/>
        <n v="202211"/>
        <n v="202301"/>
        <n v="202212"/>
        <m/>
      </sharedItems>
    </cacheField>
    <cacheField name="Quantité Commandées" numFmtId="0">
      <sharedItems containsString="0" containsBlank="1" containsNumber="1" containsInteger="1" minValue="47" maxValue="58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roumi" refreshedDate="45997.716136574076" createdVersion="8" refreshedVersion="8" minRefreshableVersion="3" recordCount="46" xr:uid="{3219B030-FE8B-8A46-AE46-B3A447387AE0}">
  <cacheSource type="worksheet">
    <worksheetSource name="Réception__4"/>
  </cacheSource>
  <cacheFields count="4">
    <cacheField name="Famille de Produit" numFmtId="0">
      <sharedItems containsBlank="1" count="6">
        <s v="EMBALLAGES"/>
        <s v="BOULANGERIE"/>
        <s v="MIX LEGUMES"/>
        <s v="CREMERIE"/>
        <s v="VOLAILLE"/>
        <m/>
      </sharedItems>
    </cacheField>
    <cacheField name="AnnéeMois" numFmtId="0">
      <sharedItems containsString="0" containsBlank="1" containsNumber="1" containsInteger="1" minValue="202205" maxValue="202301" count="10">
        <n v="202205"/>
        <n v="202208"/>
        <n v="202206"/>
        <n v="202207"/>
        <n v="202209"/>
        <n v="202210"/>
        <n v="202211"/>
        <n v="202301"/>
        <n v="202212"/>
        <m/>
      </sharedItems>
    </cacheField>
    <cacheField name="receptions" numFmtId="0">
      <sharedItems containsString="0" containsBlank="1" containsNumber="1" containsInteger="1" minValue="223" maxValue="359044"/>
    </cacheField>
    <cacheField name="expéditions" numFmtId="0">
      <sharedItems containsString="0" containsBlank="1" containsNumber="1" containsInteger="1" minValue="379" maxValue="326406"/>
    </cacheField>
  </cacheFields>
  <extLst>
    <ext xmlns:x14="http://schemas.microsoft.com/office/spreadsheetml/2009/9/main" uri="{725AE2AE-9491-48be-B2B4-4EB974FC3084}">
      <x14:pivotCacheDefinition pivotCacheId="21249397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x v="0"/>
    <x v="0"/>
    <n v="1594"/>
    <n v="10713.902400000001"/>
    <n v="6.7213942283563366"/>
    <n v="8357"/>
    <x v="0"/>
  </r>
  <r>
    <x v="0"/>
    <x v="1"/>
    <n v="2423"/>
    <n v="13304.736000000001"/>
    <n v="5.49101774659513"/>
    <n v="5049"/>
    <x v="1"/>
  </r>
  <r>
    <x v="0"/>
    <x v="2"/>
    <n v="0"/>
    <n v="0"/>
    <s v=""/>
    <n v="1323"/>
    <x v="2"/>
  </r>
  <r>
    <x v="0"/>
    <x v="3"/>
    <n v="-21"/>
    <n v="-351.86400000000003"/>
    <n v="16.755428571428574"/>
    <n v="1673"/>
    <x v="0"/>
  </r>
  <r>
    <x v="0"/>
    <x v="4"/>
    <n v="836"/>
    <n v="538.0992"/>
    <n v="0.64365933014354071"/>
    <n v="6738"/>
    <x v="3"/>
  </r>
  <r>
    <x v="0"/>
    <x v="5"/>
    <n v="28"/>
    <n v="579.35520000000008"/>
    <n v="20.691257142857147"/>
    <n v="89"/>
    <x v="3"/>
  </r>
  <r>
    <x v="0"/>
    <x v="6"/>
    <n v="168"/>
    <n v="2273.0976000000001"/>
    <n v="13.530342857142857"/>
    <n v="1170"/>
    <x v="3"/>
  </r>
  <r>
    <x v="0"/>
    <x v="7"/>
    <n v="752"/>
    <n v="606.05280000000005"/>
    <n v="0.80592127659574475"/>
    <n v="8854"/>
    <x v="3"/>
  </r>
  <r>
    <x v="0"/>
    <x v="8"/>
    <n v="0"/>
    <n v="0"/>
    <s v=""/>
    <n v="543"/>
    <x v="3"/>
  </r>
  <r>
    <x v="0"/>
    <x v="9"/>
    <n v="989"/>
    <n v="15396.134400000001"/>
    <n v="15.567375530839232"/>
    <n v="993"/>
    <x v="4"/>
  </r>
  <r>
    <x v="0"/>
    <x v="10"/>
    <n v="107"/>
    <n v="2694.6432"/>
    <n v="25.183581308411213"/>
    <n v="260"/>
    <x v="5"/>
  </r>
  <r>
    <x v="0"/>
    <x v="11"/>
    <n v="875"/>
    <n v="22084.358400000001"/>
    <n v="25.239266742857144"/>
    <n v="314"/>
    <x v="5"/>
  </r>
  <r>
    <x v="0"/>
    <x v="12"/>
    <n v="1300"/>
    <n v="24143.616000000002"/>
    <n v="18.572012307692308"/>
    <n v="1448"/>
    <x v="4"/>
  </r>
  <r>
    <x v="0"/>
    <x v="13"/>
    <n v="14"/>
    <n v="434.41920000000005"/>
    <n v="31.02994285714286"/>
    <n v="105"/>
    <x v="3"/>
  </r>
  <r>
    <x v="0"/>
    <x v="14"/>
    <n v="26"/>
    <n v="339.55200000000002"/>
    <n v="13.059692307692309"/>
    <n v="708"/>
    <x v="3"/>
  </r>
  <r>
    <x v="0"/>
    <x v="15"/>
    <n v="0"/>
    <n v="0"/>
    <s v=""/>
    <n v="710"/>
    <x v="3"/>
  </r>
  <r>
    <x v="0"/>
    <x v="16"/>
    <n v="502"/>
    <n v="5216.1408000000001"/>
    <n v="10.390718725099601"/>
    <n v="1643"/>
    <x v="3"/>
  </r>
  <r>
    <x v="0"/>
    <x v="17"/>
    <n v="195"/>
    <n v="2257.1136000000001"/>
    <n v="11.574941538461539"/>
    <n v="2409"/>
    <x v="3"/>
  </r>
  <r>
    <x v="0"/>
    <x v="18"/>
    <n v="627"/>
    <n v="2449.44"/>
    <n v="3.9066028708133973"/>
    <n v="696"/>
    <x v="0"/>
  </r>
  <r>
    <x v="0"/>
    <x v="19"/>
    <n v="0"/>
    <n v="0"/>
    <s v=""/>
    <n v="0"/>
    <x v="1"/>
  </r>
  <r>
    <x v="0"/>
    <x v="20"/>
    <n v="4975"/>
    <n v="4584.7296000000006"/>
    <n v="0.92155368844221119"/>
    <n v="22755"/>
    <x v="3"/>
  </r>
  <r>
    <x v="0"/>
    <x v="21"/>
    <n v="0"/>
    <n v="0"/>
    <s v=""/>
    <n v="75104"/>
    <x v="3"/>
  </r>
  <r>
    <x v="0"/>
    <x v="22"/>
    <n v="0"/>
    <n v="0"/>
    <s v=""/>
    <n v="7308"/>
    <x v="3"/>
  </r>
  <r>
    <x v="0"/>
    <x v="23"/>
    <n v="7935"/>
    <n v="4584.7295999999997"/>
    <n v="0.57778570888468805"/>
    <n v="48999"/>
    <x v="1"/>
  </r>
  <r>
    <x v="0"/>
    <x v="24"/>
    <n v="9849"/>
    <n v="35759.880000000005"/>
    <n v="3.6308132805360955"/>
    <n v="23386"/>
    <x v="1"/>
  </r>
  <r>
    <x v="0"/>
    <x v="25"/>
    <n v="592"/>
    <n v="23353.920000000002"/>
    <n v="39.449189189189191"/>
    <n v="601"/>
    <x v="0"/>
  </r>
  <r>
    <x v="0"/>
    <x v="26"/>
    <n v="1177"/>
    <n v="20588.256000000001"/>
    <n v="17.492146134239594"/>
    <n v="1365"/>
    <x v="0"/>
  </r>
  <r>
    <x v="0"/>
    <x v="27"/>
    <n v="2228"/>
    <n v="17501.184000000001"/>
    <n v="7.8551095152603239"/>
    <n v="15591"/>
    <x v="4"/>
  </r>
  <r>
    <x v="0"/>
    <x v="28"/>
    <n v="27353"/>
    <n v="33259.118399999999"/>
    <n v="1.2159221438233465"/>
    <n v="68696"/>
    <x v="4"/>
  </r>
  <r>
    <x v="0"/>
    <x v="29"/>
    <n v="205"/>
    <n v="10245.312"/>
    <n v="49.977131707317071"/>
    <n v="339"/>
    <x v="0"/>
  </r>
  <r>
    <x v="0"/>
    <x v="30"/>
    <n v="5304"/>
    <n v="22456.915199999999"/>
    <n v="4.2339583710407238"/>
    <n v="7392"/>
    <x v="1"/>
  </r>
  <r>
    <x v="0"/>
    <x v="31"/>
    <n v="1346"/>
    <n v="22456.915199999999"/>
    <n v="16.68418662704309"/>
    <n v="998"/>
    <x v="1"/>
  </r>
  <r>
    <x v="0"/>
    <x v="32"/>
    <n v="1931"/>
    <n v="2713.6512000000002"/>
    <n v="1.4053087519419991"/>
    <n v="3286"/>
    <x v="1"/>
  </r>
  <r>
    <x v="0"/>
    <x v="33"/>
    <n v="1615"/>
    <n v="2119.7376000000004"/>
    <n v="1.3125310216718269"/>
    <n v="2525"/>
    <x v="1"/>
  </r>
  <r>
    <x v="0"/>
    <x v="34"/>
    <n v="488"/>
    <n v="4390.848"/>
    <n v="8.9976393442622946"/>
    <n v="348"/>
    <x v="1"/>
  </r>
  <r>
    <x v="0"/>
    <x v="35"/>
    <n v="766"/>
    <n v="2152.6560000000004"/>
    <n v="2.8102558746736297"/>
    <n v="766"/>
    <x v="1"/>
  </r>
  <r>
    <x v="0"/>
    <x v="36"/>
    <n v="9895"/>
    <n v="101704.89600000001"/>
    <n v="10.278412935826175"/>
    <n v="11902"/>
    <x v="4"/>
  </r>
  <r>
    <x v="0"/>
    <x v="37"/>
    <n v="968"/>
    <n v="1783.4256"/>
    <n v="1.8423818181818181"/>
    <n v="260"/>
    <x v="1"/>
  </r>
  <r>
    <x v="0"/>
    <x v="38"/>
    <n v="864"/>
    <n v="6498.8783999999996"/>
    <n v="7.5218499999999997"/>
    <n v="154"/>
    <x v="1"/>
  </r>
  <r>
    <x v="0"/>
    <x v="39"/>
    <n v="1337"/>
    <n v="1786.6224000000002"/>
    <n v="1.3362919970082274"/>
    <n v="669"/>
    <x v="1"/>
  </r>
  <r>
    <x v="0"/>
    <x v="40"/>
    <n v="1977"/>
    <n v="14832.979200000002"/>
    <n v="7.5027714719271632"/>
    <n v="1323"/>
    <x v="1"/>
  </r>
  <r>
    <x v="0"/>
    <x v="41"/>
    <n v="2947"/>
    <n v="16239.744000000001"/>
    <n v="5.5106019681031562"/>
    <n v="4594"/>
    <x v="1"/>
  </r>
  <r>
    <x v="0"/>
    <x v="42"/>
    <n v="344"/>
    <n v="8375.616"/>
    <n v="24.347720930232558"/>
    <n v="149"/>
    <x v="1"/>
  </r>
  <r>
    <x v="0"/>
    <x v="43"/>
    <n v="0"/>
    <n v="0"/>
    <s v=""/>
    <n v="4594"/>
    <x v="1"/>
  </r>
  <r>
    <x v="0"/>
    <x v="44"/>
    <n v="1413"/>
    <n v="29752.617600000001"/>
    <n v="21.056346496815287"/>
    <n v="696"/>
    <x v="1"/>
  </r>
  <r>
    <x v="0"/>
    <x v="45"/>
    <n v="917"/>
    <n v="12081.312"/>
    <n v="13.174822246455834"/>
    <n v="1914"/>
    <x v="1"/>
  </r>
  <r>
    <x v="0"/>
    <x v="46"/>
    <n v="2499"/>
    <n v="34662.167999999998"/>
    <n v="13.870415366146458"/>
    <n v="0"/>
    <x v="1"/>
  </r>
  <r>
    <x v="0"/>
    <x v="47"/>
    <n v="142"/>
    <n v="4084.5600000000004"/>
    <n v="28.764507042253523"/>
    <n v="232"/>
    <x v="0"/>
  </r>
  <r>
    <x v="0"/>
    <x v="48"/>
    <n v="158"/>
    <n v="2702.5920000000001"/>
    <n v="17.105012658227849"/>
    <n v="205"/>
    <x v="0"/>
  </r>
  <r>
    <x v="0"/>
    <x v="49"/>
    <n v="32629"/>
    <n v="46174.924800000001"/>
    <n v="1.4151498605534953"/>
    <n v="56664"/>
    <x v="1"/>
  </r>
  <r>
    <x v="0"/>
    <x v="50"/>
    <n v="0"/>
    <n v="0"/>
    <s v=""/>
    <n v="16287"/>
    <x v="3"/>
  </r>
  <r>
    <x v="0"/>
    <x v="51"/>
    <n v="5285"/>
    <n v="5215.7088000000003"/>
    <n v="0.9868890823084201"/>
    <n v="34664"/>
    <x v="4"/>
  </r>
  <r>
    <x v="0"/>
    <x v="52"/>
    <n v="168"/>
    <n v="883.35360000000003"/>
    <n v="5.258057142857143"/>
    <n v="529"/>
    <x v="3"/>
  </r>
  <r>
    <x v="0"/>
    <x v="53"/>
    <n v="488"/>
    <n v="1415.2320000000002"/>
    <n v="2.9000655737704921"/>
    <n v="195"/>
    <x v="3"/>
  </r>
  <r>
    <x v="0"/>
    <x v="54"/>
    <n v="7"/>
    <n v="4027.9680000000003"/>
    <n v="575.42400000000009"/>
    <n v="0"/>
    <x v="5"/>
  </r>
  <r>
    <x v="0"/>
    <x v="55"/>
    <n v="63"/>
    <n v="9227.3904000000002"/>
    <n v="146.46651428571428"/>
    <n v="14"/>
    <x v="5"/>
  </r>
  <r>
    <x v="0"/>
    <x v="56"/>
    <n v="96"/>
    <n v="5416.3296"/>
    <n v="56.420099999999998"/>
    <n v="28"/>
    <x v="5"/>
  </r>
  <r>
    <x v="0"/>
    <x v="57"/>
    <n v="28"/>
    <n v="2947.6224000000002"/>
    <n v="105.27222857142858"/>
    <n v="7"/>
    <x v="5"/>
  </r>
  <r>
    <x v="0"/>
    <x v="58"/>
    <n v="418"/>
    <n v="1026.432"/>
    <n v="2.4555789473684211"/>
    <n v="613"/>
    <x v="3"/>
  </r>
  <r>
    <x v="0"/>
    <x v="59"/>
    <n v="453"/>
    <n v="26813.592000000004"/>
    <n v="59.191152317880807"/>
    <n v="759"/>
    <x v="1"/>
  </r>
  <r>
    <x v="0"/>
    <x v="60"/>
    <n v="870"/>
    <n v="9153"/>
    <n v="10.520689655172413"/>
    <n v="3434"/>
    <x v="1"/>
  </r>
  <r>
    <x v="0"/>
    <x v="61"/>
    <n v="96"/>
    <n v="3649.0176000000001"/>
    <n v="38.010600000000004"/>
    <n v="7"/>
    <x v="5"/>
  </r>
  <r>
    <x v="0"/>
    <x v="62"/>
    <n v="418"/>
    <n v="3576.96"/>
    <n v="8.557320574162679"/>
    <n v="10"/>
    <x v="1"/>
  </r>
  <r>
    <x v="0"/>
    <x v="63"/>
    <n v="1671"/>
    <n v="821.14560000000006"/>
    <n v="0.49140969479353686"/>
    <n v="38475"/>
    <x v="3"/>
  </r>
  <r>
    <x v="0"/>
    <x v="64"/>
    <n v="0"/>
    <n v="0"/>
    <s v=""/>
    <n v="386"/>
    <x v="5"/>
  </r>
  <r>
    <x v="0"/>
    <x v="65"/>
    <n v="0"/>
    <n v="0"/>
    <s v=""/>
    <n v="0"/>
    <x v="5"/>
  </r>
  <r>
    <x v="0"/>
    <x v="66"/>
    <n v="0"/>
    <n v="0"/>
    <s v=""/>
    <n v="12"/>
    <x v="5"/>
  </r>
  <r>
    <x v="0"/>
    <x v="67"/>
    <n v="0"/>
    <n v="0"/>
    <s v=""/>
    <n v="374"/>
    <x v="5"/>
  </r>
  <r>
    <x v="0"/>
    <x v="68"/>
    <n v="154"/>
    <n v="18652.550400000004"/>
    <n v="121.12045714285716"/>
    <n v="35"/>
    <x v="5"/>
  </r>
  <r>
    <x v="0"/>
    <x v="69"/>
    <n v="0"/>
    <n v="0"/>
    <s v=""/>
    <n v="288"/>
    <x v="3"/>
  </r>
  <r>
    <x v="0"/>
    <x v="70"/>
    <n v="0"/>
    <n v="0"/>
    <s v=""/>
    <n v="12733"/>
    <x v="3"/>
  </r>
  <r>
    <x v="0"/>
    <x v="71"/>
    <n v="5568"/>
    <n v="6531.84"/>
    <n v="1.173103448275862"/>
    <n v="12876"/>
    <x v="4"/>
  </r>
  <r>
    <x v="0"/>
    <x v="72"/>
    <n v="179"/>
    <n v="24488.9568"/>
    <n v="136.80981452513967"/>
    <n v="28"/>
    <x v="5"/>
  </r>
  <r>
    <x v="0"/>
    <x v="73"/>
    <n v="4594"/>
    <n v="16448.572800000002"/>
    <n v="3.5804468437091863"/>
    <n v="8464"/>
    <x v="0"/>
  </r>
  <r>
    <x v="0"/>
    <x v="74"/>
    <n v="1798"/>
    <n v="26616.600000000002"/>
    <n v="14.80344827586207"/>
    <n v="0"/>
    <x v="1"/>
  </r>
  <r>
    <x v="0"/>
    <x v="75"/>
    <n v="96"/>
    <n v="13163.5584"/>
    <n v="137.12039999999999"/>
    <n v="47"/>
    <x v="5"/>
  </r>
  <r>
    <x v="0"/>
    <x v="76"/>
    <n v="4880"/>
    <n v="120385.00800000002"/>
    <n v="24.669059016393447"/>
    <n v="8234"/>
    <x v="4"/>
  </r>
  <r>
    <x v="0"/>
    <x v="77"/>
    <n v="383"/>
    <n v="4326.0048000000006"/>
    <n v="11.295051697127938"/>
    <n v="557"/>
    <x v="0"/>
  </r>
  <r>
    <x v="0"/>
    <x v="78"/>
    <n v="140"/>
    <n v="1181.9520000000002"/>
    <n v="8.442514285714287"/>
    <n v="808"/>
    <x v="3"/>
  </r>
  <r>
    <x v="0"/>
    <x v="79"/>
    <n v="2019"/>
    <n v="15187.694400000002"/>
    <n v="7.5223845468053501"/>
    <n v="720"/>
    <x v="1"/>
  </r>
  <r>
    <x v="0"/>
    <x v="80"/>
    <n v="114"/>
    <n v="24029.9136"/>
    <n v="210.78871578947368"/>
    <n v="52"/>
    <x v="0"/>
  </r>
  <r>
    <x v="0"/>
    <x v="81"/>
    <n v="557"/>
    <n v="2633.4720000000002"/>
    <n v="4.7279569120287253"/>
    <n v="140"/>
    <x v="3"/>
  </r>
  <r>
    <x v="0"/>
    <x v="82"/>
    <n v="2436"/>
    <n v="13009.248000000001"/>
    <n v="5.3404137931034485"/>
    <n v="0"/>
    <x v="3"/>
  </r>
  <r>
    <x v="0"/>
    <x v="83"/>
    <n v="112"/>
    <n v="199.88640000000004"/>
    <n v="1.7847000000000004"/>
    <n v="112"/>
    <x v="3"/>
  </r>
  <r>
    <x v="0"/>
    <x v="84"/>
    <n v="161"/>
    <n v="8936.4384000000009"/>
    <n v="55.50582857142858"/>
    <n v="156"/>
    <x v="0"/>
  </r>
  <r>
    <x v="0"/>
    <x v="85"/>
    <n v="0"/>
    <n v="0"/>
    <s v=""/>
    <n v="1935"/>
    <x v="3"/>
  </r>
  <r>
    <x v="0"/>
    <x v="86"/>
    <n v="1235"/>
    <n v="3658.7808000000005"/>
    <n v="2.9625755465587047"/>
    <n v="488"/>
    <x v="1"/>
  </r>
  <r>
    <x v="0"/>
    <x v="87"/>
    <n v="288"/>
    <n v="9304.7616000000016"/>
    <n v="32.308200000000006"/>
    <n v="0"/>
    <x v="3"/>
  </r>
  <r>
    <x v="0"/>
    <x v="88"/>
    <n v="7879"/>
    <n v="8626.3919999999998"/>
    <n v="1.0948587384185811"/>
    <n v="6652"/>
    <x v="3"/>
  </r>
  <r>
    <x v="0"/>
    <x v="89"/>
    <n v="2478"/>
    <n v="12457.152"/>
    <n v="5.0270992736077478"/>
    <n v="1420"/>
    <x v="1"/>
  </r>
  <r>
    <x v="0"/>
    <x v="90"/>
    <n v="149"/>
    <n v="2156.5439999999999"/>
    <n v="14.473449664429529"/>
    <n v="1578"/>
    <x v="3"/>
  </r>
  <r>
    <x v="0"/>
    <x v="91"/>
    <n v="706"/>
    <n v="9442.4832000000024"/>
    <n v="13.374622096317283"/>
    <n v="1782"/>
    <x v="3"/>
  </r>
  <r>
    <x v="0"/>
    <x v="92"/>
    <n v="1114"/>
    <n v="7153.92"/>
    <n v="6.4218312387791743"/>
    <n v="669"/>
    <x v="1"/>
  </r>
  <r>
    <x v="0"/>
    <x v="93"/>
    <n v="0"/>
    <n v="0"/>
    <s v=""/>
    <n v="0"/>
    <x v="1"/>
  </r>
  <r>
    <x v="0"/>
    <x v="94"/>
    <n v="6292"/>
    <n v="40958.567999999999"/>
    <n v="6.5096261919898284"/>
    <n v="7545"/>
    <x v="1"/>
  </r>
  <r>
    <x v="0"/>
    <x v="95"/>
    <n v="1003"/>
    <n v="2620.2096000000001"/>
    <n v="2.6123724825523431"/>
    <n v="209"/>
    <x v="1"/>
  </r>
  <r>
    <x v="0"/>
    <x v="96"/>
    <n v="706"/>
    <n v="4662.1440000000002"/>
    <n v="6.6036033994334282"/>
    <n v="195"/>
    <x v="1"/>
  </r>
  <r>
    <x v="0"/>
    <x v="97"/>
    <n v="919"/>
    <n v="4947.3936000000003"/>
    <n v="5.3834533188248104"/>
    <n v="669"/>
    <x v="1"/>
  </r>
  <r>
    <x v="0"/>
    <x v="98"/>
    <n v="780"/>
    <n v="6909.2352000000001"/>
    <n v="8.8579938461538461"/>
    <n v="455"/>
    <x v="1"/>
  </r>
  <r>
    <x v="0"/>
    <x v="99"/>
    <n v="84"/>
    <n v="11558.2464"/>
    <n v="137.59817142857142"/>
    <n v="0"/>
    <x v="5"/>
  </r>
  <r>
    <x v="0"/>
    <x v="100"/>
    <n v="2200"/>
    <n v="61737.552000000003"/>
    <n v="28.062523636363636"/>
    <n v="2005"/>
    <x v="4"/>
  </r>
  <r>
    <x v="0"/>
    <x v="101"/>
    <n v="1244"/>
    <n v="54530.495999999999"/>
    <n v="43.8348038585209"/>
    <n v="956"/>
    <x v="5"/>
  </r>
  <r>
    <x v="0"/>
    <x v="102"/>
    <n v="358"/>
    <n v="10817.452800000001"/>
    <n v="30.216348603351957"/>
    <n v="98"/>
    <x v="0"/>
  </r>
  <r>
    <x v="0"/>
    <x v="103"/>
    <n v="116"/>
    <n v="5961.6"/>
    <n v="51.393103448275866"/>
    <n v="21"/>
    <x v="0"/>
  </r>
  <r>
    <x v="0"/>
    <x v="104"/>
    <n v="0"/>
    <n v="0"/>
    <s v=""/>
    <n v="52432"/>
    <x v="0"/>
  </r>
  <r>
    <x v="0"/>
    <x v="105"/>
    <n v="14292"/>
    <n v="127733.76000000001"/>
    <n v="8.9374307304785905"/>
    <n v="4443"/>
    <x v="4"/>
  </r>
  <r>
    <x v="0"/>
    <x v="106"/>
    <n v="0"/>
    <n v="0"/>
    <s v=""/>
    <n v="0"/>
    <x v="1"/>
  </r>
  <r>
    <x v="1"/>
    <x v="0"/>
    <n v="2759"/>
    <n v="18542.692800000001"/>
    <n v="6.7208020297209137"/>
    <n v="10721"/>
    <x v="0"/>
  </r>
  <r>
    <x v="1"/>
    <x v="1"/>
    <n v="2887"/>
    <n v="15853.536000000002"/>
    <n v="5.4913529615517849"/>
    <n v="5151"/>
    <x v="1"/>
  </r>
  <r>
    <x v="1"/>
    <x v="2"/>
    <n v="1351"/>
    <n v="10243.022400000002"/>
    <n v="7.5818078460399718"/>
    <n v="1351"/>
    <x v="3"/>
  </r>
  <r>
    <x v="1"/>
    <x v="3"/>
    <n v="1457"/>
    <n v="24552.288"/>
    <n v="16.851261496225121"/>
    <n v="2733"/>
    <x v="0"/>
  </r>
  <r>
    <x v="1"/>
    <x v="4"/>
    <n v="1114"/>
    <n v="717.46560000000011"/>
    <n v="0.64404452423698388"/>
    <n v="9403"/>
    <x v="3"/>
  </r>
  <r>
    <x v="1"/>
    <x v="5"/>
    <n v="56"/>
    <n v="1158.7104000000002"/>
    <n v="20.691257142857147"/>
    <n v="116"/>
    <x v="3"/>
  </r>
  <r>
    <x v="1"/>
    <x v="6"/>
    <n v="738"/>
    <n v="10039.420800000002"/>
    <n v="13.603551219512198"/>
    <n v="989"/>
    <x v="3"/>
  </r>
  <r>
    <x v="1"/>
    <x v="7"/>
    <n v="0"/>
    <n v="0"/>
    <s v=""/>
    <n v="13531"/>
    <x v="3"/>
  </r>
  <r>
    <x v="1"/>
    <x v="8"/>
    <n v="321"/>
    <n v="7392.3840000000009"/>
    <n v="23.029233644859815"/>
    <n v="808"/>
    <x v="3"/>
  </r>
  <r>
    <x v="1"/>
    <x v="10"/>
    <n v="738"/>
    <n v="18628.185600000001"/>
    <n v="25.241443902439027"/>
    <n v="372"/>
    <x v="5"/>
  </r>
  <r>
    <x v="1"/>
    <x v="11"/>
    <n v="560"/>
    <n v="14117.587200000002"/>
    <n v="25.209977142857145"/>
    <n v="430"/>
    <x v="5"/>
  </r>
  <r>
    <x v="1"/>
    <x v="12"/>
    <n v="669"/>
    <n v="12416.7168"/>
    <n v="18.560114798206278"/>
    <n v="2413"/>
    <x v="4"/>
  </r>
  <r>
    <x v="1"/>
    <x v="13"/>
    <n v="56"/>
    <n v="1737.6768000000002"/>
    <n v="31.02994285714286"/>
    <n v="174"/>
    <x v="3"/>
  </r>
  <r>
    <x v="1"/>
    <x v="14"/>
    <n v="154"/>
    <n v="2037.1824000000001"/>
    <n v="13.228457142857144"/>
    <n v="766"/>
    <x v="3"/>
  </r>
  <r>
    <x v="1"/>
    <x v="15"/>
    <n v="404"/>
    <n v="4277.0591999999997"/>
    <n v="10.586780198019801"/>
    <n v="543"/>
    <x v="3"/>
  </r>
  <r>
    <x v="1"/>
    <x v="16"/>
    <n v="613"/>
    <n v="6375.2832000000008"/>
    <n v="10.400135725938011"/>
    <n v="2757"/>
    <x v="3"/>
  </r>
  <r>
    <x v="1"/>
    <x v="17"/>
    <n v="571"/>
    <n v="6610.1184000000003"/>
    <n v="11.576389492119089"/>
    <n v="2993"/>
    <x v="3"/>
  </r>
  <r>
    <x v="1"/>
    <x v="18"/>
    <n v="3272"/>
    <n v="12791.52"/>
    <n v="3.909388753056235"/>
    <n v="383"/>
    <x v="0"/>
  </r>
  <r>
    <x v="1"/>
    <x v="19"/>
    <n v="6014"/>
    <n v="55427.328000000001"/>
    <n v="9.2163831060858001"/>
    <n v="0"/>
    <x v="1"/>
  </r>
  <r>
    <x v="1"/>
    <x v="20"/>
    <n v="2636"/>
    <n v="2429.2224000000006"/>
    <n v="0.92155629742033407"/>
    <n v="27618"/>
    <x v="3"/>
  </r>
  <r>
    <x v="1"/>
    <x v="21"/>
    <n v="3564"/>
    <n v="3284.5824000000002"/>
    <n v="0.92160000000000009"/>
    <n v="127805"/>
    <x v="3"/>
  </r>
  <r>
    <x v="1"/>
    <x v="22"/>
    <n v="-836"/>
    <n v="-373.24800000000005"/>
    <n v="0.44646889952153118"/>
    <n v="47816"/>
    <x v="3"/>
  </r>
  <r>
    <x v="1"/>
    <x v="23"/>
    <n v="9512"/>
    <n v="34892.639999999999"/>
    <n v="3.6682758620689655"/>
    <n v="66816"/>
    <x v="1"/>
  </r>
  <r>
    <x v="1"/>
    <x v="24"/>
    <n v="14825"/>
    <n v="53829.36"/>
    <n v="3.6309854974704892"/>
    <n v="29279"/>
    <x v="1"/>
  </r>
  <r>
    <x v="1"/>
    <x v="25"/>
    <n v="1235"/>
    <n v="48722.688000000002"/>
    <n v="39.451569230769231"/>
    <n v="1005"/>
    <x v="0"/>
  </r>
  <r>
    <x v="1"/>
    <x v="26"/>
    <n v="1126"/>
    <n v="19694.88"/>
    <n v="17.491012433392541"/>
    <n v="1747"/>
    <x v="0"/>
  </r>
  <r>
    <x v="1"/>
    <x v="27"/>
    <n v="8018"/>
    <n v="65407.996800000001"/>
    <n v="8.1576448989773009"/>
    <n v="20129"/>
    <x v="4"/>
  </r>
  <r>
    <x v="1"/>
    <x v="28"/>
    <n v="37689"/>
    <n v="45826.516800000005"/>
    <n v="1.2159122502586963"/>
    <n v="84147"/>
    <x v="4"/>
  </r>
  <r>
    <x v="1"/>
    <x v="29"/>
    <n v="260"/>
    <n v="13039.488000000001"/>
    <n v="50.151876923076927"/>
    <n v="434"/>
    <x v="0"/>
  </r>
  <r>
    <x v="1"/>
    <x v="30"/>
    <n v="6369"/>
    <n v="26966.001600000003"/>
    <n v="4.2339459255770144"/>
    <n v="8018"/>
    <x v="1"/>
  </r>
  <r>
    <x v="1"/>
    <x v="31"/>
    <n v="348"/>
    <n v="2734.5600000000004"/>
    <n v="7.8579310344827595"/>
    <n v="673"/>
    <x v="1"/>
  </r>
  <r>
    <x v="1"/>
    <x v="32"/>
    <n v="6329"/>
    <n v="8897.6448"/>
    <n v="1.4058531837573076"/>
    <n v="4566"/>
    <x v="1"/>
  </r>
  <r>
    <x v="1"/>
    <x v="33"/>
    <n v="2766"/>
    <n v="3630.3552000000004"/>
    <n v="1.3124928416485901"/>
    <n v="3137"/>
    <x v="1"/>
  </r>
  <r>
    <x v="1"/>
    <x v="34"/>
    <n v="1253"/>
    <n v="11290.752"/>
    <n v="9.0109752593774939"/>
    <n v="1346"/>
    <x v="1"/>
  </r>
  <r>
    <x v="1"/>
    <x v="35"/>
    <n v="0"/>
    <n v="0"/>
    <s v=""/>
    <n v="0"/>
    <x v="1"/>
  </r>
  <r>
    <x v="1"/>
    <x v="36"/>
    <n v="4234"/>
    <n v="43519.68"/>
    <n v="10.278620689655172"/>
    <n v="19546"/>
    <x v="4"/>
  </r>
  <r>
    <x v="1"/>
    <x v="37"/>
    <n v="708"/>
    <n v="1304.424"/>
    <n v="1.8424067796610168"/>
    <n v="168"/>
    <x v="1"/>
  </r>
  <r>
    <x v="1"/>
    <x v="38"/>
    <n v="1601"/>
    <n v="12030.508800000001"/>
    <n v="7.5143715178013748"/>
    <n v="56"/>
    <x v="1"/>
  </r>
  <r>
    <x v="1"/>
    <x v="39"/>
    <n v="2840"/>
    <n v="3796.5456000000004"/>
    <n v="1.3368118309859156"/>
    <n v="947"/>
    <x v="1"/>
  </r>
  <r>
    <x v="1"/>
    <x v="40"/>
    <n v="2436"/>
    <n v="18280.080000000002"/>
    <n v="7.5041379310344833"/>
    <n v="1518"/>
    <x v="1"/>
  </r>
  <r>
    <x v="1"/>
    <x v="41"/>
    <n v="2251"/>
    <n v="12403.584000000001"/>
    <n v="5.5102549977787652"/>
    <n v="4780"/>
    <x v="1"/>
  </r>
  <r>
    <x v="1"/>
    <x v="42"/>
    <n v="418"/>
    <n v="10186.560000000001"/>
    <n v="24.369760765550243"/>
    <n v="335"/>
    <x v="1"/>
  </r>
  <r>
    <x v="1"/>
    <x v="43"/>
    <n v="604"/>
    <n v="1943.1360000000002"/>
    <n v="3.2171125827814571"/>
    <n v="5893"/>
    <x v="1"/>
  </r>
  <r>
    <x v="1"/>
    <x v="44"/>
    <n v="717"/>
    <n v="15096.153600000001"/>
    <n v="21.054607531380753"/>
    <n v="703"/>
    <x v="1"/>
  </r>
  <r>
    <x v="1"/>
    <x v="45"/>
    <n v="1601"/>
    <n v="21104.064000000002"/>
    <n v="13.181801374141163"/>
    <n v="2228"/>
    <x v="1"/>
  </r>
  <r>
    <x v="1"/>
    <x v="46"/>
    <n v="2499"/>
    <n v="34662.167999999998"/>
    <n v="13.870415366146458"/>
    <n v="181"/>
    <x v="1"/>
  </r>
  <r>
    <x v="1"/>
    <x v="47"/>
    <n v="216"/>
    <n v="6227.2800000000007"/>
    <n v="28.830000000000002"/>
    <n v="316"/>
    <x v="0"/>
  </r>
  <r>
    <x v="1"/>
    <x v="48"/>
    <n v="214"/>
    <n v="3656.4480000000003"/>
    <n v="17.086205607476636"/>
    <n v="230"/>
    <x v="0"/>
  </r>
  <r>
    <x v="1"/>
    <x v="49"/>
    <n v="61211"/>
    <n v="86623.948800000013"/>
    <n v="1.4151696394438911"/>
    <n v="49036"/>
    <x v="1"/>
  </r>
  <r>
    <x v="1"/>
    <x v="51"/>
    <n v="30311"/>
    <n v="29913.624"/>
    <n v="0.98689003991950119"/>
    <n v="53316"/>
    <x v="4"/>
  </r>
  <r>
    <x v="1"/>
    <x v="52"/>
    <n v="126"/>
    <n v="662.51520000000005"/>
    <n v="5.258057142857143"/>
    <n v="613"/>
    <x v="3"/>
  </r>
  <r>
    <x v="1"/>
    <x v="53"/>
    <n v="293"/>
    <n v="849.13920000000007"/>
    <n v="2.8980860068259386"/>
    <n v="321"/>
    <x v="3"/>
  </r>
  <r>
    <x v="1"/>
    <x v="54"/>
    <n v="5"/>
    <n v="2685.3120000000004"/>
    <n v="537.06240000000003"/>
    <n v="0"/>
    <x v="5"/>
  </r>
  <r>
    <x v="1"/>
    <x v="55"/>
    <n v="49"/>
    <n v="7176.8591999999999"/>
    <n v="146.46651428571428"/>
    <n v="12"/>
    <x v="5"/>
  </r>
  <r>
    <x v="1"/>
    <x v="56"/>
    <n v="114"/>
    <n v="6473.1744000000008"/>
    <n v="56.782231578947375"/>
    <n v="10"/>
    <x v="5"/>
  </r>
  <r>
    <x v="1"/>
    <x v="57"/>
    <n v="21"/>
    <n v="2210.7168000000001"/>
    <n v="105.27222857142858"/>
    <n v="7"/>
    <x v="5"/>
  </r>
  <r>
    <x v="1"/>
    <x v="58"/>
    <n v="362"/>
    <n v="889.57439999999997"/>
    <n v="2.4573878453038671"/>
    <n v="794"/>
    <x v="3"/>
  </r>
  <r>
    <x v="1"/>
    <x v="59"/>
    <n v="1386"/>
    <n v="82090.843200000003"/>
    <n v="59.228602597402599"/>
    <n v="773"/>
    <x v="1"/>
  </r>
  <r>
    <x v="1"/>
    <x v="60"/>
    <n v="1195"/>
    <n v="12570.12"/>
    <n v="10.518928870292887"/>
    <n v="4675"/>
    <x v="1"/>
  </r>
  <r>
    <x v="1"/>
    <x v="61"/>
    <n v="89"/>
    <n v="3382.0416"/>
    <n v="38.000467415730334"/>
    <n v="19"/>
    <x v="5"/>
  </r>
  <r>
    <x v="1"/>
    <x v="62"/>
    <n v="409"/>
    <n v="3497.4720000000002"/>
    <n v="8.5512762836185825"/>
    <n v="0"/>
    <x v="1"/>
  </r>
  <r>
    <x v="1"/>
    <x v="63"/>
    <n v="2729"/>
    <n v="1341.1872000000001"/>
    <n v="0.49145738365701724"/>
    <n v="59355"/>
    <x v="3"/>
  </r>
  <r>
    <x v="1"/>
    <x v="64"/>
    <n v="1933"/>
    <n v="169528.16159999999"/>
    <n v="87.702101189860315"/>
    <n v="996"/>
    <x v="5"/>
  </r>
  <r>
    <x v="1"/>
    <x v="65"/>
    <n v="348"/>
    <n v="16089.840000000002"/>
    <n v="46.235172413793109"/>
    <n v="14"/>
    <x v="5"/>
  </r>
  <r>
    <x v="1"/>
    <x v="66"/>
    <n v="337"/>
    <n v="16806.312000000002"/>
    <n v="49.870362017804162"/>
    <n v="84"/>
    <x v="5"/>
  </r>
  <r>
    <x v="1"/>
    <x v="67"/>
    <n v="1031"/>
    <n v="52958.188800000004"/>
    <n v="51.365847526673136"/>
    <n v="555"/>
    <x v="5"/>
  </r>
  <r>
    <x v="1"/>
    <x v="68"/>
    <n v="358"/>
    <n v="43522.617600000005"/>
    <n v="121.57155754189945"/>
    <n v="45"/>
    <x v="5"/>
  </r>
  <r>
    <x v="1"/>
    <x v="69"/>
    <n v="103"/>
    <n v="2913.9264000000003"/>
    <n v="28.290547572815537"/>
    <n v="455"/>
    <x v="3"/>
  </r>
  <r>
    <x v="1"/>
    <x v="70"/>
    <n v="780"/>
    <n v="1437.0047999999999"/>
    <n v="1.842313846153846"/>
    <n v="15289"/>
    <x v="3"/>
  </r>
  <r>
    <x v="1"/>
    <x v="71"/>
    <n v="14616"/>
    <n v="17146.080000000002"/>
    <n v="1.1731034482758622"/>
    <n v="19720"/>
    <x v="4"/>
  </r>
  <r>
    <x v="1"/>
    <x v="72"/>
    <n v="151"/>
    <n v="20672.496000000003"/>
    <n v="136.90394701986756"/>
    <n v="33"/>
    <x v="5"/>
  </r>
  <r>
    <x v="1"/>
    <x v="73"/>
    <n v="4483"/>
    <n v="16049.836800000001"/>
    <n v="3.5801554316306046"/>
    <n v="11220"/>
    <x v="0"/>
  </r>
  <r>
    <x v="1"/>
    <x v="74"/>
    <n v="1798"/>
    <n v="26616.600000000002"/>
    <n v="14.80344827586207"/>
    <n v="0"/>
    <x v="1"/>
  </r>
  <r>
    <x v="1"/>
    <x v="75"/>
    <n v="49"/>
    <n v="6742.3104000000003"/>
    <n v="137.59817142857145"/>
    <n v="49"/>
    <x v="5"/>
  </r>
  <r>
    <x v="1"/>
    <x v="76"/>
    <n v="3104"/>
    <n v="77433.753599999996"/>
    <n v="24.946441237113401"/>
    <n v="12982"/>
    <x v="4"/>
  </r>
  <r>
    <x v="1"/>
    <x v="77"/>
    <n v="2332"/>
    <n v="26349.192000000003"/>
    <n v="11.298967409948544"/>
    <n v="696"/>
    <x v="0"/>
  </r>
  <r>
    <x v="1"/>
    <x v="78"/>
    <n v="279"/>
    <n v="2363.9040000000005"/>
    <n v="8.4727741935483891"/>
    <n v="669"/>
    <x v="3"/>
  </r>
  <r>
    <x v="1"/>
    <x v="79"/>
    <n v="1300"/>
    <n v="9775.9872000000014"/>
    <n v="7.5199901538461553"/>
    <n v="0"/>
    <x v="1"/>
  </r>
  <r>
    <x v="1"/>
    <x v="80"/>
    <n v="156"/>
    <n v="32857.228800000004"/>
    <n v="210.62326153846158"/>
    <n v="21"/>
    <x v="0"/>
  </r>
  <r>
    <x v="1"/>
    <x v="81"/>
    <n v="418"/>
    <n v="1975.104"/>
    <n v="4.7251291866028708"/>
    <n v="0"/>
    <x v="3"/>
  </r>
  <r>
    <x v="1"/>
    <x v="82"/>
    <n v="2436"/>
    <n v="13009.248000000001"/>
    <n v="5.3404137931034485"/>
    <n v="0"/>
    <x v="3"/>
  </r>
  <r>
    <x v="1"/>
    <x v="84"/>
    <n v="79"/>
    <n v="4403.4624000000003"/>
    <n v="55.740030379746841"/>
    <n v="179"/>
    <x v="0"/>
  </r>
  <r>
    <x v="1"/>
    <x v="86"/>
    <n v="748"/>
    <n v="2214.5184000000004"/>
    <n v="2.960586096256685"/>
    <n v="325"/>
    <x v="1"/>
  </r>
  <r>
    <x v="1"/>
    <x v="87"/>
    <n v="288"/>
    <n v="9304.7616000000016"/>
    <n v="32.308200000000006"/>
    <n v="70"/>
    <x v="3"/>
  </r>
  <r>
    <x v="1"/>
    <x v="88"/>
    <n v="5086"/>
    <n v="5568.0480000000007"/>
    <n v="1.0947793944160442"/>
    <n v="9125"/>
    <x v="3"/>
  </r>
  <r>
    <x v="1"/>
    <x v="89"/>
    <n v="3286"/>
    <n v="16516.224000000002"/>
    <n v="5.0262398052343285"/>
    <n v="3202"/>
    <x v="1"/>
  </r>
  <r>
    <x v="1"/>
    <x v="90"/>
    <n v="1058"/>
    <n v="15365.376000000002"/>
    <n v="14.523039697542535"/>
    <n v="1838"/>
    <x v="3"/>
  </r>
  <r>
    <x v="1"/>
    <x v="91"/>
    <n v="0"/>
    <n v="0"/>
    <s v=""/>
    <n v="1207"/>
    <x v="3"/>
  </r>
  <r>
    <x v="1"/>
    <x v="92"/>
    <n v="1337"/>
    <n v="9176.9328000000005"/>
    <n v="6.863824083769634"/>
    <n v="650"/>
    <x v="1"/>
  </r>
  <r>
    <x v="1"/>
    <x v="93"/>
    <n v="18375"/>
    <n v="26002.944"/>
    <n v="1.4151262040816326"/>
    <n v="2079"/>
    <x v="1"/>
  </r>
  <r>
    <x v="1"/>
    <x v="94"/>
    <n v="6933"/>
    <n v="45798.134400000003"/>
    <n v="6.6058177412375603"/>
    <n v="11025"/>
    <x v="1"/>
  </r>
  <r>
    <x v="1"/>
    <x v="95"/>
    <n v="794"/>
    <n v="2074.3344000000002"/>
    <n v="2.6125118387909323"/>
    <n v="376"/>
    <x v="1"/>
  </r>
  <r>
    <x v="1"/>
    <x v="96"/>
    <n v="808"/>
    <n v="5336.9280000000008"/>
    <n v="6.6051089108910901"/>
    <n v="195"/>
    <x v="1"/>
  </r>
  <r>
    <x v="1"/>
    <x v="97"/>
    <n v="251"/>
    <n v="1349.3088"/>
    <n v="5.3757322709163349"/>
    <n v="251"/>
    <x v="1"/>
  </r>
  <r>
    <x v="1"/>
    <x v="98"/>
    <n v="845"/>
    <n v="7485.0048000000006"/>
    <n v="8.8579938461538461"/>
    <n v="520"/>
    <x v="1"/>
  </r>
  <r>
    <x v="1"/>
    <x v="99"/>
    <n v="84"/>
    <n v="11558.2464"/>
    <n v="137.59817142857142"/>
    <n v="0"/>
    <x v="5"/>
  </r>
  <r>
    <x v="1"/>
    <x v="100"/>
    <n v="2423"/>
    <n v="67989.456000000006"/>
    <n v="28.060031366075115"/>
    <n v="1912"/>
    <x v="4"/>
  </r>
  <r>
    <x v="1"/>
    <x v="101"/>
    <n v="235"/>
    <n v="10275.336000000001"/>
    <n v="43.724834042553198"/>
    <n v="235"/>
    <x v="5"/>
  </r>
  <r>
    <x v="1"/>
    <x v="102"/>
    <n v="260"/>
    <n v="7867.2384000000002"/>
    <n v="30.258609230769231"/>
    <n v="256"/>
    <x v="0"/>
  </r>
  <r>
    <x v="1"/>
    <x v="103"/>
    <n v="96"/>
    <n v="4888.5119999999997"/>
    <n v="50.921999999999997"/>
    <n v="38"/>
    <x v="0"/>
  </r>
  <r>
    <x v="1"/>
    <x v="104"/>
    <n v="15869"/>
    <n v="12765.081600000001"/>
    <n v="0.80440365492469601"/>
    <n v="67188"/>
    <x v="0"/>
  </r>
  <r>
    <x v="1"/>
    <x v="105"/>
    <n v="9849"/>
    <n v="88024.320000000007"/>
    <n v="8.9373865367042349"/>
    <n v="9756"/>
    <x v="4"/>
  </r>
  <r>
    <x v="1"/>
    <x v="107"/>
    <n v="0"/>
    <n v="0"/>
    <s v=""/>
    <n v="0"/>
    <x v="4"/>
  </r>
  <r>
    <x v="1"/>
    <x v="106"/>
    <n v="9338"/>
    <n v="46652.025600000001"/>
    <n v="4.9959333476119081"/>
    <n v="8236"/>
    <x v="1"/>
  </r>
  <r>
    <x v="2"/>
    <x v="0"/>
    <n v="808"/>
    <n v="5427.1296000000002"/>
    <n v="6.7167445544554454"/>
    <n v="5214"/>
    <x v="0"/>
  </r>
  <r>
    <x v="2"/>
    <x v="1"/>
    <n v="4251"/>
    <n v="23347.008000000002"/>
    <n v="5.4921213832039522"/>
    <n v="2812"/>
    <x v="1"/>
  </r>
  <r>
    <x v="2"/>
    <x v="3"/>
    <n v="1216"/>
    <n v="20486.304"/>
    <n v="16.84728947368421"/>
    <n v="1200"/>
    <x v="0"/>
  </r>
  <r>
    <x v="2"/>
    <x v="4"/>
    <n v="446"/>
    <n v="286.97760000000005"/>
    <n v="0.64344753363228713"/>
    <n v="5513"/>
    <x v="3"/>
  </r>
  <r>
    <x v="2"/>
    <x v="5"/>
    <n v="40"/>
    <n v="820.75680000000011"/>
    <n v="20.518920000000001"/>
    <n v="33"/>
    <x v="3"/>
  </r>
  <r>
    <x v="2"/>
    <x v="6"/>
    <n v="168"/>
    <n v="2273.0976000000001"/>
    <n v="13.530342857142857"/>
    <n v="808"/>
    <x v="3"/>
  </r>
  <r>
    <x v="2"/>
    <x v="7"/>
    <n v="84"/>
    <n v="67.348799999999997"/>
    <n v="0.80177142857142858"/>
    <n v="11693"/>
    <x v="3"/>
  </r>
  <r>
    <x v="2"/>
    <x v="8"/>
    <n v="432"/>
    <n v="9963.648000000001"/>
    <n v="23.064000000000004"/>
    <n v="432"/>
    <x v="3"/>
  </r>
  <r>
    <x v="2"/>
    <x v="10"/>
    <n v="365"/>
    <n v="9196.9344000000001"/>
    <n v="25.197080547945205"/>
    <n v="177"/>
    <x v="5"/>
  </r>
  <r>
    <x v="2"/>
    <x v="11"/>
    <n v="404"/>
    <n v="10192.7808"/>
    <n v="25.229655445544555"/>
    <n v="207"/>
    <x v="5"/>
  </r>
  <r>
    <x v="2"/>
    <x v="12"/>
    <n v="1453"/>
    <n v="26989.113600000001"/>
    <n v="18.574751273227804"/>
    <n v="706"/>
    <x v="4"/>
  </r>
  <r>
    <x v="2"/>
    <x v="13"/>
    <n v="21"/>
    <n v="651.62880000000007"/>
    <n v="31.02994285714286"/>
    <n v="84"/>
    <x v="3"/>
  </r>
  <r>
    <x v="2"/>
    <x v="14"/>
    <n v="38"/>
    <n v="493.86239999999998"/>
    <n v="12.99637894736842"/>
    <n v="708"/>
    <x v="3"/>
  </r>
  <r>
    <x v="2"/>
    <x v="15"/>
    <n v="0"/>
    <n v="0"/>
    <s v=""/>
    <n v="724"/>
    <x v="3"/>
  </r>
  <r>
    <x v="2"/>
    <x v="16"/>
    <n v="98"/>
    <n v="1014.2496000000001"/>
    <n v="10.349485714285715"/>
    <n v="1963"/>
    <x v="3"/>
  </r>
  <r>
    <x v="2"/>
    <x v="17"/>
    <n v="348"/>
    <n v="4030.5600000000004"/>
    <n v="11.582068965517243"/>
    <n v="1880"/>
    <x v="3"/>
  </r>
  <r>
    <x v="2"/>
    <x v="18"/>
    <n v="2889"/>
    <n v="11294.640000000001"/>
    <n v="3.9095327102803741"/>
    <n v="174"/>
    <x v="0"/>
  </r>
  <r>
    <x v="2"/>
    <x v="19"/>
    <n v="6014"/>
    <n v="55427.328000000001"/>
    <n v="9.2163831060858001"/>
    <n v="502"/>
    <x v="1"/>
  </r>
  <r>
    <x v="2"/>
    <x v="20"/>
    <n v="75"/>
    <n v="68.42880000000001"/>
    <n v="0.91238400000000008"/>
    <n v="9615"/>
    <x v="3"/>
  </r>
  <r>
    <x v="2"/>
    <x v="21"/>
    <n v="3675"/>
    <n v="3387.2256000000002"/>
    <n v="0.92169404081632655"/>
    <n v="44359"/>
    <x v="3"/>
  </r>
  <r>
    <x v="2"/>
    <x v="22"/>
    <n v="0"/>
    <n v="0"/>
    <s v=""/>
    <n v="35288"/>
    <x v="3"/>
  </r>
  <r>
    <x v="2"/>
    <x v="23"/>
    <n v="9976"/>
    <n v="36594.720000000001"/>
    <n v="3.6682758620689655"/>
    <n v="17168"/>
    <x v="1"/>
  </r>
  <r>
    <x v="2"/>
    <x v="24"/>
    <n v="12273"/>
    <n v="44562.960000000006"/>
    <n v="3.6309753116597414"/>
    <n v="13433"/>
    <x v="1"/>
  </r>
  <r>
    <x v="2"/>
    <x v="25"/>
    <n v="230"/>
    <n v="9066.8160000000007"/>
    <n v="39.420939130434789"/>
    <n v="683"/>
    <x v="0"/>
  </r>
  <r>
    <x v="2"/>
    <x v="26"/>
    <n v="548"/>
    <n v="9583.4880000000012"/>
    <n v="17.488116788321172"/>
    <n v="1193"/>
    <x v="0"/>
  </r>
  <r>
    <x v="2"/>
    <x v="27"/>
    <n v="15507"/>
    <n v="126731.86560000002"/>
    <n v="8.1725585606500299"/>
    <n v="9772"/>
    <x v="4"/>
  </r>
  <r>
    <x v="2"/>
    <x v="28"/>
    <n v="32469"/>
    <n v="39479.356800000001"/>
    <n v="1.2159092303427885"/>
    <n v="46354"/>
    <x v="4"/>
  </r>
  <r>
    <x v="2"/>
    <x v="29"/>
    <n v="140"/>
    <n v="6985.4400000000005"/>
    <n v="49.896000000000001"/>
    <n v="161"/>
    <x v="0"/>
  </r>
  <r>
    <x v="2"/>
    <x v="30"/>
    <n v="5241"/>
    <n v="22191.710400000004"/>
    <n v="4.2342511734401835"/>
    <n v="5367"/>
    <x v="1"/>
  </r>
  <r>
    <x v="2"/>
    <x v="31"/>
    <n v="1764"/>
    <n v="13855.103999999999"/>
    <n v="7.8543673469387754"/>
    <n v="279"/>
    <x v="1"/>
  </r>
  <r>
    <x v="2"/>
    <x v="32"/>
    <n v="1782"/>
    <n v="2504.9088000000002"/>
    <n v="1.4056727272727274"/>
    <n v="2822"/>
    <x v="1"/>
  </r>
  <r>
    <x v="2"/>
    <x v="33"/>
    <n v="3286"/>
    <n v="4312.5695999999998"/>
    <n v="1.3124070602556299"/>
    <n v="2413"/>
    <x v="1"/>
  </r>
  <r>
    <x v="2"/>
    <x v="34"/>
    <n v="1996"/>
    <n v="17981.567999999999"/>
    <n v="9.0088016032064129"/>
    <n v="511"/>
    <x v="1"/>
  </r>
  <r>
    <x v="2"/>
    <x v="35"/>
    <n v="1253"/>
    <n v="3522.5280000000002"/>
    <n v="2.8112753391859537"/>
    <n v="0"/>
    <x v="1"/>
  </r>
  <r>
    <x v="2"/>
    <x v="36"/>
    <n v="12505"/>
    <n v="128532.09600000001"/>
    <n v="10.278456297481007"/>
    <n v="7390"/>
    <x v="4"/>
  </r>
  <r>
    <x v="2"/>
    <x v="37"/>
    <n v="541"/>
    <n v="996.49440000000004"/>
    <n v="1.8419489833641405"/>
    <n v="297"/>
    <x v="1"/>
  </r>
  <r>
    <x v="2"/>
    <x v="38"/>
    <n v="1546"/>
    <n v="11612.073600000002"/>
    <n v="7.511043725743856"/>
    <n v="0"/>
    <x v="1"/>
  </r>
  <r>
    <x v="2"/>
    <x v="39"/>
    <n v="1894"/>
    <n v="2531.0448000000001"/>
    <n v="1.3363488912354806"/>
    <n v="743"/>
    <x v="1"/>
  </r>
  <r>
    <x v="2"/>
    <x v="40"/>
    <n v="919"/>
    <n v="6894.2016000000012"/>
    <n v="7.5018515778019603"/>
    <n v="919"/>
    <x v="1"/>
  </r>
  <r>
    <x v="2"/>
    <x v="41"/>
    <n v="5267"/>
    <n v="29026.944"/>
    <n v="5.5110962597303965"/>
    <n v="3364"/>
    <x v="1"/>
  </r>
  <r>
    <x v="2"/>
    <x v="42"/>
    <n v="307"/>
    <n v="7470.1440000000011"/>
    <n v="24.332716612377855"/>
    <n v="93"/>
    <x v="1"/>
  </r>
  <r>
    <x v="2"/>
    <x v="43"/>
    <n v="10023"/>
    <n v="32285.952000000005"/>
    <n v="3.2211864711164329"/>
    <n v="4084"/>
    <x v="1"/>
  </r>
  <r>
    <x v="2"/>
    <x v="44"/>
    <n v="516"/>
    <n v="10846.742400000001"/>
    <n v="21.020818604651165"/>
    <n v="578"/>
    <x v="1"/>
  </r>
  <r>
    <x v="2"/>
    <x v="45"/>
    <n v="2622"/>
    <n v="34561.728000000003"/>
    <n v="13.181437070938216"/>
    <n v="1056"/>
    <x v="1"/>
  </r>
  <r>
    <x v="2"/>
    <x v="46"/>
    <n v="2318"/>
    <n v="32151.816000000003"/>
    <n v="13.870498705780847"/>
    <n v="0"/>
    <x v="1"/>
  </r>
  <r>
    <x v="2"/>
    <x v="47"/>
    <n v="226"/>
    <n v="6495.1200000000008"/>
    <n v="28.739469026548676"/>
    <n v="181"/>
    <x v="0"/>
  </r>
  <r>
    <x v="2"/>
    <x v="48"/>
    <n v="244"/>
    <n v="4173.12"/>
    <n v="17.102950819672131"/>
    <n v="119"/>
    <x v="0"/>
  </r>
  <r>
    <x v="2"/>
    <x v="49"/>
    <n v="12528"/>
    <n v="17729.280000000002"/>
    <n v="1.4151724137931037"/>
    <n v="12621"/>
    <x v="1"/>
  </r>
  <r>
    <x v="2"/>
    <x v="51"/>
    <n v="6840"/>
    <n v="6749.7408000000005"/>
    <n v="0.98680421052631584"/>
    <n v="24094"/>
    <x v="4"/>
  </r>
  <r>
    <x v="2"/>
    <x v="52"/>
    <n v="70"/>
    <n v="368.06400000000002"/>
    <n v="5.258057142857143"/>
    <n v="397"/>
    <x v="3"/>
  </r>
  <r>
    <x v="2"/>
    <x v="53"/>
    <n v="251"/>
    <n v="727.83360000000005"/>
    <n v="2.8997354581673309"/>
    <n v="126"/>
    <x v="3"/>
  </r>
  <r>
    <x v="2"/>
    <x v="54"/>
    <n v="5"/>
    <n v="2685.3120000000004"/>
    <n v="537.06240000000003"/>
    <n v="0"/>
    <x v="5"/>
  </r>
  <r>
    <x v="2"/>
    <x v="55"/>
    <n v="121"/>
    <n v="17771.270400000001"/>
    <n v="146.87000330578513"/>
    <n v="3"/>
    <x v="5"/>
  </r>
  <r>
    <x v="2"/>
    <x v="56"/>
    <n v="110"/>
    <n v="6208.9632000000001"/>
    <n v="56.445120000000003"/>
    <n v="3"/>
    <x v="5"/>
  </r>
  <r>
    <x v="2"/>
    <x v="57"/>
    <n v="77"/>
    <n v="8105.9616000000015"/>
    <n v="105.27222857142858"/>
    <n v="3"/>
    <x v="5"/>
  </r>
  <r>
    <x v="2"/>
    <x v="58"/>
    <n v="279"/>
    <n v="684.28800000000012"/>
    <n v="2.4526451612903228"/>
    <n v="307"/>
    <x v="3"/>
  </r>
  <r>
    <x v="2"/>
    <x v="59"/>
    <n v="1740"/>
    <n v="103129.20000000001"/>
    <n v="59.269655172413799"/>
    <n v="223"/>
    <x v="1"/>
  </r>
  <r>
    <x v="2"/>
    <x v="60"/>
    <n v="9675"/>
    <n v="101781.36"/>
    <n v="10.520037209302325"/>
    <n v="1474"/>
    <x v="1"/>
  </r>
  <r>
    <x v="2"/>
    <x v="61"/>
    <n v="70"/>
    <n v="2670.0191999999997"/>
    <n v="38.143131428571422"/>
    <n v="3"/>
    <x v="5"/>
  </r>
  <r>
    <x v="2"/>
    <x v="63"/>
    <n v="0"/>
    <n v="0"/>
    <s v=""/>
    <n v="21215"/>
    <x v="3"/>
  </r>
  <r>
    <x v="2"/>
    <x v="64"/>
    <n v="1866"/>
    <n v="163626.22080000001"/>
    <n v="87.688221221864964"/>
    <n v="418"/>
    <x v="5"/>
  </r>
  <r>
    <x v="2"/>
    <x v="65"/>
    <n v="335"/>
    <n v="15446.246400000002"/>
    <n v="46.10819820895523"/>
    <n v="7"/>
    <x v="5"/>
  </r>
  <r>
    <x v="2"/>
    <x v="66"/>
    <n v="253"/>
    <n v="12633.7104"/>
    <n v="49.935614229249012"/>
    <n v="38"/>
    <x v="5"/>
  </r>
  <r>
    <x v="2"/>
    <x v="67"/>
    <n v="474"/>
    <n v="24332.140800000001"/>
    <n v="51.333630379746836"/>
    <n v="223"/>
    <x v="5"/>
  </r>
  <r>
    <x v="2"/>
    <x v="68"/>
    <n v="314"/>
    <n v="38152.944000000003"/>
    <n v="121.50619108280256"/>
    <n v="21"/>
    <x v="5"/>
  </r>
  <r>
    <x v="2"/>
    <x v="69"/>
    <n v="84"/>
    <n v="2384.1215999999999"/>
    <n v="28.382400000000001"/>
    <n v="353"/>
    <x v="3"/>
  </r>
  <r>
    <x v="2"/>
    <x v="70"/>
    <n v="0"/>
    <n v="0"/>
    <s v=""/>
    <n v="10505"/>
    <x v="3"/>
  </r>
  <r>
    <x v="2"/>
    <x v="71"/>
    <n v="19024"/>
    <n v="22317.120000000003"/>
    <n v="1.1731034482758622"/>
    <n v="3944"/>
    <x v="4"/>
  </r>
  <r>
    <x v="2"/>
    <x v="72"/>
    <n v="351"/>
    <n v="48023.798400000007"/>
    <n v="136.81993846153847"/>
    <n v="5"/>
    <x v="5"/>
  </r>
  <r>
    <x v="2"/>
    <x v="73"/>
    <n v="5513"/>
    <n v="19738.296000000002"/>
    <n v="3.5803185198621446"/>
    <n v="7517"/>
    <x v="0"/>
  </r>
  <r>
    <x v="2"/>
    <x v="74"/>
    <n v="1798"/>
    <n v="26616.600000000002"/>
    <n v="14.80344827586207"/>
    <n v="93"/>
    <x v="1"/>
  </r>
  <r>
    <x v="2"/>
    <x v="75"/>
    <n v="228"/>
    <n v="31464.1152"/>
    <n v="138.00050526315789"/>
    <n v="31"/>
    <x v="5"/>
  </r>
  <r>
    <x v="2"/>
    <x v="76"/>
    <n v="1271"/>
    <n v="31824.489600000001"/>
    <n v="25.038937529504327"/>
    <n v="1256"/>
    <x v="4"/>
  </r>
  <r>
    <x v="2"/>
    <x v="77"/>
    <n v="1636"/>
    <n v="18483.768"/>
    <n v="11.298146699266503"/>
    <n v="534"/>
    <x v="0"/>
  </r>
  <r>
    <x v="2"/>
    <x v="78"/>
    <n v="195"/>
    <n v="1654.7328000000002"/>
    <n v="8.4858092307692328"/>
    <n v="696"/>
    <x v="3"/>
  </r>
  <r>
    <x v="2"/>
    <x v="79"/>
    <n v="1300"/>
    <n v="9775.9872000000014"/>
    <n v="7.5199901538461553"/>
    <n v="0"/>
    <x v="1"/>
  </r>
  <r>
    <x v="2"/>
    <x v="80"/>
    <n v="135"/>
    <n v="28443.571200000002"/>
    <n v="210.69312000000002"/>
    <n v="19"/>
    <x v="0"/>
  </r>
  <r>
    <x v="2"/>
    <x v="81"/>
    <n v="418"/>
    <n v="1975.104"/>
    <n v="4.7251291866028708"/>
    <n v="0"/>
    <x v="3"/>
  </r>
  <r>
    <x v="2"/>
    <x v="82"/>
    <n v="2436"/>
    <n v="13009.248000000001"/>
    <n v="5.3404137931034485"/>
    <n v="464"/>
    <x v="3"/>
  </r>
  <r>
    <x v="2"/>
    <x v="84"/>
    <n v="346"/>
    <n v="19297.526400000002"/>
    <n v="55.773197687861277"/>
    <n v="156"/>
    <x v="0"/>
  </r>
  <r>
    <x v="2"/>
    <x v="86"/>
    <n v="2761"/>
    <n v="8184.1536000000006"/>
    <n v="2.964199058312206"/>
    <n v="390"/>
    <x v="1"/>
  </r>
  <r>
    <x v="2"/>
    <x v="87"/>
    <n v="219"/>
    <n v="7053.6096000000007"/>
    <n v="32.208263013698634"/>
    <n v="174"/>
    <x v="3"/>
  </r>
  <r>
    <x v="2"/>
    <x v="88"/>
    <n v="5930"/>
    <n v="6492.6576000000005"/>
    <n v="1.0948832377740305"/>
    <n v="6501"/>
    <x v="3"/>
  </r>
  <r>
    <x v="2"/>
    <x v="108"/>
    <n v="0"/>
    <n v="0"/>
    <s v=""/>
    <n v="13920"/>
    <x v="1"/>
  </r>
  <r>
    <x v="2"/>
    <x v="89"/>
    <n v="1198"/>
    <n v="6018.6240000000007"/>
    <n v="5.0238931552587651"/>
    <n v="1448"/>
    <x v="1"/>
  </r>
  <r>
    <x v="2"/>
    <x v="90"/>
    <n v="854"/>
    <n v="12400.128000000001"/>
    <n v="14.520056206088993"/>
    <n v="1300"/>
    <x v="3"/>
  </r>
  <r>
    <x v="2"/>
    <x v="91"/>
    <n v="2376"/>
    <n v="31806.259200000004"/>
    <n v="13.386472727272729"/>
    <n v="873"/>
    <x v="3"/>
  </r>
  <r>
    <x v="2"/>
    <x v="92"/>
    <n v="1142"/>
    <n v="7944.9120000000003"/>
    <n v="6.9570157618213662"/>
    <n v="455"/>
    <x v="1"/>
  </r>
  <r>
    <x v="2"/>
    <x v="93"/>
    <n v="16259"/>
    <n v="23008.6656"/>
    <n v="1.415134116489329"/>
    <n v="9336"/>
    <x v="1"/>
  </r>
  <r>
    <x v="2"/>
    <x v="94"/>
    <n v="3286"/>
    <n v="22804.632000000001"/>
    <n v="6.9399367011564213"/>
    <n v="4130"/>
    <x v="1"/>
  </r>
  <r>
    <x v="2"/>
    <x v="95"/>
    <n v="1170"/>
    <n v="4180.3775999999998"/>
    <n v="3.5729723076923077"/>
    <n v="195"/>
    <x v="1"/>
  </r>
  <r>
    <x v="2"/>
    <x v="96"/>
    <n v="613"/>
    <n v="4048.7040000000006"/>
    <n v="6.6047373572593813"/>
    <n v="140"/>
    <x v="1"/>
  </r>
  <r>
    <x v="2"/>
    <x v="98"/>
    <n v="325"/>
    <n v="2878.848"/>
    <n v="8.8579938461538461"/>
    <n v="121"/>
    <x v="1"/>
  </r>
  <r>
    <x v="2"/>
    <x v="99"/>
    <n v="84"/>
    <n v="11558.2464"/>
    <n v="137.59817142857142"/>
    <n v="0"/>
    <x v="5"/>
  </r>
  <r>
    <x v="2"/>
    <x v="100"/>
    <n v="1402"/>
    <n v="39334.896000000001"/>
    <n v="28.056273894436519"/>
    <n v="1457"/>
    <x v="4"/>
  </r>
  <r>
    <x v="2"/>
    <x v="102"/>
    <n v="228"/>
    <n v="6883.8336000000008"/>
    <n v="30.192252631578953"/>
    <n v="279"/>
    <x v="0"/>
  </r>
  <r>
    <x v="2"/>
    <x v="103"/>
    <n v="123"/>
    <n v="6319.2960000000003"/>
    <n v="51.376390243902442"/>
    <n v="10"/>
    <x v="0"/>
  </r>
  <r>
    <x v="2"/>
    <x v="104"/>
    <n v="5104"/>
    <n v="4105.7280000000001"/>
    <n v="0.80441379310344829"/>
    <n v="743"/>
    <x v="0"/>
  </r>
  <r>
    <x v="2"/>
    <x v="105"/>
    <n v="93"/>
    <n v="829.44"/>
    <n v="8.9187096774193559"/>
    <n v="93"/>
    <x v="4"/>
  </r>
  <r>
    <x v="2"/>
    <x v="107"/>
    <n v="22272"/>
    <n v="157593.60000000001"/>
    <n v="7.0758620689655176"/>
    <n v="4803"/>
    <x v="4"/>
  </r>
  <r>
    <x v="2"/>
    <x v="106"/>
    <n v="1021"/>
    <n v="5099.8464000000004"/>
    <n v="4.9949523996082279"/>
    <n v="1021"/>
    <x v="1"/>
  </r>
  <r>
    <x v="2"/>
    <x v="109"/>
    <n v="0"/>
    <n v="0"/>
    <s v=""/>
    <n v="223"/>
    <x v="0"/>
  </r>
  <r>
    <x v="2"/>
    <x v="110"/>
    <n v="0"/>
    <n v="0"/>
    <s v=""/>
    <n v="3"/>
    <x v="0"/>
  </r>
  <r>
    <x v="3"/>
    <x v="0"/>
    <n v="1768"/>
    <n v="11883.542400000002"/>
    <n v="6.7214606334841642"/>
    <n v="5847"/>
    <x v="0"/>
  </r>
  <r>
    <x v="3"/>
    <x v="1"/>
    <n v="1940"/>
    <n v="10653.984"/>
    <n v="5.4917443298969078"/>
    <n v="4770"/>
    <x v="1"/>
  </r>
  <r>
    <x v="3"/>
    <x v="3"/>
    <n v="1193"/>
    <n v="20095.344000000001"/>
    <n v="16.844378876781224"/>
    <n v="1506"/>
    <x v="0"/>
  </r>
  <r>
    <x v="3"/>
    <x v="4"/>
    <n v="891"/>
    <n v="573.9552000000001"/>
    <n v="0.64416969696969706"/>
    <n v="8018"/>
    <x v="3"/>
  </r>
  <r>
    <x v="3"/>
    <x v="5"/>
    <n v="54"/>
    <n v="1110.4560000000001"/>
    <n v="20.564000000000004"/>
    <n v="116"/>
    <x v="3"/>
  </r>
  <r>
    <x v="3"/>
    <x v="6"/>
    <n v="195"/>
    <n v="2651.9184"/>
    <n v="13.599581538461539"/>
    <n v="1086"/>
    <x v="3"/>
  </r>
  <r>
    <x v="3"/>
    <x v="7"/>
    <n v="0"/>
    <n v="0"/>
    <s v=""/>
    <n v="14616"/>
    <x v="3"/>
  </r>
  <r>
    <x v="3"/>
    <x v="8"/>
    <n v="0"/>
    <n v="0"/>
    <s v=""/>
    <n v="864"/>
    <x v="3"/>
  </r>
  <r>
    <x v="3"/>
    <x v="10"/>
    <n v="188"/>
    <n v="4744.9151999999995"/>
    <n v="25.23891063829787"/>
    <n v="226"/>
    <x v="5"/>
  </r>
  <r>
    <x v="3"/>
    <x v="11"/>
    <n v="420"/>
    <n v="10770.148800000001"/>
    <n v="25.64321142857143"/>
    <n v="193"/>
    <x v="5"/>
  </r>
  <r>
    <x v="3"/>
    <x v="12"/>
    <n v="1972"/>
    <n v="36646.560000000005"/>
    <n v="18.583448275862072"/>
    <n v="1671"/>
    <x v="4"/>
  </r>
  <r>
    <x v="3"/>
    <x v="13"/>
    <n v="42"/>
    <n v="1303.2576000000001"/>
    <n v="31.02994285714286"/>
    <n v="112"/>
    <x v="3"/>
  </r>
  <r>
    <x v="3"/>
    <x v="14"/>
    <n v="103"/>
    <n v="1358.1216000000002"/>
    <n v="13.18564660194175"/>
    <n v="759"/>
    <x v="3"/>
  </r>
  <r>
    <x v="3"/>
    <x v="15"/>
    <n v="14"/>
    <n v="147.48480000000001"/>
    <n v="10.534628571428572"/>
    <n v="738"/>
    <x v="3"/>
  </r>
  <r>
    <x v="3"/>
    <x v="16"/>
    <n v="627"/>
    <n v="6520.1760000000004"/>
    <n v="10.399004784688996"/>
    <n v="2144"/>
    <x v="3"/>
  </r>
  <r>
    <x v="3"/>
    <x v="17"/>
    <n v="724"/>
    <n v="8383.5648000000001"/>
    <n v="11.579509392265194"/>
    <n v="1977"/>
    <x v="3"/>
  </r>
  <r>
    <x v="3"/>
    <x v="18"/>
    <n v="2715"/>
    <n v="10614.240000000002"/>
    <n v="3.9094806629834262"/>
    <n v="348"/>
    <x v="0"/>
  </r>
  <r>
    <x v="3"/>
    <x v="19"/>
    <n v="5513"/>
    <n v="50808.384000000005"/>
    <n v="9.2161044803192471"/>
    <n v="4511"/>
    <x v="1"/>
  </r>
  <r>
    <x v="3"/>
    <x v="20"/>
    <n v="1225"/>
    <n v="1129.0752000000002"/>
    <n v="0.92169404081632667"/>
    <n v="11136"/>
    <x v="3"/>
  </r>
  <r>
    <x v="3"/>
    <x v="21"/>
    <n v="7016"/>
    <n v="6466.5216000000009"/>
    <n v="0.92168209806157364"/>
    <n v="62933"/>
    <x v="3"/>
  </r>
  <r>
    <x v="3"/>
    <x v="22"/>
    <n v="0"/>
    <n v="0"/>
    <s v=""/>
    <n v="41969"/>
    <x v="3"/>
  </r>
  <r>
    <x v="3"/>
    <x v="24"/>
    <n v="8863"/>
    <n v="32179.680000000004"/>
    <n v="3.6307886720072213"/>
    <n v="17366"/>
    <x v="1"/>
  </r>
  <r>
    <x v="3"/>
    <x v="25"/>
    <n v="968"/>
    <n v="38190.527999999998"/>
    <n v="39.45302479338843"/>
    <n v="819"/>
    <x v="0"/>
  </r>
  <r>
    <x v="3"/>
    <x v="26"/>
    <n v="803"/>
    <n v="14050.368000000002"/>
    <n v="17.497344956413453"/>
    <n v="1444"/>
    <x v="0"/>
  </r>
  <r>
    <x v="3"/>
    <x v="27"/>
    <n v="16426"/>
    <n v="131426.32320000001"/>
    <n v="8.001115499817363"/>
    <n v="10357"/>
    <x v="4"/>
  </r>
  <r>
    <x v="3"/>
    <x v="28"/>
    <n v="43431"/>
    <n v="52808.371200000001"/>
    <n v="1.2159142363749396"/>
    <n v="63998"/>
    <x v="4"/>
  </r>
  <r>
    <x v="3"/>
    <x v="29"/>
    <n v="462"/>
    <n v="23168.376000000004"/>
    <n v="50.14800000000001"/>
    <n v="214"/>
    <x v="0"/>
  </r>
  <r>
    <x v="3"/>
    <x v="30"/>
    <n v="4490"/>
    <n v="19008.820800000001"/>
    <n v="4.2335903786191542"/>
    <n v="5534"/>
    <x v="1"/>
  </r>
  <r>
    <x v="3"/>
    <x v="31"/>
    <n v="1485"/>
    <n v="11667.456000000002"/>
    <n v="7.8568727272727283"/>
    <n v="418"/>
    <x v="1"/>
  </r>
  <r>
    <x v="3"/>
    <x v="32"/>
    <n v="2803"/>
    <n v="3940.0128"/>
    <n v="1.4056413842311808"/>
    <n v="3156"/>
    <x v="1"/>
  </r>
  <r>
    <x v="3"/>
    <x v="33"/>
    <n v="873"/>
    <n v="1145.1456000000001"/>
    <n v="1.3117360824742268"/>
    <n v="2877"/>
    <x v="1"/>
  </r>
  <r>
    <x v="3"/>
    <x v="34"/>
    <n v="1880"/>
    <n v="16936.128000000001"/>
    <n v="9.0085787234042556"/>
    <n v="975"/>
    <x v="1"/>
  </r>
  <r>
    <x v="3"/>
    <x v="35"/>
    <n v="2506"/>
    <n v="7045.0560000000005"/>
    <n v="2.8112753391859537"/>
    <n v="0"/>
    <x v="1"/>
  </r>
  <r>
    <x v="3"/>
    <x v="36"/>
    <n v="9570"/>
    <n v="98366.400000000009"/>
    <n v="10.278620689655174"/>
    <n v="12540"/>
    <x v="4"/>
  </r>
  <r>
    <x v="3"/>
    <x v="37"/>
    <n v="244"/>
    <n v="449.06400000000002"/>
    <n v="1.8404262295081968"/>
    <n v="260"/>
    <x v="1"/>
  </r>
  <r>
    <x v="3"/>
    <x v="38"/>
    <n v="1546"/>
    <n v="11612.073600000002"/>
    <n v="7.511043725743856"/>
    <n v="28"/>
    <x v="1"/>
  </r>
  <r>
    <x v="3"/>
    <x v="39"/>
    <n v="1151"/>
    <n v="1538.4816000000001"/>
    <n v="1.336647784535187"/>
    <n v="891"/>
    <x v="1"/>
  </r>
  <r>
    <x v="3"/>
    <x v="41"/>
    <n v="3202"/>
    <n v="17646.336000000003"/>
    <n v="5.511035602748283"/>
    <n v="4478"/>
    <x v="1"/>
  </r>
  <r>
    <x v="3"/>
    <x v="42"/>
    <n v="214"/>
    <n v="5206.4640000000009"/>
    <n v="24.329271028037386"/>
    <n v="168"/>
    <x v="1"/>
  </r>
  <r>
    <x v="3"/>
    <x v="43"/>
    <n v="5916"/>
    <n v="19057.68"/>
    <n v="3.2213793103448278"/>
    <n v="4826"/>
    <x v="1"/>
  </r>
  <r>
    <x v="3"/>
    <x v="44"/>
    <n v="439"/>
    <n v="9234.3888000000006"/>
    <n v="21.035054214123008"/>
    <n v="627"/>
    <x v="1"/>
  </r>
  <r>
    <x v="3"/>
    <x v="45"/>
    <n v="1520"/>
    <n v="20033.567999999999"/>
    <n v="13.17997894736842"/>
    <n v="441"/>
    <x v="1"/>
  </r>
  <r>
    <x v="3"/>
    <x v="46"/>
    <n v="2318"/>
    <n v="32151.816000000003"/>
    <n v="13.870498705780847"/>
    <n v="105"/>
    <x v="1"/>
  </r>
  <r>
    <x v="3"/>
    <x v="47"/>
    <n v="277"/>
    <n v="7968.2400000000007"/>
    <n v="28.766209386281592"/>
    <n v="202"/>
    <x v="0"/>
  </r>
  <r>
    <x v="3"/>
    <x v="48"/>
    <n v="126"/>
    <n v="2146.1760000000004"/>
    <n v="17.03314285714286"/>
    <n v="128"/>
    <x v="0"/>
  </r>
  <r>
    <x v="3"/>
    <x v="51"/>
    <n v="27513"/>
    <n v="27152.366400000003"/>
    <n v="0.98689224730127589"/>
    <n v="41658"/>
    <x v="4"/>
  </r>
  <r>
    <x v="3"/>
    <x v="52"/>
    <n v="70"/>
    <n v="368.06400000000002"/>
    <n v="5.258057142857143"/>
    <n v="474"/>
    <x v="3"/>
  </r>
  <r>
    <x v="3"/>
    <x v="53"/>
    <n v="126"/>
    <n v="363.91680000000002"/>
    <n v="2.8882285714285718"/>
    <n v="140"/>
    <x v="3"/>
  </r>
  <r>
    <x v="3"/>
    <x v="55"/>
    <n v="119"/>
    <n v="17429.515200000002"/>
    <n v="146.46651428571431"/>
    <n v="10"/>
    <x v="5"/>
  </r>
  <r>
    <x v="3"/>
    <x v="56"/>
    <n v="107"/>
    <n v="6076.8576000000003"/>
    <n v="56.793061682242993"/>
    <n v="3"/>
    <x v="5"/>
  </r>
  <r>
    <x v="3"/>
    <x v="57"/>
    <n v="75"/>
    <n v="7860.3264000000008"/>
    <n v="104.80435200000001"/>
    <n v="7"/>
    <x v="5"/>
  </r>
  <r>
    <x v="3"/>
    <x v="58"/>
    <n v="516"/>
    <n v="1265.9328000000003"/>
    <n v="2.4533581395348842"/>
    <n v="543"/>
    <x v="3"/>
  </r>
  <r>
    <x v="3"/>
    <x v="59"/>
    <n v="1518"/>
    <n v="89928.662400000001"/>
    <n v="59.241543083003954"/>
    <n v="133"/>
    <x v="1"/>
  </r>
  <r>
    <x v="3"/>
    <x v="60"/>
    <n v="8202"/>
    <n v="86282.28"/>
    <n v="10.51966349670812"/>
    <n v="1346"/>
    <x v="1"/>
  </r>
  <r>
    <x v="3"/>
    <x v="61"/>
    <n v="68"/>
    <n v="2581.0272000000004"/>
    <n v="37.95628235294118"/>
    <n v="21"/>
    <x v="5"/>
  </r>
  <r>
    <x v="3"/>
    <x v="63"/>
    <n v="1448"/>
    <n v="711.67680000000007"/>
    <n v="0.49148950276243097"/>
    <n v="29901"/>
    <x v="3"/>
  </r>
  <r>
    <x v="3"/>
    <x v="64"/>
    <n v="1448"/>
    <n v="126993.48480000001"/>
    <n v="87.702682872928179"/>
    <n v="645"/>
    <x v="5"/>
  </r>
  <r>
    <x v="3"/>
    <x v="65"/>
    <n v="328"/>
    <n v="15124.449600000002"/>
    <n v="46.111126829268301"/>
    <n v="12"/>
    <x v="5"/>
  </r>
  <r>
    <x v="3"/>
    <x v="66"/>
    <n v="216"/>
    <n v="10779.220800000001"/>
    <n v="49.903800000000004"/>
    <n v="56"/>
    <x v="5"/>
  </r>
  <r>
    <x v="3"/>
    <x v="67"/>
    <n v="253"/>
    <n v="13000.996800000001"/>
    <n v="51.387339130434789"/>
    <n v="221"/>
    <x v="5"/>
  </r>
  <r>
    <x v="3"/>
    <x v="68"/>
    <n v="293"/>
    <n v="35609.414400000001"/>
    <n v="121.53383754266213"/>
    <n v="24"/>
    <x v="5"/>
  </r>
  <r>
    <x v="3"/>
    <x v="69"/>
    <n v="93"/>
    <n v="2649.0240000000003"/>
    <n v="28.484129032258068"/>
    <n v="483"/>
    <x v="3"/>
  </r>
  <r>
    <x v="3"/>
    <x v="70"/>
    <n v="1040"/>
    <n v="1916.0064"/>
    <n v="1.8423138461538462"/>
    <n v="12844"/>
    <x v="3"/>
  </r>
  <r>
    <x v="3"/>
    <x v="71"/>
    <n v="15080"/>
    <n v="17690.400000000001"/>
    <n v="1.1731034482758622"/>
    <n v="11252"/>
    <x v="4"/>
  </r>
  <r>
    <x v="3"/>
    <x v="72"/>
    <n v="332"/>
    <n v="45479.491200000004"/>
    <n v="136.98641927710844"/>
    <n v="0"/>
    <x v="5"/>
  </r>
  <r>
    <x v="3"/>
    <x v="73"/>
    <n v="2450"/>
    <n v="8772.5808000000015"/>
    <n v="3.5806452244897966"/>
    <n v="4789"/>
    <x v="0"/>
  </r>
  <r>
    <x v="3"/>
    <x v="74"/>
    <n v="1706"/>
    <n v="25242.84"/>
    <n v="14.796506447831185"/>
    <n v="720"/>
    <x v="1"/>
  </r>
  <r>
    <x v="3"/>
    <x v="75"/>
    <n v="198"/>
    <n v="27290.304"/>
    <n v="137.82981818181818"/>
    <n v="40"/>
    <x v="5"/>
  </r>
  <r>
    <x v="3"/>
    <x v="77"/>
    <n v="1102"/>
    <n v="12453.609600000002"/>
    <n v="11.300916152450093"/>
    <n v="604"/>
    <x v="0"/>
  </r>
  <r>
    <x v="3"/>
    <x v="78"/>
    <n v="195"/>
    <n v="1654.7328000000002"/>
    <n v="8.4858092307692328"/>
    <n v="724"/>
    <x v="3"/>
  </r>
  <r>
    <x v="3"/>
    <x v="79"/>
    <n v="1300"/>
    <n v="9775.9872000000014"/>
    <n v="7.5199901538461553"/>
    <n v="0"/>
    <x v="1"/>
  </r>
  <r>
    <x v="3"/>
    <x v="80"/>
    <n v="116"/>
    <n v="24520.320000000003"/>
    <n v="211.38206896551728"/>
    <n v="3"/>
    <x v="0"/>
  </r>
  <r>
    <x v="3"/>
    <x v="81"/>
    <n v="418"/>
    <n v="1975.104"/>
    <n v="4.7251291866028708"/>
    <n v="418"/>
    <x v="3"/>
  </r>
  <r>
    <x v="3"/>
    <x v="82"/>
    <n v="1972"/>
    <n v="10531.296000000002"/>
    <n v="5.3404137931034494"/>
    <n v="0"/>
    <x v="3"/>
  </r>
  <r>
    <x v="3"/>
    <x v="84"/>
    <n v="191"/>
    <n v="10620.115200000002"/>
    <n v="55.602697382198961"/>
    <n v="154"/>
    <x v="0"/>
  </r>
  <r>
    <x v="3"/>
    <x v="86"/>
    <n v="2372"/>
    <n v="7028.7264000000005"/>
    <n v="2.9632067453625632"/>
    <n v="163"/>
    <x v="1"/>
  </r>
  <r>
    <x v="3"/>
    <x v="87"/>
    <n v="45"/>
    <n v="1425.7295999999999"/>
    <n v="31.682879999999997"/>
    <n v="0"/>
    <x v="3"/>
  </r>
  <r>
    <x v="3"/>
    <x v="88"/>
    <n v="5457"/>
    <n v="5974.4736000000003"/>
    <n v="1.0948274876305664"/>
    <n v="9216"/>
    <x v="3"/>
  </r>
  <r>
    <x v="3"/>
    <x v="108"/>
    <n v="5564"/>
    <n v="20231.8128"/>
    <n v="3.6361992810927388"/>
    <n v="36188"/>
    <x v="1"/>
  </r>
  <r>
    <x v="3"/>
    <x v="89"/>
    <n v="864"/>
    <n v="4339.0079999999998"/>
    <n v="5.0219999999999994"/>
    <n v="1866"/>
    <x v="1"/>
  </r>
  <r>
    <x v="3"/>
    <x v="90"/>
    <n v="1040"/>
    <n v="15095.808000000001"/>
    <n v="14.5152"/>
    <n v="1151"/>
    <x v="3"/>
  </r>
  <r>
    <x v="3"/>
    <x v="91"/>
    <n v="1801"/>
    <n v="24103.180799999998"/>
    <n v="13.383220877290393"/>
    <n v="780"/>
    <x v="3"/>
  </r>
  <r>
    <x v="3"/>
    <x v="92"/>
    <n v="687"/>
    <n v="4779.8640000000005"/>
    <n v="6.9575895196506554"/>
    <n v="539"/>
    <x v="1"/>
  </r>
  <r>
    <x v="3"/>
    <x v="93"/>
    <n v="6923"/>
    <n v="9797.0688000000009"/>
    <n v="1.4151478838653764"/>
    <n v="7035"/>
    <x v="1"/>
  </r>
  <r>
    <x v="3"/>
    <x v="94"/>
    <n v="6172"/>
    <n v="43218.403200000001"/>
    <n v="7.0023336357744652"/>
    <n v="836"/>
    <x v="1"/>
  </r>
  <r>
    <x v="3"/>
    <x v="95"/>
    <n v="975"/>
    <n v="3483.6480000000001"/>
    <n v="3.5729723076923077"/>
    <n v="516"/>
    <x v="1"/>
  </r>
  <r>
    <x v="3"/>
    <x v="96"/>
    <n v="474"/>
    <n v="3128.5440000000003"/>
    <n v="6.6003037974683547"/>
    <n v="158"/>
    <x v="1"/>
  </r>
  <r>
    <x v="3"/>
    <x v="98"/>
    <n v="724"/>
    <n v="6415.7183999999997"/>
    <n v="8.8614895027624314"/>
    <n v="335"/>
    <x v="1"/>
  </r>
  <r>
    <x v="3"/>
    <x v="99"/>
    <n v="61"/>
    <n v="8347.6224000000002"/>
    <n v="136.84626885245902"/>
    <n v="0"/>
    <x v="5"/>
  </r>
  <r>
    <x v="3"/>
    <x v="100"/>
    <n v="3508"/>
    <n v="98467.488000000012"/>
    <n v="28.069409350057015"/>
    <n v="1736"/>
    <x v="4"/>
  </r>
  <r>
    <x v="3"/>
    <x v="102"/>
    <n v="284"/>
    <n v="8569.6704000000009"/>
    <n v="30.17489577464789"/>
    <n v="351"/>
    <x v="0"/>
  </r>
  <r>
    <x v="3"/>
    <x v="103"/>
    <n v="114"/>
    <n v="5842.3680000000004"/>
    <n v="51.248842105263158"/>
    <n v="7"/>
    <x v="0"/>
  </r>
  <r>
    <x v="3"/>
    <x v="107"/>
    <n v="17470"/>
    <n v="123612.48000000001"/>
    <n v="7.0757000572409847"/>
    <n v="9118"/>
    <x v="4"/>
  </r>
  <r>
    <x v="3"/>
    <x v="111"/>
    <n v="0"/>
    <n v="0"/>
    <s v=""/>
    <n v="23405"/>
    <x v="1"/>
  </r>
  <r>
    <x v="3"/>
    <x v="109"/>
    <n v="17595"/>
    <n v="17724.700799999999"/>
    <n v="1.0073714578005115"/>
    <n v="1782"/>
    <x v="0"/>
  </r>
  <r>
    <x v="3"/>
    <x v="112"/>
    <n v="0"/>
    <n v="0"/>
    <s v=""/>
    <n v="0"/>
    <x v="5"/>
  </r>
  <r>
    <x v="3"/>
    <x v="110"/>
    <n v="1836"/>
    <n v="23701.161600000003"/>
    <n v="12.909129411764708"/>
    <n v="3650"/>
    <x v="0"/>
  </r>
  <r>
    <x v="3"/>
    <x v="113"/>
    <n v="0"/>
    <n v="0"/>
    <s v=""/>
    <n v="0"/>
    <x v="1"/>
  </r>
  <r>
    <x v="4"/>
    <x v="0"/>
    <n v="1740"/>
    <n v="11696.400000000001"/>
    <n v="6.7220689655172423"/>
    <n v="8267"/>
    <x v="0"/>
  </r>
  <r>
    <x v="4"/>
    <x v="1"/>
    <n v="2181"/>
    <n v="11979.36"/>
    <n v="5.492599724896837"/>
    <n v="5652"/>
    <x v="1"/>
  </r>
  <r>
    <x v="4"/>
    <x v="3"/>
    <n v="713"/>
    <n v="12002.472"/>
    <n v="16.833761570827487"/>
    <n v="1919"/>
    <x v="0"/>
  </r>
  <r>
    <x v="4"/>
    <x v="4"/>
    <n v="446"/>
    <n v="286.97760000000005"/>
    <n v="0.64344753363228713"/>
    <n v="9744"/>
    <x v="3"/>
  </r>
  <r>
    <x v="4"/>
    <x v="5"/>
    <n v="19"/>
    <n v="386.25119999999998"/>
    <n v="20.329010526315788"/>
    <n v="116"/>
    <x v="3"/>
  </r>
  <r>
    <x v="4"/>
    <x v="6"/>
    <n v="223"/>
    <n v="3030.7824000000005"/>
    <n v="13.590952466367716"/>
    <n v="1337"/>
    <x v="3"/>
  </r>
  <r>
    <x v="4"/>
    <x v="7"/>
    <n v="1253"/>
    <n v="1010.1024"/>
    <n v="0.80614716679968079"/>
    <n v="14282"/>
    <x v="3"/>
  </r>
  <r>
    <x v="4"/>
    <x v="8"/>
    <n v="265"/>
    <n v="6106.7520000000004"/>
    <n v="23.044347169811321"/>
    <n v="641"/>
    <x v="3"/>
  </r>
  <r>
    <x v="4"/>
    <x v="10"/>
    <n v="541"/>
    <n v="14098.881600000001"/>
    <n v="26.060779297597044"/>
    <n v="372"/>
    <x v="5"/>
  </r>
  <r>
    <x v="4"/>
    <x v="11"/>
    <n v="502"/>
    <n v="12973.176000000001"/>
    <n v="25.842980079681279"/>
    <n v="358"/>
    <x v="5"/>
  </r>
  <r>
    <x v="4"/>
    <x v="12"/>
    <n v="302"/>
    <n v="5604.7680000000009"/>
    <n v="18.558834437086094"/>
    <n v="1411"/>
    <x v="4"/>
  </r>
  <r>
    <x v="4"/>
    <x v="13"/>
    <n v="70"/>
    <n v="2172.096"/>
    <n v="31.029942857142856"/>
    <n v="168"/>
    <x v="3"/>
  </r>
  <r>
    <x v="4"/>
    <x v="14"/>
    <n v="82"/>
    <n v="1080.3456000000001"/>
    <n v="13.174946341463416"/>
    <n v="727"/>
    <x v="3"/>
  </r>
  <r>
    <x v="4"/>
    <x v="15"/>
    <n v="42"/>
    <n v="442.45440000000002"/>
    <n v="10.534628571428572"/>
    <n v="864"/>
    <x v="3"/>
  </r>
  <r>
    <x v="4"/>
    <x v="16"/>
    <n v="0"/>
    <n v="0"/>
    <s v=""/>
    <n v="3494"/>
    <x v="3"/>
  </r>
  <r>
    <x v="4"/>
    <x v="17"/>
    <n v="0"/>
    <n v="0"/>
    <s v=""/>
    <n v="3063"/>
    <x v="3"/>
  </r>
  <r>
    <x v="4"/>
    <x v="18"/>
    <n v="2367"/>
    <n v="9253.44"/>
    <n v="3.9093536121673007"/>
    <n v="418"/>
    <x v="0"/>
  </r>
  <r>
    <x v="4"/>
    <x v="19"/>
    <n v="1003"/>
    <n v="9237.8880000000008"/>
    <n v="9.2102572283150561"/>
    <n v="1003"/>
    <x v="1"/>
  </r>
  <r>
    <x v="4"/>
    <x v="20"/>
    <n v="3007"/>
    <n v="2771.3663999999999"/>
    <n v="0.92163831060857992"/>
    <n v="9726"/>
    <x v="3"/>
  </r>
  <r>
    <x v="4"/>
    <x v="21"/>
    <n v="11099"/>
    <n v="10230.105600000001"/>
    <n v="0.92171417244796838"/>
    <n v="86054"/>
    <x v="3"/>
  </r>
  <r>
    <x v="4"/>
    <x v="22"/>
    <n v="-1253"/>
    <n v="-559.87199999999996"/>
    <n v="0.44682521947326415"/>
    <n v="63893"/>
    <x v="3"/>
  </r>
  <r>
    <x v="4"/>
    <x v="24"/>
    <n v="8202"/>
    <n v="29778.84"/>
    <n v="3.6306803218727142"/>
    <n v="24291"/>
    <x v="1"/>
  </r>
  <r>
    <x v="4"/>
    <x v="25"/>
    <n v="149"/>
    <n v="5861.3760000000002"/>
    <n v="39.338093959731545"/>
    <n v="1126"/>
    <x v="0"/>
  </r>
  <r>
    <x v="4"/>
    <x v="26"/>
    <n v="274"/>
    <n v="4791.7440000000006"/>
    <n v="17.488116788321172"/>
    <n v="1764"/>
    <x v="0"/>
  </r>
  <r>
    <x v="4"/>
    <x v="27"/>
    <n v="6070"/>
    <n v="48560.90400000001"/>
    <n v="8.0001489291598045"/>
    <n v="16092"/>
    <x v="4"/>
  </r>
  <r>
    <x v="4"/>
    <x v="28"/>
    <n v="14616"/>
    <n v="17472.672000000002"/>
    <n v="1.195448275862069"/>
    <n v="69740"/>
    <x v="4"/>
  </r>
  <r>
    <x v="4"/>
    <x v="29"/>
    <n v="249"/>
    <n v="12457.368"/>
    <n v="50.029590361445784"/>
    <n v="402"/>
    <x v="0"/>
  </r>
  <r>
    <x v="4"/>
    <x v="30"/>
    <n v="2715"/>
    <n v="11493.705600000001"/>
    <n v="4.2334090607734813"/>
    <n v="8728"/>
    <x v="1"/>
  </r>
  <r>
    <x v="4"/>
    <x v="31"/>
    <n v="1091"/>
    <n v="8568.2880000000005"/>
    <n v="7.8536095325389557"/>
    <n v="534"/>
    <x v="1"/>
  </r>
  <r>
    <x v="4"/>
    <x v="32"/>
    <n v="3490"/>
    <n v="4905.4463999999998"/>
    <n v="1.4055720343839542"/>
    <n v="3842"/>
    <x v="1"/>
  </r>
  <r>
    <x v="4"/>
    <x v="33"/>
    <n v="1671"/>
    <n v="2192.8320000000003"/>
    <n v="1.3122872531418315"/>
    <n v="3508"/>
    <x v="1"/>
  </r>
  <r>
    <x v="4"/>
    <x v="34"/>
    <n v="905"/>
    <n v="8154.4319999999998"/>
    <n v="9.0104220994475135"/>
    <n v="1578"/>
    <x v="1"/>
  </r>
  <r>
    <x v="4"/>
    <x v="35"/>
    <n v="2506"/>
    <n v="7045.0560000000005"/>
    <n v="2.8112753391859537"/>
    <n v="24"/>
    <x v="1"/>
  </r>
  <r>
    <x v="4"/>
    <x v="36"/>
    <n v="4826"/>
    <n v="49600.512000000002"/>
    <n v="10.277768752590138"/>
    <n v="14825"/>
    <x v="4"/>
  </r>
  <r>
    <x v="4"/>
    <x v="37"/>
    <n v="2153"/>
    <n v="3968.8704000000002"/>
    <n v="1.8434140269391548"/>
    <n v="335"/>
    <x v="1"/>
  </r>
  <r>
    <x v="4"/>
    <x v="38"/>
    <n v="1518"/>
    <n v="11402.8128"/>
    <n v="7.5117343873517788"/>
    <n v="28"/>
    <x v="1"/>
  </r>
  <r>
    <x v="4"/>
    <x v="39"/>
    <n v="260"/>
    <n v="347.41440000000006"/>
    <n v="1.336209230769231"/>
    <n v="1300"/>
    <x v="1"/>
  </r>
  <r>
    <x v="4"/>
    <x v="41"/>
    <n v="1323"/>
    <n v="7288.7040000000006"/>
    <n v="5.5092244897959191"/>
    <n v="5972"/>
    <x v="1"/>
  </r>
  <r>
    <x v="4"/>
    <x v="42"/>
    <n v="270"/>
    <n v="6564.6720000000005"/>
    <n v="24.313600000000001"/>
    <n v="179"/>
    <x v="1"/>
  </r>
  <r>
    <x v="4"/>
    <x v="43"/>
    <n v="1091"/>
    <n v="3512.5920000000006"/>
    <n v="3.2196076993583871"/>
    <n v="580"/>
    <x v="1"/>
  </r>
  <r>
    <x v="4"/>
    <x v="44"/>
    <n v="300"/>
    <n v="6302.8368"/>
    <n v="21.009456"/>
    <n v="724"/>
    <x v="1"/>
  </r>
  <r>
    <x v="4"/>
    <x v="45"/>
    <n v="1729"/>
    <n v="22786.272000000004"/>
    <n v="13.178873337189129"/>
    <n v="778"/>
    <x v="1"/>
  </r>
  <r>
    <x v="4"/>
    <x v="46"/>
    <n v="2214"/>
    <n v="30703.536000000004"/>
    <n v="13.867902439024393"/>
    <n v="2200"/>
    <x v="1"/>
  </r>
  <r>
    <x v="4"/>
    <x v="47"/>
    <n v="214"/>
    <n v="6160.3200000000006"/>
    <n v="28.786542056074769"/>
    <n v="325"/>
    <x v="0"/>
  </r>
  <r>
    <x v="4"/>
    <x v="48"/>
    <n v="128"/>
    <n v="2185.92"/>
    <n v="17.077500000000001"/>
    <n v="195"/>
    <x v="0"/>
  </r>
  <r>
    <x v="4"/>
    <x v="51"/>
    <n v="30622"/>
    <n v="30220.430400000005"/>
    <n v="0.98688623865194969"/>
    <n v="64508"/>
    <x v="4"/>
  </r>
  <r>
    <x v="4"/>
    <x v="52"/>
    <n v="70"/>
    <n v="368.06400000000002"/>
    <n v="5.258057142857143"/>
    <n v="529"/>
    <x v="3"/>
  </r>
  <r>
    <x v="4"/>
    <x v="53"/>
    <n v="195"/>
    <n v="566.09280000000001"/>
    <n v="2.9030399999999998"/>
    <n v="376"/>
    <x v="3"/>
  </r>
  <r>
    <x v="4"/>
    <x v="55"/>
    <n v="110"/>
    <n v="16062.494400000001"/>
    <n v="146.02267636363638"/>
    <n v="12"/>
    <x v="5"/>
  </r>
  <r>
    <x v="4"/>
    <x v="56"/>
    <n v="105"/>
    <n v="5944.7520000000004"/>
    <n v="56.616685714285715"/>
    <n v="5"/>
    <x v="5"/>
  </r>
  <r>
    <x v="4"/>
    <x v="57"/>
    <n v="68"/>
    <n v="7123.4208000000008"/>
    <n v="104.75618823529413"/>
    <n v="7"/>
    <x v="5"/>
  </r>
  <r>
    <x v="4"/>
    <x v="58"/>
    <n v="112"/>
    <n v="273.71520000000004"/>
    <n v="2.4438857142857144"/>
    <n v="655"/>
    <x v="3"/>
  </r>
  <r>
    <x v="4"/>
    <x v="59"/>
    <n v="1386"/>
    <n v="82090.843200000003"/>
    <n v="59.228602597402599"/>
    <n v="140"/>
    <x v="1"/>
  </r>
  <r>
    <x v="4"/>
    <x v="60"/>
    <n v="6856"/>
    <n v="72125.64"/>
    <n v="10.520075845974329"/>
    <n v="1961"/>
    <x v="1"/>
  </r>
  <r>
    <x v="4"/>
    <x v="61"/>
    <n v="47"/>
    <n v="1780.0128000000002"/>
    <n v="37.872612765957449"/>
    <n v="5"/>
    <x v="5"/>
  </r>
  <r>
    <x v="4"/>
    <x v="63"/>
    <n v="3286"/>
    <n v="1614.9024000000002"/>
    <n v="0.49144930006086435"/>
    <n v="48943"/>
    <x v="3"/>
  </r>
  <r>
    <x v="4"/>
    <x v="64"/>
    <n v="3123"/>
    <n v="273931.45919999998"/>
    <n v="87.714204034582124"/>
    <n v="1000"/>
    <x v="5"/>
  </r>
  <r>
    <x v="4"/>
    <x v="65"/>
    <n v="316"/>
    <n v="14588.121600000002"/>
    <n v="46.164941772151906"/>
    <n v="21"/>
    <x v="5"/>
  </r>
  <r>
    <x v="4"/>
    <x v="66"/>
    <n v="161"/>
    <n v="7997.4864000000007"/>
    <n v="49.673828571428572"/>
    <n v="130"/>
    <x v="5"/>
  </r>
  <r>
    <x v="4"/>
    <x v="67"/>
    <n v="1425"/>
    <n v="73234.972800000003"/>
    <n v="51.392963368421057"/>
    <n v="469"/>
    <x v="5"/>
  </r>
  <r>
    <x v="4"/>
    <x v="68"/>
    <n v="270"/>
    <n v="32783.270400000001"/>
    <n v="121.41952000000001"/>
    <n v="35"/>
    <x v="5"/>
  </r>
  <r>
    <x v="4"/>
    <x v="69"/>
    <n v="65"/>
    <n v="1854.3168000000001"/>
    <n v="28.52795076923077"/>
    <n v="529"/>
    <x v="3"/>
  </r>
  <r>
    <x v="4"/>
    <x v="70"/>
    <n v="928"/>
    <n v="1710.72"/>
    <n v="1.8434482758620689"/>
    <n v="20194"/>
    <x v="3"/>
  </r>
  <r>
    <x v="4"/>
    <x v="71"/>
    <n v="15892"/>
    <n v="18642.960000000003"/>
    <n v="1.1731034482758622"/>
    <n v="19140"/>
    <x v="4"/>
  </r>
  <r>
    <x v="4"/>
    <x v="72"/>
    <n v="332"/>
    <n v="45479.491200000004"/>
    <n v="136.98641927710844"/>
    <n v="0"/>
    <x v="5"/>
  </r>
  <r>
    <x v="4"/>
    <x v="74"/>
    <n v="986"/>
    <n v="14596.2"/>
    <n v="14.80344827586207"/>
    <n v="604"/>
    <x v="1"/>
  </r>
  <r>
    <x v="4"/>
    <x v="75"/>
    <n v="158"/>
    <n v="21832.243200000001"/>
    <n v="138.17875443037974"/>
    <n v="40"/>
    <x v="5"/>
  </r>
  <r>
    <x v="4"/>
    <x v="77"/>
    <n v="511"/>
    <n v="5767.9776000000011"/>
    <n v="11.287627397260277"/>
    <n v="685"/>
    <x v="0"/>
  </r>
  <r>
    <x v="4"/>
    <x v="78"/>
    <n v="307"/>
    <n v="2600.2943999999998"/>
    <n v="8.4700143322475565"/>
    <n v="669"/>
    <x v="3"/>
  </r>
  <r>
    <x v="4"/>
    <x v="79"/>
    <n v="836"/>
    <n v="6284.5632000000005"/>
    <n v="7.5174200956937804"/>
    <n v="93"/>
    <x v="1"/>
  </r>
  <r>
    <x v="4"/>
    <x v="80"/>
    <n v="114"/>
    <n v="24029.9136"/>
    <n v="210.78871578947368"/>
    <n v="3"/>
    <x v="0"/>
  </r>
  <r>
    <x v="4"/>
    <x v="82"/>
    <n v="1972"/>
    <n v="10531.296000000002"/>
    <n v="5.3404137931034494"/>
    <n v="0"/>
    <x v="3"/>
  </r>
  <r>
    <x v="4"/>
    <x v="83"/>
    <n v="0"/>
    <n v="0"/>
    <s v=""/>
    <n v="696"/>
    <x v="3"/>
  </r>
  <r>
    <x v="4"/>
    <x v="84"/>
    <n v="38"/>
    <n v="2072.2175999999999"/>
    <n v="54.532042105263159"/>
    <n v="184"/>
    <x v="0"/>
  </r>
  <r>
    <x v="4"/>
    <x v="85"/>
    <n v="0"/>
    <n v="0"/>
    <s v=""/>
    <n v="1601"/>
    <x v="3"/>
  </r>
  <r>
    <x v="4"/>
    <x v="86"/>
    <n v="2209"/>
    <n v="6547.3055999999997"/>
    <n v="2.9639228610230872"/>
    <n v="260"/>
    <x v="1"/>
  </r>
  <r>
    <x v="4"/>
    <x v="87"/>
    <n v="409"/>
    <n v="13206.758400000001"/>
    <n v="32.290362836185821"/>
    <n v="140"/>
    <x v="3"/>
  </r>
  <r>
    <x v="4"/>
    <x v="88"/>
    <n v="2269"/>
    <n v="2619.4752000000003"/>
    <n v="1.1544624063464082"/>
    <n v="11206"/>
    <x v="3"/>
  </r>
  <r>
    <x v="4"/>
    <x v="108"/>
    <n v="17818"/>
    <n v="64795.852800000008"/>
    <n v="3.6365390503984738"/>
    <n v="56237"/>
    <x v="1"/>
  </r>
  <r>
    <x v="4"/>
    <x v="89"/>
    <n v="1225"/>
    <n v="6158.5919999999996"/>
    <n v="5.0274220408163259"/>
    <n v="2311"/>
    <x v="1"/>
  </r>
  <r>
    <x v="4"/>
    <x v="90"/>
    <n v="1374"/>
    <n v="19948.032000000003"/>
    <n v="14.518218340611355"/>
    <n v="1634"/>
    <x v="3"/>
  </r>
  <r>
    <x v="4"/>
    <x v="91"/>
    <n v="1318"/>
    <n v="17642.5344"/>
    <n v="13.385837936267071"/>
    <n v="928"/>
    <x v="3"/>
  </r>
  <r>
    <x v="4"/>
    <x v="92"/>
    <n v="594"/>
    <n v="4187.0304000000006"/>
    <n v="7.0488727272727285"/>
    <n v="789"/>
    <x v="1"/>
  </r>
  <r>
    <x v="4"/>
    <x v="94"/>
    <n v="7090"/>
    <n v="49692.009600000005"/>
    <n v="7.0087460648801132"/>
    <n v="5513"/>
    <x v="1"/>
  </r>
  <r>
    <x v="4"/>
    <x v="95"/>
    <n v="460"/>
    <n v="1642.2912000000001"/>
    <n v="3.5701982608695655"/>
    <n v="502"/>
    <x v="1"/>
  </r>
  <r>
    <x v="4"/>
    <x v="96"/>
    <n v="307"/>
    <n v="2024.3520000000003"/>
    <n v="6.5939804560260598"/>
    <n v="195"/>
    <x v="1"/>
  </r>
  <r>
    <x v="4"/>
    <x v="98"/>
    <n v="418"/>
    <n v="3701.3760000000002"/>
    <n v="8.8549665071770338"/>
    <n v="567"/>
    <x v="1"/>
  </r>
  <r>
    <x v="4"/>
    <x v="99"/>
    <n v="61"/>
    <n v="8347.6224000000002"/>
    <n v="136.84626885245902"/>
    <n v="0"/>
    <x v="5"/>
  </r>
  <r>
    <x v="4"/>
    <x v="100"/>
    <n v="4446"/>
    <n v="124777.58400000002"/>
    <n v="28.06513360323887"/>
    <n v="2952"/>
    <x v="4"/>
  </r>
  <r>
    <x v="4"/>
    <x v="102"/>
    <n v="267"/>
    <n v="8728.3008000000009"/>
    <n v="32.690265168539327"/>
    <n v="467"/>
    <x v="0"/>
  </r>
  <r>
    <x v="4"/>
    <x v="103"/>
    <n v="107"/>
    <n v="5484.6719999999996"/>
    <n v="51.2586168224299"/>
    <n v="7"/>
    <x v="0"/>
  </r>
  <r>
    <x v="4"/>
    <x v="107"/>
    <n v="8352"/>
    <n v="59097.600000000006"/>
    <n v="7.0758620689655176"/>
    <n v="9652"/>
    <x v="4"/>
  </r>
  <r>
    <x v="4"/>
    <x v="111"/>
    <n v="8687"/>
    <n v="12777.523200000001"/>
    <n v="1.4708786922988375"/>
    <n v="11248"/>
    <x v="1"/>
  </r>
  <r>
    <x v="4"/>
    <x v="109"/>
    <n v="33854"/>
    <n v="34103.246400000004"/>
    <n v="1.0073623914456196"/>
    <n v="57462"/>
    <x v="0"/>
  </r>
  <r>
    <x v="4"/>
    <x v="112"/>
    <n v="724"/>
    <n v="31499.020800000002"/>
    <n v="43.506934806629836"/>
    <n v="608"/>
    <x v="5"/>
  </r>
  <r>
    <x v="4"/>
    <x v="110"/>
    <n v="0"/>
    <n v="0"/>
    <s v=""/>
    <n v="8571"/>
    <x v="0"/>
  </r>
  <r>
    <x v="4"/>
    <x v="114"/>
    <n v="0"/>
    <n v="0"/>
    <s v=""/>
    <n v="710"/>
    <x v="1"/>
  </r>
  <r>
    <x v="4"/>
    <x v="115"/>
    <n v="0"/>
    <n v="0"/>
    <s v=""/>
    <n v="17"/>
    <x v="5"/>
  </r>
  <r>
    <x v="4"/>
    <x v="113"/>
    <n v="2005"/>
    <n v="11925.2736"/>
    <n v="5.9477673815461349"/>
    <n v="307"/>
    <x v="1"/>
  </r>
  <r>
    <x v="4"/>
    <x v="116"/>
    <n v="0"/>
    <n v="0"/>
    <s v=""/>
    <n v="1165"/>
    <x v="1"/>
  </r>
  <r>
    <x v="4"/>
    <x v="117"/>
    <n v="0"/>
    <n v="0"/>
    <s v=""/>
    <n v="1209"/>
    <x v="1"/>
  </r>
  <r>
    <x v="4"/>
    <x v="118"/>
    <n v="0"/>
    <n v="0"/>
    <s v=""/>
    <n v="553"/>
    <x v="0"/>
  </r>
  <r>
    <x v="4"/>
    <x v="119"/>
    <n v="0"/>
    <n v="0"/>
    <s v=""/>
    <n v="460"/>
    <x v="3"/>
  </r>
  <r>
    <x v="4"/>
    <x v="120"/>
    <n v="0"/>
    <n v="0"/>
    <s v=""/>
    <n v="52"/>
    <x v="0"/>
  </r>
  <r>
    <x v="4"/>
    <x v="121"/>
    <n v="0"/>
    <n v="0"/>
    <s v=""/>
    <n v="0"/>
    <x v="5"/>
  </r>
  <r>
    <x v="5"/>
    <x v="0"/>
    <n v="5253"/>
    <n v="35307.532800000001"/>
    <n v="6.7214035408338093"/>
    <n v="10146"/>
    <x v="0"/>
  </r>
  <r>
    <x v="5"/>
    <x v="1"/>
    <n v="5884"/>
    <n v="32318.784"/>
    <n v="5.492655336505778"/>
    <n v="6042"/>
    <x v="1"/>
  </r>
  <r>
    <x v="5"/>
    <x v="3"/>
    <n v="1782"/>
    <n v="30025.727999999999"/>
    <n v="16.849454545454545"/>
    <n v="2532"/>
    <x v="0"/>
  </r>
  <r>
    <x v="5"/>
    <x v="4"/>
    <n v="1894"/>
    <n v="1251.4176000000002"/>
    <n v="0.66072734952481538"/>
    <n v="8520"/>
    <x v="3"/>
  </r>
  <r>
    <x v="5"/>
    <x v="5"/>
    <n v="112"/>
    <n v="2425.2912000000001"/>
    <n v="21.654385714285716"/>
    <n v="154"/>
    <x v="3"/>
  </r>
  <r>
    <x v="5"/>
    <x v="6"/>
    <n v="557"/>
    <n v="7801.92"/>
    <n v="14.007037701974866"/>
    <n v="1420"/>
    <x v="3"/>
  </r>
  <r>
    <x v="5"/>
    <x v="7"/>
    <n v="0"/>
    <n v="0"/>
    <s v=""/>
    <n v="15285"/>
    <x v="3"/>
  </r>
  <r>
    <x v="5"/>
    <x v="8"/>
    <n v="181"/>
    <n v="4178.3040000000001"/>
    <n v="23.084552486187846"/>
    <n v="850"/>
    <x v="3"/>
  </r>
  <r>
    <x v="5"/>
    <x v="9"/>
    <n v="0"/>
    <n v="0"/>
    <s v=""/>
    <n v="0"/>
    <x v="4"/>
  </r>
  <r>
    <x v="5"/>
    <x v="10"/>
    <n v="170"/>
    <n v="4417.2431999999999"/>
    <n v="25.983783529411763"/>
    <n v="121"/>
    <x v="5"/>
  </r>
  <r>
    <x v="5"/>
    <x v="11"/>
    <n v="151"/>
    <n v="3903.9840000000004"/>
    <n v="25.85419867549669"/>
    <n v="0"/>
    <x v="5"/>
  </r>
  <r>
    <x v="5"/>
    <x v="12"/>
    <n v="1750"/>
    <n v="32507.654400000003"/>
    <n v="18.575802514285716"/>
    <n v="3016"/>
    <x v="4"/>
  </r>
  <r>
    <x v="5"/>
    <x v="13"/>
    <n v="77"/>
    <n v="2389.3056000000001"/>
    <n v="31.02994285714286"/>
    <n v="154"/>
    <x v="3"/>
  </r>
  <r>
    <x v="5"/>
    <x v="14"/>
    <n v="91"/>
    <n v="1251.8063999999999"/>
    <n v="13.756114285714284"/>
    <n v="666"/>
    <x v="3"/>
  </r>
  <r>
    <x v="5"/>
    <x v="15"/>
    <n v="432"/>
    <n v="4572.0288"/>
    <n v="10.583399999999999"/>
    <n v="877"/>
    <x v="3"/>
  </r>
  <r>
    <x v="5"/>
    <x v="16"/>
    <n v="683"/>
    <n v="7099.7472000000007"/>
    <n v="10.394944655929724"/>
    <n v="4274"/>
    <x v="3"/>
  </r>
  <r>
    <x v="5"/>
    <x v="17"/>
    <n v="557"/>
    <n v="6448.8960000000006"/>
    <n v="11.57791023339318"/>
    <n v="3383"/>
    <x v="3"/>
  </r>
  <r>
    <x v="5"/>
    <x v="18"/>
    <n v="1949"/>
    <n v="7620.4800000000005"/>
    <n v="3.9099435608004107"/>
    <n v="522"/>
    <x v="0"/>
  </r>
  <r>
    <x v="5"/>
    <x v="20"/>
    <n v="2265"/>
    <n v="2146.0896000000002"/>
    <n v="0.94750092715231804"/>
    <n v="12027"/>
    <x v="3"/>
  </r>
  <r>
    <x v="5"/>
    <x v="21"/>
    <n v="10060"/>
    <n v="9534.3263999999999"/>
    <n v="0.94774616302186876"/>
    <n v="90907"/>
    <x v="3"/>
  </r>
  <r>
    <x v="5"/>
    <x v="22"/>
    <n v="4594"/>
    <n v="2164.0608000000002"/>
    <n v="0.47106242925555075"/>
    <n v="65355"/>
    <x v="3"/>
  </r>
  <r>
    <x v="5"/>
    <x v="24"/>
    <n v="13422"/>
    <n v="48732.840000000004"/>
    <n v="3.6308180599016544"/>
    <n v="39510"/>
    <x v="1"/>
  </r>
  <r>
    <x v="5"/>
    <x v="25"/>
    <n v="1775"/>
    <n v="71096.184000000008"/>
    <n v="40.05418816901409"/>
    <n v="1328"/>
    <x v="0"/>
  </r>
  <r>
    <x v="5"/>
    <x v="26"/>
    <n v="1184"/>
    <n v="20710.080000000002"/>
    <n v="17.491621621621622"/>
    <n v="1963"/>
    <x v="0"/>
  </r>
  <r>
    <x v="5"/>
    <x v="27"/>
    <n v="9577"/>
    <n v="78233.212800000008"/>
    <n v="8.1688642372350433"/>
    <n v="22189"/>
    <x v="4"/>
  </r>
  <r>
    <x v="5"/>
    <x v="28"/>
    <n v="22342"/>
    <n v="26458.617600000001"/>
    <n v="1.18425465938591"/>
    <n v="85817"/>
    <x v="4"/>
  </r>
  <r>
    <x v="5"/>
    <x v="29"/>
    <n v="33"/>
    <n v="1629.9360000000001"/>
    <n v="49.392000000000003"/>
    <n v="553"/>
    <x v="0"/>
  </r>
  <r>
    <x v="5"/>
    <x v="30"/>
    <n v="6202"/>
    <n v="26258.688000000002"/>
    <n v="4.2339064817800711"/>
    <n v="8227"/>
    <x v="1"/>
  </r>
  <r>
    <x v="5"/>
    <x v="31"/>
    <n v="557"/>
    <n v="4375.2960000000003"/>
    <n v="7.8551095152603239"/>
    <n v="557"/>
    <x v="1"/>
  </r>
  <r>
    <x v="5"/>
    <x v="32"/>
    <n v="3490"/>
    <n v="4905.4463999999998"/>
    <n v="1.4055720343839542"/>
    <n v="3527"/>
    <x v="1"/>
  </r>
  <r>
    <x v="5"/>
    <x v="33"/>
    <n v="5550"/>
    <n v="8029.0655999999999"/>
    <n v="1.4466784864864866"/>
    <n v="4065"/>
    <x v="1"/>
  </r>
  <r>
    <x v="5"/>
    <x v="34"/>
    <n v="1276"/>
    <n v="11499.84"/>
    <n v="9.0124137931034483"/>
    <n v="1439"/>
    <x v="1"/>
  </r>
  <r>
    <x v="5"/>
    <x v="35"/>
    <n v="2483"/>
    <n v="6979.8240000000005"/>
    <n v="2.8110447039871125"/>
    <n v="511"/>
    <x v="1"/>
  </r>
  <r>
    <x v="5"/>
    <x v="36"/>
    <n v="7842"/>
    <n v="80600.831999999995"/>
    <n v="10.278096403978576"/>
    <n v="20242"/>
    <x v="4"/>
  </r>
  <r>
    <x v="5"/>
    <x v="37"/>
    <n v="1819"/>
    <n v="3353.0111999999999"/>
    <n v="1.8433266630016492"/>
    <n v="279"/>
    <x v="1"/>
  </r>
  <r>
    <x v="5"/>
    <x v="38"/>
    <n v="1490"/>
    <n v="11193.595200000002"/>
    <n v="7.5124800000000009"/>
    <n v="0"/>
    <x v="1"/>
  </r>
  <r>
    <x v="5"/>
    <x v="39"/>
    <n v="1133"/>
    <n v="1513.6416000000002"/>
    <n v="1.3359590467784643"/>
    <n v="1207"/>
    <x v="1"/>
  </r>
  <r>
    <x v="5"/>
    <x v="41"/>
    <n v="3146"/>
    <n v="17339.443200000002"/>
    <n v="5.5115839796567077"/>
    <n v="6752"/>
    <x v="1"/>
  </r>
  <r>
    <x v="5"/>
    <x v="42"/>
    <n v="314"/>
    <n v="7639.92"/>
    <n v="24.330955414012738"/>
    <n v="469"/>
    <x v="1"/>
  </r>
  <r>
    <x v="5"/>
    <x v="43"/>
    <n v="511"/>
    <n v="1644.1920000000002"/>
    <n v="3.2175968688845407"/>
    <n v="511"/>
    <x v="1"/>
  </r>
  <r>
    <x v="5"/>
    <x v="44"/>
    <n v="578"/>
    <n v="12165.9408"/>
    <n v="21.048340484429065"/>
    <n v="655"/>
    <x v="1"/>
  </r>
  <r>
    <x v="5"/>
    <x v="45"/>
    <n v="952"/>
    <n v="12540.096000000001"/>
    <n v="13.172369747899161"/>
    <n v="1369"/>
    <x v="1"/>
  </r>
  <r>
    <x v="5"/>
    <x v="47"/>
    <n v="307"/>
    <n v="8838.7200000000012"/>
    <n v="28.790618892508146"/>
    <n v="437"/>
    <x v="0"/>
  </r>
  <r>
    <x v="5"/>
    <x v="48"/>
    <n v="193"/>
    <n v="3298.7520000000004"/>
    <n v="17.091979274611401"/>
    <n v="202"/>
    <x v="0"/>
  </r>
  <r>
    <x v="5"/>
    <x v="51"/>
    <n v="0"/>
    <n v="0"/>
    <s v=""/>
    <n v="48498"/>
    <x v="4"/>
  </r>
  <r>
    <x v="5"/>
    <x v="52"/>
    <n v="168"/>
    <n v="883.35360000000003"/>
    <n v="5.258057142857143"/>
    <n v="265"/>
    <x v="3"/>
  </r>
  <r>
    <x v="5"/>
    <x v="53"/>
    <n v="140"/>
    <n v="404.35199999999998"/>
    <n v="2.8882285714285714"/>
    <n v="362"/>
    <x v="3"/>
  </r>
  <r>
    <x v="5"/>
    <x v="55"/>
    <n v="98"/>
    <n v="14353.7184"/>
    <n v="146.46651428571428"/>
    <n v="12"/>
    <x v="5"/>
  </r>
  <r>
    <x v="5"/>
    <x v="56"/>
    <n v="100"/>
    <n v="5680.5408000000007"/>
    <n v="56.805408000000007"/>
    <n v="21"/>
    <x v="5"/>
  </r>
  <r>
    <x v="5"/>
    <x v="57"/>
    <n v="58"/>
    <n v="6140.88"/>
    <n v="105.87724137931035"/>
    <n v="7"/>
    <x v="5"/>
  </r>
  <r>
    <x v="5"/>
    <x v="58"/>
    <n v="293"/>
    <n v="718.50239999999997"/>
    <n v="2.4522266211604093"/>
    <n v="669"/>
    <x v="3"/>
  </r>
  <r>
    <x v="5"/>
    <x v="59"/>
    <n v="1246"/>
    <n v="73840.507200000007"/>
    <n v="59.262044301765656"/>
    <n v="140"/>
    <x v="1"/>
  </r>
  <r>
    <x v="5"/>
    <x v="60"/>
    <n v="4896"/>
    <n v="51500.880000000005"/>
    <n v="10.518970588235295"/>
    <n v="1798"/>
    <x v="1"/>
  </r>
  <r>
    <x v="5"/>
    <x v="61"/>
    <n v="42"/>
    <n v="1602.0288"/>
    <n v="38.143542857142862"/>
    <n v="3"/>
    <x v="5"/>
  </r>
  <r>
    <x v="5"/>
    <x v="63"/>
    <n v="5067"/>
    <n v="2519.1215999999999"/>
    <n v="0.49716234458259323"/>
    <n v="56683"/>
    <x v="3"/>
  </r>
  <r>
    <x v="5"/>
    <x v="64"/>
    <n v="2123"/>
    <n v="186216.40800000002"/>
    <n v="87.713804992934541"/>
    <n v="1406"/>
    <x v="5"/>
  </r>
  <r>
    <x v="5"/>
    <x v="65"/>
    <n v="295"/>
    <n v="13622.7312"/>
    <n v="46.178749830508472"/>
    <n v="24"/>
    <x v="5"/>
  </r>
  <r>
    <x v="5"/>
    <x v="66"/>
    <n v="31"/>
    <n v="1506.7728000000002"/>
    <n v="48.605574193548392"/>
    <n v="121"/>
    <x v="5"/>
  </r>
  <r>
    <x v="5"/>
    <x v="67"/>
    <n v="966"/>
    <n v="49618.483200000002"/>
    <n v="51.364889440993792"/>
    <n v="467"/>
    <x v="5"/>
  </r>
  <r>
    <x v="5"/>
    <x v="68"/>
    <n v="235"/>
    <n v="28544.054400000001"/>
    <n v="121.46406127659574"/>
    <n v="35"/>
    <x v="5"/>
  </r>
  <r>
    <x v="5"/>
    <x v="69"/>
    <n v="130"/>
    <n v="3773.2175999999999"/>
    <n v="29.024750769230767"/>
    <n v="632"/>
    <x v="3"/>
  </r>
  <r>
    <x v="5"/>
    <x v="70"/>
    <n v="75"/>
    <n v="139.36320000000001"/>
    <n v="1.858176"/>
    <n v="18820"/>
    <x v="3"/>
  </r>
  <r>
    <x v="5"/>
    <x v="71"/>
    <n v="8816"/>
    <n v="10342.08"/>
    <n v="1.173103448275862"/>
    <n v="57072"/>
    <x v="4"/>
  </r>
  <r>
    <x v="5"/>
    <x v="72"/>
    <n v="335"/>
    <n v="45797.529600000009"/>
    <n v="136.70904358208958"/>
    <n v="12"/>
    <x v="5"/>
  </r>
  <r>
    <x v="5"/>
    <x v="74"/>
    <n v="383"/>
    <n v="5666.76"/>
    <n v="14.795718015665797"/>
    <n v="383"/>
    <x v="1"/>
  </r>
  <r>
    <x v="5"/>
    <x v="75"/>
    <n v="119"/>
    <n v="16374.182400000002"/>
    <n v="137.59817142857145"/>
    <n v="42"/>
    <x v="5"/>
  </r>
  <r>
    <x v="5"/>
    <x v="77"/>
    <n v="1706"/>
    <n v="19270.310400000002"/>
    <n v="11.295609847596719"/>
    <n v="673"/>
    <x v="0"/>
  </r>
  <r>
    <x v="5"/>
    <x v="78"/>
    <n v="335"/>
    <n v="2836.6848"/>
    <n v="8.4677158208955223"/>
    <n v="836"/>
    <x v="3"/>
  </r>
  <r>
    <x v="5"/>
    <x v="79"/>
    <n v="743"/>
    <n v="5586.2784000000001"/>
    <n v="7.5185442799461644"/>
    <n v="163"/>
    <x v="1"/>
  </r>
  <r>
    <x v="5"/>
    <x v="80"/>
    <n v="112"/>
    <n v="23539.5072"/>
    <n v="210.17417142857144"/>
    <n v="33"/>
    <x v="0"/>
  </r>
  <r>
    <x v="5"/>
    <x v="82"/>
    <n v="1972"/>
    <n v="10531.296000000002"/>
    <n v="5.3404137931034494"/>
    <n v="232"/>
    <x v="3"/>
  </r>
  <r>
    <x v="5"/>
    <x v="83"/>
    <n v="808"/>
    <n v="1449.2304000000001"/>
    <n v="1.7936019801980201"/>
    <n v="3815"/>
    <x v="3"/>
  </r>
  <r>
    <x v="5"/>
    <x v="84"/>
    <n v="209"/>
    <n v="11944.3248"/>
    <n v="57.14987942583732"/>
    <n v="177"/>
    <x v="0"/>
  </r>
  <r>
    <x v="5"/>
    <x v="85"/>
    <n v="0"/>
    <n v="0"/>
    <s v=""/>
    <n v="6404"/>
    <x v="3"/>
  </r>
  <r>
    <x v="5"/>
    <x v="86"/>
    <n v="1949"/>
    <n v="5777.0496000000003"/>
    <n v="2.9641095946639302"/>
    <n v="195"/>
    <x v="1"/>
  </r>
  <r>
    <x v="5"/>
    <x v="87"/>
    <n v="270"/>
    <n v="8704.4544000000005"/>
    <n v="32.238720000000001"/>
    <n v="21"/>
    <x v="3"/>
  </r>
  <r>
    <x v="5"/>
    <x v="88"/>
    <n v="6988"/>
    <n v="8496.7487999999994"/>
    <n v="1.2159056668574699"/>
    <n v="11735"/>
    <x v="3"/>
  </r>
  <r>
    <x v="5"/>
    <x v="108"/>
    <n v="7239"/>
    <n v="26323.315200000001"/>
    <n v="3.6363192706174887"/>
    <n v="68475"/>
    <x v="1"/>
  </r>
  <r>
    <x v="5"/>
    <x v="89"/>
    <n v="1142"/>
    <n v="5738.688000000001"/>
    <n v="5.0251208406304739"/>
    <n v="2993"/>
    <x v="1"/>
  </r>
  <r>
    <x v="5"/>
    <x v="90"/>
    <n v="1225"/>
    <n v="17791.488000000001"/>
    <n v="14.52366367346939"/>
    <n v="1225"/>
    <x v="3"/>
  </r>
  <r>
    <x v="5"/>
    <x v="91"/>
    <n v="687"/>
    <n v="9193.996799999999"/>
    <n v="13.382819213973798"/>
    <n v="819"/>
    <x v="3"/>
  </r>
  <r>
    <x v="5"/>
    <x v="92"/>
    <n v="251"/>
    <n v="1779.9264000000001"/>
    <n v="7.0913402390438245"/>
    <n v="743"/>
    <x v="1"/>
  </r>
  <r>
    <x v="5"/>
    <x v="94"/>
    <n v="3332"/>
    <n v="23374.872000000003"/>
    <n v="7.0152677070828338"/>
    <n v="13447"/>
    <x v="1"/>
  </r>
  <r>
    <x v="5"/>
    <x v="95"/>
    <n v="961"/>
    <n v="4070.5632000000001"/>
    <n v="4.2357577523413115"/>
    <n v="1685"/>
    <x v="1"/>
  </r>
  <r>
    <x v="5"/>
    <x v="96"/>
    <n v="112"/>
    <n v="736.12800000000004"/>
    <n v="6.572571428571429"/>
    <n v="214"/>
    <x v="1"/>
  </r>
  <r>
    <x v="5"/>
    <x v="98"/>
    <n v="372"/>
    <n v="3290.1120000000005"/>
    <n v="8.8443870967741951"/>
    <n v="696"/>
    <x v="1"/>
  </r>
  <r>
    <x v="5"/>
    <x v="100"/>
    <n v="1365"/>
    <n v="38292.912000000004"/>
    <n v="28.053415384615388"/>
    <n v="4529"/>
    <x v="4"/>
  </r>
  <r>
    <x v="5"/>
    <x v="102"/>
    <n v="469"/>
    <n v="15875.049600000002"/>
    <n v="33.848719829424311"/>
    <n v="539"/>
    <x v="0"/>
  </r>
  <r>
    <x v="5"/>
    <x v="103"/>
    <n v="100"/>
    <n v="5126.9760000000006"/>
    <n v="51.269760000000005"/>
    <n v="19"/>
    <x v="0"/>
  </r>
  <r>
    <x v="5"/>
    <x v="107"/>
    <n v="12842"/>
    <n v="90862.560000000012"/>
    <n v="7.075421273944869"/>
    <n v="9106"/>
    <x v="4"/>
  </r>
  <r>
    <x v="5"/>
    <x v="109"/>
    <n v="40536"/>
    <n v="40834.152000000002"/>
    <n v="1.0073552397868561"/>
    <n v="51226"/>
    <x v="0"/>
  </r>
  <r>
    <x v="5"/>
    <x v="112"/>
    <n v="1341"/>
    <n v="58353.955200000004"/>
    <n v="43.51525369127517"/>
    <n v="722"/>
    <x v="5"/>
  </r>
  <r>
    <x v="5"/>
    <x v="110"/>
    <n v="2140"/>
    <n v="27642.297600000002"/>
    <n v="12.916961495327104"/>
    <n v="10311"/>
    <x v="0"/>
  </r>
  <r>
    <x v="5"/>
    <x v="114"/>
    <n v="1984"/>
    <n v="22900.32"/>
    <n v="11.5425"/>
    <n v="2276"/>
    <x v="1"/>
  </r>
  <r>
    <x v="5"/>
    <x v="115"/>
    <n v="0"/>
    <n v="0"/>
    <s v=""/>
    <n v="24"/>
    <x v="5"/>
  </r>
  <r>
    <x v="5"/>
    <x v="113"/>
    <n v="1699"/>
    <n v="10103.3568"/>
    <n v="5.9466490876986464"/>
    <n v="140"/>
    <x v="1"/>
  </r>
  <r>
    <x v="5"/>
    <x v="122"/>
    <n v="0"/>
    <n v="0"/>
    <s v=""/>
    <n v="0"/>
    <x v="5"/>
  </r>
  <r>
    <x v="5"/>
    <x v="116"/>
    <n v="395"/>
    <n v="11787.12"/>
    <n v="29.84081012658228"/>
    <n v="720"/>
    <x v="1"/>
  </r>
  <r>
    <x v="5"/>
    <x v="117"/>
    <n v="996"/>
    <n v="34378.344000000005"/>
    <n v="34.516409638554222"/>
    <n v="720"/>
    <x v="1"/>
  </r>
  <r>
    <x v="5"/>
    <x v="118"/>
    <n v="242"/>
    <n v="9466.3296000000009"/>
    <n v="39.117064462809921"/>
    <n v="729"/>
    <x v="0"/>
  </r>
  <r>
    <x v="5"/>
    <x v="121"/>
    <n v="404"/>
    <n v="13815.8784"/>
    <n v="34.197718811881188"/>
    <n v="200"/>
    <x v="5"/>
  </r>
  <r>
    <x v="5"/>
    <x v="123"/>
    <n v="0"/>
    <n v="0"/>
    <s v=""/>
    <n v="232"/>
    <x v="3"/>
  </r>
  <r>
    <x v="5"/>
    <x v="124"/>
    <n v="0"/>
    <n v="0"/>
    <s v=""/>
    <n v="116"/>
    <x v="3"/>
  </r>
  <r>
    <x v="5"/>
    <x v="125"/>
    <n v="0"/>
    <n v="0"/>
    <s v=""/>
    <n v="89"/>
    <x v="0"/>
  </r>
  <r>
    <x v="5"/>
    <x v="126"/>
    <n v="0"/>
    <n v="0"/>
    <s v=""/>
    <n v="353"/>
    <x v="4"/>
  </r>
  <r>
    <x v="6"/>
    <x v="0"/>
    <n v="3951"/>
    <n v="26558.625600000003"/>
    <n v="6.7220009111617323"/>
    <n v="10366"/>
    <x v="0"/>
  </r>
  <r>
    <x v="6"/>
    <x v="1"/>
    <n v="5188"/>
    <n v="28495.584000000003"/>
    <n v="5.4925952197378569"/>
    <n v="6415"/>
    <x v="1"/>
  </r>
  <r>
    <x v="6"/>
    <x v="3"/>
    <n v="1293"/>
    <n v="21776.472000000002"/>
    <n v="16.841819025522042"/>
    <n v="2383"/>
    <x v="0"/>
  </r>
  <r>
    <x v="6"/>
    <x v="4"/>
    <n v="0"/>
    <n v="0"/>
    <s v=""/>
    <n v="13141"/>
    <x v="3"/>
  </r>
  <r>
    <x v="6"/>
    <x v="5"/>
    <n v="75"/>
    <n v="1621.8144000000002"/>
    <n v="21.624192000000004"/>
    <n v="158"/>
    <x v="3"/>
  </r>
  <r>
    <x v="6"/>
    <x v="6"/>
    <n v="251"/>
    <n v="3511.8144000000002"/>
    <n v="13.991292430278886"/>
    <n v="1337"/>
    <x v="3"/>
  </r>
  <r>
    <x v="6"/>
    <x v="7"/>
    <n v="335"/>
    <n v="269.35200000000003"/>
    <n v="0.8040358208955225"/>
    <n v="16120"/>
    <x v="3"/>
  </r>
  <r>
    <x v="6"/>
    <x v="8"/>
    <n v="307"/>
    <n v="7070.9760000000006"/>
    <n v="23.032495114006515"/>
    <n v="696"/>
    <x v="3"/>
  </r>
  <r>
    <x v="6"/>
    <x v="9"/>
    <n v="3675"/>
    <n v="57309.120000000003"/>
    <n v="15.59431836734694"/>
    <n v="1448"/>
    <x v="4"/>
  </r>
  <r>
    <x v="6"/>
    <x v="10"/>
    <n v="49"/>
    <n v="1270.7280000000001"/>
    <n v="25.933224489795919"/>
    <n v="49"/>
    <x v="5"/>
  </r>
  <r>
    <x v="6"/>
    <x v="11"/>
    <n v="151"/>
    <n v="3903.9840000000004"/>
    <n v="25.85419867549669"/>
    <n v="154"/>
    <x v="5"/>
  </r>
  <r>
    <x v="6"/>
    <x v="12"/>
    <n v="3429"/>
    <n v="67527.345600000001"/>
    <n v="19.693014173228345"/>
    <n v="2896"/>
    <x v="4"/>
  </r>
  <r>
    <x v="6"/>
    <x v="13"/>
    <n v="98"/>
    <n v="3040.9344000000001"/>
    <n v="31.029942857142856"/>
    <n v="181"/>
    <x v="3"/>
  </r>
  <r>
    <x v="6"/>
    <x v="14"/>
    <n v="137"/>
    <n v="1893.7584000000002"/>
    <n v="13.823054014598542"/>
    <n v="752"/>
    <x v="3"/>
  </r>
  <r>
    <x v="6"/>
    <x v="15"/>
    <n v="529"/>
    <n v="5604.4224000000004"/>
    <n v="10.594371266540643"/>
    <n v="947"/>
    <x v="3"/>
  </r>
  <r>
    <x v="6"/>
    <x v="16"/>
    <n v="947"/>
    <n v="9852.7103999999999"/>
    <n v="10.404129250263992"/>
    <n v="5095"/>
    <x v="3"/>
  </r>
  <r>
    <x v="6"/>
    <x v="17"/>
    <n v="1379"/>
    <n v="15961.017600000001"/>
    <n v="11.574341986947063"/>
    <n v="3494"/>
    <x v="3"/>
  </r>
  <r>
    <x v="6"/>
    <x v="18"/>
    <n v="1462"/>
    <n v="5715.3600000000006"/>
    <n v="3.9092749658002739"/>
    <n v="140"/>
    <x v="0"/>
  </r>
  <r>
    <x v="6"/>
    <x v="20"/>
    <n v="483"/>
    <n v="457.35840000000007"/>
    <n v="0.94691180124223617"/>
    <n v="10691"/>
    <x v="3"/>
  </r>
  <r>
    <x v="6"/>
    <x v="21"/>
    <n v="6905"/>
    <n v="6543.8496000000005"/>
    <n v="0.94769726285300515"/>
    <n v="89200"/>
    <x v="3"/>
  </r>
  <r>
    <x v="6"/>
    <x v="22"/>
    <n v="7517"/>
    <n v="3835.1232"/>
    <n v="0.51019332180391108"/>
    <n v="72245"/>
    <x v="3"/>
  </r>
  <r>
    <x v="6"/>
    <x v="24"/>
    <n v="10707"/>
    <n v="38876.76"/>
    <n v="3.6309666573269825"/>
    <n v="34313"/>
    <x v="1"/>
  </r>
  <r>
    <x v="6"/>
    <x v="25"/>
    <n v="1692"/>
    <n v="67936.276800000007"/>
    <n v="40.151463829787239"/>
    <n v="1167"/>
    <x v="0"/>
  </r>
  <r>
    <x v="6"/>
    <x v="26"/>
    <n v="1337"/>
    <n v="25241.500800000002"/>
    <n v="18.879207778608826"/>
    <n v="1722"/>
    <x v="0"/>
  </r>
  <r>
    <x v="6"/>
    <x v="27"/>
    <n v="16788"/>
    <n v="144075.11040000001"/>
    <n v="8.5820294496068623"/>
    <n v="24110"/>
    <x v="4"/>
  </r>
  <r>
    <x v="6"/>
    <x v="28"/>
    <n v="76839"/>
    <n v="108596.50560000002"/>
    <n v="1.4132993089446768"/>
    <n v="87905"/>
    <x v="4"/>
  </r>
  <r>
    <x v="6"/>
    <x v="29"/>
    <n v="455"/>
    <n v="22819.103999999999"/>
    <n v="50.151876923076919"/>
    <n v="557"/>
    <x v="0"/>
  </r>
  <r>
    <x v="6"/>
    <x v="30"/>
    <n v="5680"/>
    <n v="24048.36"/>
    <n v="4.2338661971830991"/>
    <n v="8666"/>
    <x v="1"/>
  </r>
  <r>
    <x v="6"/>
    <x v="31"/>
    <n v="1044"/>
    <n v="8353.3680000000004"/>
    <n v="8.0013103448275871"/>
    <n v="627"/>
    <x v="1"/>
  </r>
  <r>
    <x v="6"/>
    <x v="32"/>
    <n v="6478"/>
    <n v="9106.387200000001"/>
    <n v="1.4057405372028406"/>
    <n v="3731"/>
    <x v="1"/>
  </r>
  <r>
    <x v="6"/>
    <x v="33"/>
    <n v="5160"/>
    <n v="7686.1440000000011"/>
    <n v="1.4895627906976747"/>
    <n v="4288"/>
    <x v="1"/>
  </r>
  <r>
    <x v="6"/>
    <x v="34"/>
    <n v="766"/>
    <n v="6899.9040000000005"/>
    <n v="9.0077075718015678"/>
    <n v="1439"/>
    <x v="1"/>
  </r>
  <r>
    <x v="6"/>
    <x v="35"/>
    <n v="1972"/>
    <n v="5544.72"/>
    <n v="2.8117241379310345"/>
    <n v="859"/>
    <x v="1"/>
  </r>
  <r>
    <x v="6"/>
    <x v="36"/>
    <n v="0"/>
    <n v="0"/>
    <s v=""/>
    <n v="14814"/>
    <x v="4"/>
  </r>
  <r>
    <x v="6"/>
    <x v="37"/>
    <n v="1541"/>
    <n v="2839.7952"/>
    <n v="1.842826216742375"/>
    <n v="223"/>
    <x v="1"/>
  </r>
  <r>
    <x v="6"/>
    <x v="38"/>
    <n v="1490"/>
    <n v="11193.595200000002"/>
    <n v="7.5124800000000009"/>
    <n v="84"/>
    <x v="1"/>
  </r>
  <r>
    <x v="6"/>
    <x v="39"/>
    <n v="2098"/>
    <n v="2803.9824000000003"/>
    <n v="1.3365025738798857"/>
    <n v="1522"/>
    <x v="1"/>
  </r>
  <r>
    <x v="6"/>
    <x v="41"/>
    <n v="4190"/>
    <n v="23093.683200000003"/>
    <n v="5.5116189021479718"/>
    <n v="6496"/>
    <x v="1"/>
  </r>
  <r>
    <x v="6"/>
    <x v="42"/>
    <n v="290"/>
    <n v="7074.0000000000009"/>
    <n v="24.393103448275866"/>
    <n v="288"/>
    <x v="1"/>
  </r>
  <r>
    <x v="6"/>
    <x v="44"/>
    <n v="926"/>
    <n v="19494.820800000001"/>
    <n v="21.052722246220302"/>
    <n v="759"/>
    <x v="1"/>
  </r>
  <r>
    <x v="6"/>
    <x v="45"/>
    <n v="882"/>
    <n v="11622.528000000002"/>
    <n v="13.177469387755105"/>
    <n v="1764"/>
    <x v="1"/>
  </r>
  <r>
    <x v="6"/>
    <x v="47"/>
    <n v="471"/>
    <n v="13592.880000000001"/>
    <n v="28.859617834394907"/>
    <n v="455"/>
    <x v="0"/>
  </r>
  <r>
    <x v="6"/>
    <x v="48"/>
    <n v="72"/>
    <n v="1348.3152000000002"/>
    <n v="18.726600000000005"/>
    <n v="65"/>
    <x v="0"/>
  </r>
  <r>
    <x v="6"/>
    <x v="51"/>
    <n v="78498"/>
    <n v="109479.25440000001"/>
    <n v="1.3946757165787664"/>
    <n v="82073"/>
    <x v="4"/>
  </r>
  <r>
    <x v="6"/>
    <x v="52"/>
    <n v="56"/>
    <n v="294.45120000000003"/>
    <n v="5.258057142857143"/>
    <n v="307"/>
    <x v="3"/>
  </r>
  <r>
    <x v="6"/>
    <x v="53"/>
    <n v="265"/>
    <n v="768.26880000000006"/>
    <n v="2.8991275471698117"/>
    <n v="362"/>
    <x v="3"/>
  </r>
  <r>
    <x v="6"/>
    <x v="55"/>
    <n v="86"/>
    <n v="12644.942400000002"/>
    <n v="147.0342139534884"/>
    <n v="17"/>
    <x v="5"/>
  </r>
  <r>
    <x v="6"/>
    <x v="56"/>
    <n v="79"/>
    <n v="4491.5904"/>
    <n v="56.855574683544305"/>
    <n v="17"/>
    <x v="5"/>
  </r>
  <r>
    <x v="6"/>
    <x v="57"/>
    <n v="52"/>
    <n v="5403.974400000001"/>
    <n v="103.92258461538464"/>
    <n v="7"/>
    <x v="5"/>
  </r>
  <r>
    <x v="6"/>
    <x v="58"/>
    <n v="279"/>
    <n v="684.28800000000012"/>
    <n v="2.4526451612903228"/>
    <n v="655"/>
    <x v="3"/>
  </r>
  <r>
    <x v="6"/>
    <x v="59"/>
    <n v="1107"/>
    <n v="65590.171199999997"/>
    <n v="59.250380487804875"/>
    <n v="188"/>
    <x v="1"/>
  </r>
  <r>
    <x v="6"/>
    <x v="60"/>
    <n v="4037"/>
    <n v="42469.920000000006"/>
    <n v="10.520168441912313"/>
    <n v="1996"/>
    <x v="1"/>
  </r>
  <r>
    <x v="6"/>
    <x v="61"/>
    <n v="40"/>
    <n v="1512.9936000000002"/>
    <n v="37.824840000000009"/>
    <n v="7"/>
    <x v="5"/>
  </r>
  <r>
    <x v="6"/>
    <x v="63"/>
    <n v="2395"/>
    <n v="1190.3328000000001"/>
    <n v="0.49700743215031323"/>
    <n v="60859"/>
    <x v="3"/>
  </r>
  <r>
    <x v="6"/>
    <x v="64"/>
    <n v="1889"/>
    <n v="165661.37280000001"/>
    <n v="87.697921016410803"/>
    <n v="1469"/>
    <x v="5"/>
  </r>
  <r>
    <x v="6"/>
    <x v="65"/>
    <n v="272"/>
    <n v="12550.075200000001"/>
    <n v="46.139982352941182"/>
    <n v="24"/>
    <x v="5"/>
  </r>
  <r>
    <x v="6"/>
    <x v="66"/>
    <n v="286"/>
    <n v="14256.388800000002"/>
    <n v="49.847513286713294"/>
    <n v="128"/>
    <x v="5"/>
  </r>
  <r>
    <x v="6"/>
    <x v="67"/>
    <n v="1126"/>
    <n v="57848.472000000009"/>
    <n v="51.375197158081711"/>
    <n v="462"/>
    <x v="5"/>
  </r>
  <r>
    <x v="6"/>
    <x v="68"/>
    <n v="195"/>
    <n v="23739.6096"/>
    <n v="121.74158769230769"/>
    <n v="38"/>
    <x v="5"/>
  </r>
  <r>
    <x v="6"/>
    <x v="69"/>
    <n v="93"/>
    <n v="2697.7536000000005"/>
    <n v="29.008103225806458"/>
    <n v="632"/>
    <x v="3"/>
  </r>
  <r>
    <x v="6"/>
    <x v="70"/>
    <n v="2265"/>
    <n v="4250.0591999999997"/>
    <n v="1.8764058278145694"/>
    <n v="20194"/>
    <x v="3"/>
  </r>
  <r>
    <x v="6"/>
    <x v="72"/>
    <n v="323"/>
    <n v="44207.337600000006"/>
    <n v="136.86482229102168"/>
    <n v="0"/>
    <x v="5"/>
  </r>
  <r>
    <x v="6"/>
    <x v="75"/>
    <n v="307"/>
    <n v="40035.988800000006"/>
    <n v="130.41038697068407"/>
    <n v="35"/>
    <x v="5"/>
  </r>
  <r>
    <x v="6"/>
    <x v="77"/>
    <n v="1033"/>
    <n v="11667.067200000001"/>
    <n v="11.294353533397871"/>
    <n v="952"/>
    <x v="0"/>
  </r>
  <r>
    <x v="6"/>
    <x v="78"/>
    <n v="335"/>
    <n v="2836.6848"/>
    <n v="8.4677158208955223"/>
    <n v="543"/>
    <x v="3"/>
  </r>
  <r>
    <x v="6"/>
    <x v="79"/>
    <n v="580"/>
    <n v="4364.2800000000007"/>
    <n v="7.5246206896551735"/>
    <n v="0"/>
    <x v="1"/>
  </r>
  <r>
    <x v="6"/>
    <x v="80"/>
    <n v="79"/>
    <n v="16673.817600000002"/>
    <n v="211.06098227848105"/>
    <n v="28"/>
    <x v="0"/>
  </r>
  <r>
    <x v="6"/>
    <x v="82"/>
    <n v="1740"/>
    <n v="9292.32"/>
    <n v="5.3404137931034485"/>
    <n v="232"/>
    <x v="3"/>
  </r>
  <r>
    <x v="6"/>
    <x v="83"/>
    <n v="1504"/>
    <n v="2698.5744"/>
    <n v="1.7942648936170214"/>
    <n v="3007"/>
    <x v="3"/>
  </r>
  <r>
    <x v="6"/>
    <x v="84"/>
    <n v="330"/>
    <n v="20022.681600000004"/>
    <n v="60.674792727272738"/>
    <n v="184"/>
    <x v="0"/>
  </r>
  <r>
    <x v="6"/>
    <x v="85"/>
    <n v="1601"/>
    <n v="3061.2816000000003"/>
    <n v="1.9121059337913806"/>
    <n v="6404"/>
    <x v="3"/>
  </r>
  <r>
    <x v="6"/>
    <x v="86"/>
    <n v="1754"/>
    <n v="5199.3360000000002"/>
    <n v="2.9642736602052451"/>
    <n v="0"/>
    <x v="1"/>
  </r>
  <r>
    <x v="6"/>
    <x v="87"/>
    <n v="249"/>
    <n v="8029.1088"/>
    <n v="32.245416867469878"/>
    <n v="0"/>
    <x v="3"/>
  </r>
  <r>
    <x v="6"/>
    <x v="88"/>
    <n v="7237"/>
    <n v="8879.4144000000015"/>
    <n v="1.2269468564322235"/>
    <n v="11921"/>
    <x v="3"/>
  </r>
  <r>
    <x v="6"/>
    <x v="108"/>
    <n v="20045"/>
    <n v="72895.334399999992"/>
    <n v="3.6365844050885503"/>
    <n v="65703"/>
    <x v="1"/>
  </r>
  <r>
    <x v="6"/>
    <x v="89"/>
    <n v="2604"/>
    <n v="13087.008000000002"/>
    <n v="5.0257327188940097"/>
    <n v="3425"/>
    <x v="1"/>
  </r>
  <r>
    <x v="6"/>
    <x v="90"/>
    <n v="0"/>
    <n v="0"/>
    <s v=""/>
    <n v="0"/>
    <x v="3"/>
  </r>
  <r>
    <x v="6"/>
    <x v="91"/>
    <n v="0"/>
    <n v="0"/>
    <s v=""/>
    <n v="0"/>
    <x v="3"/>
  </r>
  <r>
    <x v="6"/>
    <x v="92"/>
    <n v="1068"/>
    <n v="7626.8736000000008"/>
    <n v="7.1412674157303382"/>
    <n v="632"/>
    <x v="1"/>
  </r>
  <r>
    <x v="6"/>
    <x v="94"/>
    <n v="1253"/>
    <n v="8799.3216000000011"/>
    <n v="7.0226030327214692"/>
    <n v="10942"/>
    <x v="1"/>
  </r>
  <r>
    <x v="6"/>
    <x v="95"/>
    <n v="2534"/>
    <n v="11293.560000000001"/>
    <n v="4.4568113654301502"/>
    <n v="1657"/>
    <x v="1"/>
  </r>
  <r>
    <x v="6"/>
    <x v="96"/>
    <n v="195"/>
    <n v="1398.5568000000001"/>
    <n v="7.1720861538461538"/>
    <n v="242"/>
    <x v="1"/>
  </r>
  <r>
    <x v="6"/>
    <x v="98"/>
    <n v="1235"/>
    <n v="10939.622400000002"/>
    <n v="8.8579938461538479"/>
    <n v="659"/>
    <x v="1"/>
  </r>
  <r>
    <x v="6"/>
    <x v="100"/>
    <n v="1300"/>
    <n v="36469.440000000002"/>
    <n v="28.053415384615388"/>
    <n v="3351"/>
    <x v="4"/>
  </r>
  <r>
    <x v="6"/>
    <x v="102"/>
    <n v="265"/>
    <n v="8992.6848000000009"/>
    <n v="33.934659622641512"/>
    <n v="516"/>
    <x v="0"/>
  </r>
  <r>
    <x v="6"/>
    <x v="103"/>
    <n v="82"/>
    <n v="4173.12"/>
    <n v="50.89170731707317"/>
    <n v="5"/>
    <x v="0"/>
  </r>
  <r>
    <x v="6"/>
    <x v="107"/>
    <n v="3736"/>
    <n v="26429.760000000002"/>
    <n v="7.0743468950749469"/>
    <n v="6682"/>
    <x v="4"/>
  </r>
  <r>
    <x v="6"/>
    <x v="109"/>
    <n v="61694"/>
    <n v="62148.686400000006"/>
    <n v="1.0073700262586314"/>
    <n v="55848"/>
    <x v="0"/>
  </r>
  <r>
    <x v="6"/>
    <x v="112"/>
    <n v="615"/>
    <n v="26753.976000000002"/>
    <n v="43.502400000000002"/>
    <n v="701"/>
    <x v="5"/>
  </r>
  <r>
    <x v="6"/>
    <x v="110"/>
    <n v="2963"/>
    <n v="38285.481599999999"/>
    <n v="12.921188525143435"/>
    <n v="10656"/>
    <x v="0"/>
  </r>
  <r>
    <x v="6"/>
    <x v="114"/>
    <n v="4970"/>
    <n v="57371.328000000001"/>
    <n v="11.543526760563381"/>
    <n v="1775"/>
    <x v="1"/>
  </r>
  <r>
    <x v="6"/>
    <x v="115"/>
    <n v="209"/>
    <n v="5579.2800000000007"/>
    <n v="26.695119617224883"/>
    <n v="142"/>
    <x v="5"/>
  </r>
  <r>
    <x v="6"/>
    <x v="113"/>
    <n v="1560"/>
    <n v="9275.2128000000012"/>
    <n v="5.9456492307692317"/>
    <n v="186"/>
    <x v="1"/>
  </r>
  <r>
    <x v="6"/>
    <x v="122"/>
    <n v="54"/>
    <n v="5010.7248000000009"/>
    <n v="92.791200000000018"/>
    <n v="0"/>
    <x v="5"/>
  </r>
  <r>
    <x v="6"/>
    <x v="116"/>
    <n v="1160"/>
    <n v="34668"/>
    <n v="29.886206896551723"/>
    <n v="743"/>
    <x v="1"/>
  </r>
  <r>
    <x v="6"/>
    <x v="117"/>
    <n v="1506"/>
    <n v="52569"/>
    <n v="34.906374501992033"/>
    <n v="696"/>
    <x v="1"/>
  </r>
  <r>
    <x v="6"/>
    <x v="118"/>
    <n v="516"/>
    <n v="20206.9728"/>
    <n v="39.160800000000002"/>
    <n v="613"/>
    <x v="0"/>
  </r>
  <r>
    <x v="6"/>
    <x v="121"/>
    <n v="205"/>
    <n v="6987.3408000000009"/>
    <n v="34.084589268292689"/>
    <n v="151"/>
    <x v="5"/>
  </r>
  <r>
    <x v="6"/>
    <x v="123"/>
    <n v="0"/>
    <n v="0"/>
    <s v=""/>
    <n v="1369"/>
    <x v="3"/>
  </r>
  <r>
    <x v="6"/>
    <x v="124"/>
    <n v="812"/>
    <n v="22271.760000000002"/>
    <n v="27.428275862068968"/>
    <n v="1137"/>
    <x v="3"/>
  </r>
  <r>
    <x v="6"/>
    <x v="127"/>
    <n v="0"/>
    <n v="0"/>
    <s v=""/>
    <n v="0"/>
    <x v="1"/>
  </r>
  <r>
    <x v="6"/>
    <x v="128"/>
    <n v="0"/>
    <n v="0"/>
    <s v=""/>
    <n v="0"/>
    <x v="3"/>
  </r>
  <r>
    <x v="6"/>
    <x v="125"/>
    <n v="239"/>
    <n v="4341.0384000000004"/>
    <n v="18.163340585774058"/>
    <n v="799"/>
    <x v="0"/>
  </r>
  <r>
    <x v="6"/>
    <x v="129"/>
    <n v="0"/>
    <n v="0"/>
    <s v=""/>
    <n v="0"/>
    <x v="0"/>
  </r>
  <r>
    <x v="6"/>
    <x v="126"/>
    <n v="1096"/>
    <n v="47254.752000000008"/>
    <n v="43.115649635036505"/>
    <n v="1244"/>
    <x v="4"/>
  </r>
  <r>
    <x v="6"/>
    <x v="130"/>
    <n v="0"/>
    <n v="0"/>
    <s v=""/>
    <n v="418"/>
    <x v="5"/>
  </r>
  <r>
    <x v="7"/>
    <x v="0"/>
    <n v="5390"/>
    <n v="38746.512000000002"/>
    <n v="7.1885922077922082"/>
    <n v="9691"/>
    <x v="0"/>
  </r>
  <r>
    <x v="7"/>
    <x v="1"/>
    <n v="5455"/>
    <n v="32439.268800000002"/>
    <n v="5.9467037213565543"/>
    <n v="7508"/>
    <x v="1"/>
  </r>
  <r>
    <x v="7"/>
    <x v="3"/>
    <n v="1641"/>
    <n v="29189.376000000004"/>
    <n v="17.787553930530166"/>
    <n v="2441"/>
    <x v="0"/>
  </r>
  <r>
    <x v="7"/>
    <x v="4"/>
    <n v="0"/>
    <n v="0"/>
    <s v=""/>
    <n v="12139"/>
    <x v="3"/>
  </r>
  <r>
    <x v="7"/>
    <x v="5"/>
    <n v="33"/>
    <n v="710.0784000000001"/>
    <n v="21.517527272727275"/>
    <n v="184"/>
    <x v="3"/>
  </r>
  <r>
    <x v="7"/>
    <x v="6"/>
    <n v="28"/>
    <n v="390.18239999999997"/>
    <n v="13.935085714285714"/>
    <n v="1657"/>
    <x v="3"/>
  </r>
  <r>
    <x v="7"/>
    <x v="7"/>
    <n v="1587"/>
    <n v="1279.4544000000001"/>
    <n v="0.80620945179584125"/>
    <n v="15452"/>
    <x v="3"/>
  </r>
  <r>
    <x v="7"/>
    <x v="8"/>
    <n v="446"/>
    <n v="10511.510399999999"/>
    <n v="23.568408968609862"/>
    <n v="933"/>
    <x v="3"/>
  </r>
  <r>
    <x v="7"/>
    <x v="9"/>
    <n v="2228"/>
    <n v="34732.800000000003"/>
    <n v="15.58922800718133"/>
    <n v="1337"/>
    <x v="4"/>
  </r>
  <r>
    <x v="7"/>
    <x v="12"/>
    <n v="3392"/>
    <n v="66808.972800000003"/>
    <n v="19.696041509433964"/>
    <n v="2562"/>
    <x v="4"/>
  </r>
  <r>
    <x v="7"/>
    <x v="13"/>
    <n v="56"/>
    <n v="1777.5936000000002"/>
    <n v="31.742742857142861"/>
    <n v="230"/>
    <x v="3"/>
  </r>
  <r>
    <x v="7"/>
    <x v="14"/>
    <n v="35"/>
    <n v="481.46400000000006"/>
    <n v="13.756114285714288"/>
    <n v="826"/>
    <x v="3"/>
  </r>
  <r>
    <x v="7"/>
    <x v="15"/>
    <n v="140"/>
    <n v="1503.3600000000001"/>
    <n v="10.738285714285714"/>
    <n v="1142"/>
    <x v="3"/>
  </r>
  <r>
    <x v="7"/>
    <x v="16"/>
    <n v="585"/>
    <n v="6237.9072000000006"/>
    <n v="10.663089230769232"/>
    <n v="5861"/>
    <x v="3"/>
  </r>
  <r>
    <x v="7"/>
    <x v="17"/>
    <n v="1086"/>
    <n v="12890.750400000001"/>
    <n v="11.869935911602211"/>
    <n v="4135"/>
    <x v="3"/>
  </r>
  <r>
    <x v="7"/>
    <x v="20"/>
    <n v="1300"/>
    <n v="1231.3728000000001"/>
    <n v="0.94720984615384618"/>
    <n v="10617"/>
    <x v="3"/>
  </r>
  <r>
    <x v="7"/>
    <x v="21"/>
    <n v="6200"/>
    <n v="5875.4160000000002"/>
    <n v="0.94764774193548384"/>
    <n v="87669"/>
    <x v="3"/>
  </r>
  <r>
    <x v="7"/>
    <x v="22"/>
    <n v="627"/>
    <n v="320.76000000000005"/>
    <n v="0.51157894736842113"/>
    <n v="80806"/>
    <x v="3"/>
  </r>
  <r>
    <x v="7"/>
    <x v="24"/>
    <n v="20846"/>
    <n v="86480.265600000013"/>
    <n v="4.1485304422910874"/>
    <n v="36817"/>
    <x v="1"/>
  </r>
  <r>
    <x v="7"/>
    <x v="25"/>
    <n v="1945"/>
    <n v="78166.512000000002"/>
    <n v="40.188438046272495"/>
    <n v="1017"/>
    <x v="0"/>
  </r>
  <r>
    <x v="7"/>
    <x v="26"/>
    <n v="729"/>
    <n v="14005.656000000001"/>
    <n v="19.212148148148149"/>
    <n v="1856"/>
    <x v="0"/>
  </r>
  <r>
    <x v="7"/>
    <x v="27"/>
    <n v="29427"/>
    <n v="256275.6624"/>
    <n v="8.7088613314303185"/>
    <n v="19656"/>
    <x v="4"/>
  </r>
  <r>
    <x v="7"/>
    <x v="28"/>
    <n v="80388"/>
    <n v="117954.14400000001"/>
    <n v="1.4673103448275864"/>
    <n v="84356"/>
    <x v="4"/>
  </r>
  <r>
    <x v="7"/>
    <x v="29"/>
    <n v="362"/>
    <n v="18162.144"/>
    <n v="50.17166850828729"/>
    <n v="601"/>
    <x v="0"/>
  </r>
  <r>
    <x v="7"/>
    <x v="30"/>
    <n v="4511"/>
    <n v="19097.251200000002"/>
    <n v="4.2334850809133231"/>
    <n v="9438"/>
    <x v="1"/>
  </r>
  <r>
    <x v="7"/>
    <x v="31"/>
    <n v="418"/>
    <n v="3341.3472000000002"/>
    <n v="7.9936535885167466"/>
    <n v="604"/>
    <x v="1"/>
  </r>
  <r>
    <x v="7"/>
    <x v="32"/>
    <n v="2747"/>
    <n v="3861.7344000000003"/>
    <n v="1.405800655260284"/>
    <n v="4251"/>
    <x v="1"/>
  </r>
  <r>
    <x v="7"/>
    <x v="33"/>
    <n v="4548"/>
    <n v="6858.4319999999998"/>
    <n v="1.5080105540897097"/>
    <n v="4808"/>
    <x v="1"/>
  </r>
  <r>
    <x v="7"/>
    <x v="34"/>
    <n v="2112"/>
    <n v="19027.007999999998"/>
    <n v="9.0089999999999986"/>
    <n v="1392"/>
    <x v="1"/>
  </r>
  <r>
    <x v="7"/>
    <x v="35"/>
    <n v="1114"/>
    <n v="3131.136"/>
    <n v="2.810714542190305"/>
    <n v="1114"/>
    <x v="1"/>
  </r>
  <r>
    <x v="7"/>
    <x v="36"/>
    <n v="9802"/>
    <n v="141270.48000000001"/>
    <n v="14.412413793103449"/>
    <n v="17505"/>
    <x v="4"/>
  </r>
  <r>
    <x v="7"/>
    <x v="37"/>
    <n v="1318"/>
    <n v="2429.2224000000006"/>
    <n v="1.8431125948406681"/>
    <n v="446"/>
    <x v="1"/>
  </r>
  <r>
    <x v="7"/>
    <x v="38"/>
    <n v="1406"/>
    <n v="10565.942400000002"/>
    <n v="7.5148950213371277"/>
    <n v="516"/>
    <x v="1"/>
  </r>
  <r>
    <x v="7"/>
    <x v="39"/>
    <n v="576"/>
    <n v="769.21920000000011"/>
    <n v="1.3354500000000002"/>
    <n v="1188"/>
    <x v="1"/>
  </r>
  <r>
    <x v="7"/>
    <x v="41"/>
    <n v="8051"/>
    <n v="46380.297600000005"/>
    <n v="5.7608120233511375"/>
    <n v="7401"/>
    <x v="1"/>
  </r>
  <r>
    <x v="7"/>
    <x v="42"/>
    <n v="448"/>
    <n v="10922.256000000001"/>
    <n v="24.380035714285718"/>
    <n v="481"/>
    <x v="1"/>
  </r>
  <r>
    <x v="7"/>
    <x v="44"/>
    <n v="1177"/>
    <n v="24771.614400000002"/>
    <n v="21.046401359388277"/>
    <n v="773"/>
    <x v="1"/>
  </r>
  <r>
    <x v="7"/>
    <x v="45"/>
    <n v="2355"/>
    <n v="31044.384000000002"/>
    <n v="13.182328662420383"/>
    <n v="1984"/>
    <x v="1"/>
  </r>
  <r>
    <x v="7"/>
    <x v="47"/>
    <n v="481"/>
    <n v="13860.720000000001"/>
    <n v="28.816465696465698"/>
    <n v="411"/>
    <x v="0"/>
  </r>
  <r>
    <x v="7"/>
    <x v="51"/>
    <n v="56114"/>
    <n v="78261.37920000001"/>
    <n v="1.3946854474819119"/>
    <n v="86114"/>
    <x v="4"/>
  </r>
  <r>
    <x v="7"/>
    <x v="52"/>
    <n v="168"/>
    <n v="883.35360000000003"/>
    <n v="5.258057142857143"/>
    <n v="321"/>
    <x v="3"/>
  </r>
  <r>
    <x v="7"/>
    <x v="53"/>
    <n v="168"/>
    <n v="485.22239999999999"/>
    <n v="2.8882285714285714"/>
    <n v="529"/>
    <x v="3"/>
  </r>
  <r>
    <x v="7"/>
    <x v="55"/>
    <n v="70"/>
    <n v="10252.656000000001"/>
    <n v="146.46651428571431"/>
    <n v="14"/>
    <x v="5"/>
  </r>
  <r>
    <x v="7"/>
    <x v="56"/>
    <n v="63"/>
    <n v="3566.8512000000001"/>
    <n v="56.616685714285715"/>
    <n v="12"/>
    <x v="5"/>
  </r>
  <r>
    <x v="7"/>
    <x v="57"/>
    <n v="45"/>
    <n v="4667.0688"/>
    <n v="103.71263999999999"/>
    <n v="10"/>
    <x v="5"/>
  </r>
  <r>
    <x v="7"/>
    <x v="58"/>
    <n v="181"/>
    <n v="444.78719999999998"/>
    <n v="2.4573878453038671"/>
    <n v="794"/>
    <x v="3"/>
  </r>
  <r>
    <x v="7"/>
    <x v="59"/>
    <n v="919"/>
    <n v="54452.217600000004"/>
    <n v="59.251596953210012"/>
    <n v="188"/>
    <x v="1"/>
  </r>
  <r>
    <x v="7"/>
    <x v="60"/>
    <n v="2123"/>
    <n v="22333.32"/>
    <n v="10.519698539802167"/>
    <n v="1914"/>
    <x v="1"/>
  </r>
  <r>
    <x v="7"/>
    <x v="61"/>
    <n v="195"/>
    <n v="7813.152"/>
    <n v="40.067446153846156"/>
    <n v="7"/>
    <x v="5"/>
  </r>
  <r>
    <x v="7"/>
    <x v="63"/>
    <n v="335"/>
    <n v="166.10400000000001"/>
    <n v="0.49583283582089555"/>
    <n v="59300"/>
    <x v="3"/>
  </r>
  <r>
    <x v="7"/>
    <x v="64"/>
    <n v="3084"/>
    <n v="270471.70080000005"/>
    <n v="87.701589105058389"/>
    <n v="1228"/>
    <x v="5"/>
  </r>
  <r>
    <x v="7"/>
    <x v="65"/>
    <n v="249"/>
    <n v="11477.4192"/>
    <n v="46.094053012048192"/>
    <n v="10"/>
    <x v="5"/>
  </r>
  <r>
    <x v="7"/>
    <x v="66"/>
    <n v="362"/>
    <n v="18081.2736"/>
    <n v="49.948269613259669"/>
    <n v="93"/>
    <x v="5"/>
  </r>
  <r>
    <x v="7"/>
    <x v="67"/>
    <n v="1891"/>
    <n v="97209.288000000015"/>
    <n v="51.406286620835544"/>
    <n v="432"/>
    <x v="5"/>
  </r>
  <r>
    <x v="7"/>
    <x v="68"/>
    <n v="158"/>
    <n v="19217.779200000004"/>
    <n v="121.63151392405067"/>
    <n v="31"/>
    <x v="5"/>
  </r>
  <r>
    <x v="7"/>
    <x v="69"/>
    <n v="19"/>
    <n v="539.5680000000001"/>
    <n v="28.398315789473688"/>
    <n v="956"/>
    <x v="3"/>
  </r>
  <r>
    <x v="7"/>
    <x v="70"/>
    <n v="632"/>
    <n v="1184.4576000000002"/>
    <n v="1.8741417721518989"/>
    <n v="16964"/>
    <x v="3"/>
  </r>
  <r>
    <x v="7"/>
    <x v="72"/>
    <n v="323"/>
    <n v="44207.337600000006"/>
    <n v="136.86482229102168"/>
    <n v="0"/>
    <x v="5"/>
  </r>
  <r>
    <x v="7"/>
    <x v="75"/>
    <n v="272"/>
    <n v="35486.424000000006"/>
    <n v="130.46479411764707"/>
    <n v="42"/>
    <x v="5"/>
  </r>
  <r>
    <x v="7"/>
    <x v="77"/>
    <n v="93"/>
    <n v="1048.7232000000001"/>
    <n v="11.276593548387098"/>
    <n v="720"/>
    <x v="0"/>
  </r>
  <r>
    <x v="7"/>
    <x v="78"/>
    <n v="209"/>
    <n v="1796.6448"/>
    <n v="8.5963866028708136"/>
    <n v="766"/>
    <x v="3"/>
  </r>
  <r>
    <x v="7"/>
    <x v="79"/>
    <n v="580"/>
    <n v="4364.2800000000007"/>
    <n v="7.5246206896551735"/>
    <n v="93"/>
    <x v="1"/>
  </r>
  <r>
    <x v="7"/>
    <x v="80"/>
    <n v="52"/>
    <n v="10788.9408"/>
    <n v="207.47963076923077"/>
    <n v="26"/>
    <x v="0"/>
  </r>
  <r>
    <x v="7"/>
    <x v="82"/>
    <n v="1508"/>
    <n v="8053.344000000001"/>
    <n v="5.3404137931034485"/>
    <n v="1508"/>
    <x v="3"/>
  </r>
  <r>
    <x v="7"/>
    <x v="83"/>
    <n v="2979"/>
    <n v="5347.2096000000001"/>
    <n v="1.7949679758308157"/>
    <n v="2979"/>
    <x v="3"/>
  </r>
  <r>
    <x v="7"/>
    <x v="84"/>
    <n v="147"/>
    <n v="8883.3024000000005"/>
    <n v="60.430628571428578"/>
    <n v="212"/>
    <x v="0"/>
  </r>
  <r>
    <x v="7"/>
    <x v="85"/>
    <n v="1476"/>
    <n v="2821.6943999999999"/>
    <n v="1.9117170731707316"/>
    <n v="4594"/>
    <x v="3"/>
  </r>
  <r>
    <x v="7"/>
    <x v="86"/>
    <n v="1754"/>
    <n v="5199.3360000000002"/>
    <n v="2.9642736602052451"/>
    <n v="293"/>
    <x v="1"/>
  </r>
  <r>
    <x v="7"/>
    <x v="87"/>
    <n v="898"/>
    <n v="29523.009600000001"/>
    <n v="32.876402672605792"/>
    <n v="82"/>
    <x v="3"/>
  </r>
  <r>
    <x v="7"/>
    <x v="88"/>
    <n v="3216"/>
    <n v="3951.7632000000003"/>
    <n v="1.228782089552239"/>
    <n v="12116"/>
    <x v="3"/>
  </r>
  <r>
    <x v="7"/>
    <x v="108"/>
    <n v="6682"/>
    <n v="27458.611199999999"/>
    <n v="4.1093401975456452"/>
    <n v="62919"/>
    <x v="1"/>
  </r>
  <r>
    <x v="7"/>
    <x v="89"/>
    <n v="3606"/>
    <n v="18615.916799999999"/>
    <n v="5.1624838602329453"/>
    <n v="3564"/>
    <x v="1"/>
  </r>
  <r>
    <x v="7"/>
    <x v="92"/>
    <n v="873"/>
    <n v="6235.7472000000007"/>
    <n v="7.1428948453608259"/>
    <n v="632"/>
    <x v="1"/>
  </r>
  <r>
    <x v="7"/>
    <x v="94"/>
    <n v="5012"/>
    <n v="38808.460800000008"/>
    <n v="7.743108699122109"/>
    <n v="10858"/>
    <x v="1"/>
  </r>
  <r>
    <x v="7"/>
    <x v="95"/>
    <n v="1991"/>
    <n v="8880.9264000000003"/>
    <n v="4.460535610246108"/>
    <n v="1573"/>
    <x v="1"/>
  </r>
  <r>
    <x v="7"/>
    <x v="96"/>
    <n v="251"/>
    <n v="1826.5824"/>
    <n v="7.277220717131474"/>
    <n v="901"/>
    <x v="1"/>
  </r>
  <r>
    <x v="7"/>
    <x v="98"/>
    <n v="576"/>
    <n v="5099.6736000000001"/>
    <n v="8.8536000000000001"/>
    <n v="780"/>
    <x v="1"/>
  </r>
  <r>
    <x v="7"/>
    <x v="100"/>
    <n v="2404"/>
    <n v="67468.464000000007"/>
    <n v="28.065084858569055"/>
    <n v="4659"/>
    <x v="4"/>
  </r>
  <r>
    <x v="7"/>
    <x v="102"/>
    <n v="864"/>
    <n v="29344.550400000004"/>
    <n v="33.963600000000007"/>
    <n v="594"/>
    <x v="0"/>
  </r>
  <r>
    <x v="7"/>
    <x v="103"/>
    <n v="77"/>
    <n v="3934.6559999999999"/>
    <n v="51.099428571428568"/>
    <n v="14"/>
    <x v="0"/>
  </r>
  <r>
    <x v="7"/>
    <x v="107"/>
    <n v="13804"/>
    <n v="97675.200000000012"/>
    <n v="7.0758620689655185"/>
    <n v="6682"/>
    <x v="4"/>
  </r>
  <r>
    <x v="7"/>
    <x v="109"/>
    <n v="64422"/>
    <n v="64897.156800000004"/>
    <n v="1.007375691533948"/>
    <n v="54901"/>
    <x v="0"/>
  </r>
  <r>
    <x v="7"/>
    <x v="112"/>
    <n v="14"/>
    <n v="605.75040000000001"/>
    <n v="43.267885714285718"/>
    <n v="17"/>
    <x v="5"/>
  </r>
  <r>
    <x v="7"/>
    <x v="110"/>
    <n v="1924"/>
    <n v="24854.083200000001"/>
    <n v="12.917922661122661"/>
    <n v="10009"/>
    <x v="0"/>
  </r>
  <r>
    <x v="7"/>
    <x v="114"/>
    <n v="3174"/>
    <n v="36640.512000000002"/>
    <n v="11.543954631379963"/>
    <n v="1671"/>
    <x v="1"/>
  </r>
  <r>
    <x v="7"/>
    <x v="115"/>
    <n v="68"/>
    <n v="1797.768"/>
    <n v="26.437764705882355"/>
    <n v="72"/>
    <x v="5"/>
  </r>
  <r>
    <x v="7"/>
    <x v="113"/>
    <n v="1374"/>
    <n v="8171.0208000000011"/>
    <n v="5.9468855895196517"/>
    <n v="103"/>
    <x v="1"/>
  </r>
  <r>
    <x v="7"/>
    <x v="122"/>
    <n v="54"/>
    <n v="5010.7248000000009"/>
    <n v="92.791200000000018"/>
    <n v="0"/>
    <x v="5"/>
  </r>
  <r>
    <x v="7"/>
    <x v="116"/>
    <n v="1184"/>
    <n v="36216.2016"/>
    <n v="30.588008108108109"/>
    <n v="604"/>
    <x v="1"/>
  </r>
  <r>
    <x v="7"/>
    <x v="117"/>
    <n v="1529"/>
    <n v="53666.539199999999"/>
    <n v="35.099110006540222"/>
    <n v="696"/>
    <x v="1"/>
  </r>
  <r>
    <x v="7"/>
    <x v="118"/>
    <n v="780"/>
    <n v="30583.526400000002"/>
    <n v="39.209649230769237"/>
    <n v="796"/>
    <x v="0"/>
  </r>
  <r>
    <x v="7"/>
    <x v="121"/>
    <n v="492"/>
    <n v="16833.139200000001"/>
    <n v="34.213697560975611"/>
    <n v="168"/>
    <x v="5"/>
  </r>
  <r>
    <x v="7"/>
    <x v="123"/>
    <n v="673"/>
    <n v="20019.743999999999"/>
    <n v="29.747019316493311"/>
    <n v="836"/>
    <x v="3"/>
  </r>
  <r>
    <x v="7"/>
    <x v="124"/>
    <n v="140"/>
    <n v="3818.0160000000001"/>
    <n v="27.271542857142858"/>
    <n v="232"/>
    <x v="3"/>
  </r>
  <r>
    <x v="7"/>
    <x v="127"/>
    <n v="5012"/>
    <n v="23906.5344"/>
    <n v="4.7698592178770953"/>
    <n v="244"/>
    <x v="1"/>
  </r>
  <r>
    <x v="7"/>
    <x v="128"/>
    <n v="845"/>
    <n v="40790.131200000003"/>
    <n v="48.272344615384618"/>
    <n v="26"/>
    <x v="3"/>
  </r>
  <r>
    <x v="7"/>
    <x v="125"/>
    <n v="919"/>
    <n v="16689.801600000003"/>
    <n v="18.160828726877043"/>
    <n v="785"/>
    <x v="0"/>
  </r>
  <r>
    <x v="7"/>
    <x v="129"/>
    <n v="891"/>
    <n v="20594.995200000001"/>
    <n v="23.11447272727273"/>
    <n v="116"/>
    <x v="0"/>
  </r>
  <r>
    <x v="7"/>
    <x v="126"/>
    <n v="1782"/>
    <n v="76889.088000000018"/>
    <n v="43.147636363636373"/>
    <n v="1225"/>
    <x v="4"/>
  </r>
  <r>
    <x v="7"/>
    <x v="130"/>
    <n v="362"/>
    <n v="16450.387200000001"/>
    <n v="45.443058563535914"/>
    <n v="666"/>
    <x v="5"/>
  </r>
  <r>
    <x v="7"/>
    <x v="131"/>
    <n v="0"/>
    <n v="0"/>
    <s v=""/>
    <n v="966"/>
    <x v="0"/>
  </r>
  <r>
    <x v="8"/>
    <x v="0"/>
    <n v="8503"/>
    <n v="61969.5792"/>
    <n v="7.2879665059390799"/>
    <n v="1332"/>
    <x v="0"/>
  </r>
  <r>
    <x v="8"/>
    <x v="1"/>
    <n v="2636"/>
    <n v="16366.5792"/>
    <n v="6.2088691957511379"/>
    <n v="854"/>
    <x v="1"/>
  </r>
  <r>
    <x v="8"/>
    <x v="3"/>
    <n v="1297"/>
    <n v="23644.094400000002"/>
    <n v="18.229833770239015"/>
    <n v="369"/>
    <x v="0"/>
  </r>
  <r>
    <x v="8"/>
    <x v="4"/>
    <n v="0"/>
    <n v="0"/>
    <s v=""/>
    <n v="2784"/>
    <x v="3"/>
  </r>
  <r>
    <x v="8"/>
    <x v="5"/>
    <n v="49"/>
    <n v="1065.2256000000002"/>
    <n v="21.739297959183677"/>
    <n v="21"/>
    <x v="3"/>
  </r>
  <r>
    <x v="8"/>
    <x v="6"/>
    <n v="265"/>
    <n v="3706.9056000000005"/>
    <n v="13.988323018867927"/>
    <n v="279"/>
    <x v="3"/>
  </r>
  <r>
    <x v="8"/>
    <x v="7"/>
    <n v="1170"/>
    <n v="942.75360000000001"/>
    <n v="0.80577230769230768"/>
    <n v="1671"/>
    <x v="3"/>
  </r>
  <r>
    <x v="8"/>
    <x v="8"/>
    <n v="348"/>
    <n v="8228.9519999999993"/>
    <n v="23.646413793103445"/>
    <n v="0"/>
    <x v="3"/>
  </r>
  <r>
    <x v="8"/>
    <x v="9"/>
    <n v="891"/>
    <n v="13893.12"/>
    <n v="15.592727272727274"/>
    <n v="0"/>
    <x v="4"/>
  </r>
  <r>
    <x v="8"/>
    <x v="12"/>
    <n v="2037"/>
    <n v="41111.8848"/>
    <n v="20.182564948453606"/>
    <n v="822"/>
    <x v="4"/>
  </r>
  <r>
    <x v="8"/>
    <x v="13"/>
    <n v="35"/>
    <n v="1128.9023999999999"/>
    <n v="32.254354285714285"/>
    <n v="7"/>
    <x v="3"/>
  </r>
  <r>
    <x v="8"/>
    <x v="14"/>
    <n v="91"/>
    <n v="1251.8063999999999"/>
    <n v="13.756114285714284"/>
    <n v="96"/>
    <x v="3"/>
  </r>
  <r>
    <x v="8"/>
    <x v="15"/>
    <n v="404"/>
    <n v="4374.7776000000003"/>
    <n v="10.828657425742575"/>
    <n v="84"/>
    <x v="3"/>
  </r>
  <r>
    <x v="8"/>
    <x v="16"/>
    <n v="140"/>
    <n v="1550.0160000000001"/>
    <n v="11.071542857142857"/>
    <n v="975"/>
    <x v="3"/>
  </r>
  <r>
    <x v="8"/>
    <x v="17"/>
    <n v="474"/>
    <n v="5789.1455999999998"/>
    <n v="12.213387341772151"/>
    <n v="516"/>
    <x v="3"/>
  </r>
  <r>
    <x v="8"/>
    <x v="20"/>
    <n v="409"/>
    <n v="386.98560000000003"/>
    <n v="0.94617506112469441"/>
    <n v="1411"/>
    <x v="3"/>
  </r>
  <r>
    <x v="8"/>
    <x v="21"/>
    <n v="11886"/>
    <n v="11264.8752"/>
    <n v="0.94774316002019188"/>
    <n v="11099"/>
    <x v="3"/>
  </r>
  <r>
    <x v="8"/>
    <x v="22"/>
    <n v="4803"/>
    <n v="2459.1600000000003"/>
    <n v="0.512004996876952"/>
    <n v="11484"/>
    <x v="3"/>
  </r>
  <r>
    <x v="8"/>
    <x v="24"/>
    <n v="12366"/>
    <n v="55791.028800000007"/>
    <n v="4.5116471615720526"/>
    <n v="5708"/>
    <x v="1"/>
  </r>
  <r>
    <x v="8"/>
    <x v="25"/>
    <n v="928"/>
    <n v="37310.976000000002"/>
    <n v="40.205793103448279"/>
    <n v="184"/>
    <x v="0"/>
  </r>
  <r>
    <x v="8"/>
    <x v="26"/>
    <n v="543"/>
    <n v="10564.689600000002"/>
    <n v="19.456150276243097"/>
    <n v="279"/>
    <x v="0"/>
  </r>
  <r>
    <x v="8"/>
    <x v="27"/>
    <n v="17456"/>
    <n v="152767.29600000003"/>
    <n v="8.7515637030247504"/>
    <n v="3536"/>
    <x v="4"/>
  </r>
  <r>
    <x v="8"/>
    <x v="28"/>
    <n v="13886"/>
    <n v="20477.3184"/>
    <n v="1.4746736569206396"/>
    <n v="13364"/>
    <x v="4"/>
  </r>
  <r>
    <x v="8"/>
    <x v="29"/>
    <n v="226"/>
    <n v="11293.128000000001"/>
    <n v="49.969592920353982"/>
    <n v="79"/>
    <x v="0"/>
  </r>
  <r>
    <x v="8"/>
    <x v="30"/>
    <n v="11986"/>
    <n v="50749.113600000004"/>
    <n v="4.2340325045886873"/>
    <n v="1379"/>
    <x v="1"/>
  </r>
  <r>
    <x v="8"/>
    <x v="31"/>
    <n v="859"/>
    <n v="6906.6864000000005"/>
    <n v="8.040379976717114"/>
    <n v="24"/>
    <x v="1"/>
  </r>
  <r>
    <x v="8"/>
    <x v="32"/>
    <n v="6200"/>
    <n v="8714.9951999999994"/>
    <n v="1.4056443870967741"/>
    <n v="650"/>
    <x v="1"/>
  </r>
  <r>
    <x v="8"/>
    <x v="33"/>
    <n v="3416"/>
    <n v="5188.9680000000008"/>
    <n v="1.5190187353629978"/>
    <n v="761"/>
    <x v="1"/>
  </r>
  <r>
    <x v="8"/>
    <x v="34"/>
    <n v="2413"/>
    <n v="25748.236800000002"/>
    <n v="10.670632739328637"/>
    <n v="372"/>
    <x v="1"/>
  </r>
  <r>
    <x v="8"/>
    <x v="36"/>
    <n v="1207"/>
    <n v="17387.136000000002"/>
    <n v="14.405249378624692"/>
    <n v="1207"/>
    <x v="4"/>
  </r>
  <r>
    <x v="8"/>
    <x v="37"/>
    <n v="873"/>
    <n v="1608.0768"/>
    <n v="1.8420123711340206"/>
    <n v="56"/>
    <x v="1"/>
  </r>
  <r>
    <x v="8"/>
    <x v="38"/>
    <n v="1782"/>
    <n v="13589.553600000001"/>
    <n v="7.6260121212121215"/>
    <n v="0"/>
    <x v="1"/>
  </r>
  <r>
    <x v="8"/>
    <x v="39"/>
    <n v="3750"/>
    <n v="5012.4528"/>
    <n v="1.33665408"/>
    <n v="260"/>
    <x v="1"/>
  </r>
  <r>
    <x v="8"/>
    <x v="41"/>
    <n v="7146"/>
    <n v="42218.668800000007"/>
    <n v="5.9080141057934519"/>
    <n v="1021"/>
    <x v="1"/>
  </r>
  <r>
    <x v="8"/>
    <x v="42"/>
    <n v="1082"/>
    <n v="24858.014400000004"/>
    <n v="22.97413530499076"/>
    <n v="75"/>
    <x v="1"/>
  </r>
  <r>
    <x v="8"/>
    <x v="44"/>
    <n v="905"/>
    <n v="19055.088"/>
    <n v="21.05534585635359"/>
    <n v="140"/>
    <x v="1"/>
  </r>
  <r>
    <x v="8"/>
    <x v="45"/>
    <n v="1021"/>
    <n v="13457.664000000001"/>
    <n v="13.180865817825662"/>
    <n v="430"/>
    <x v="1"/>
  </r>
  <r>
    <x v="8"/>
    <x v="47"/>
    <n v="256"/>
    <n v="7365.6"/>
    <n v="28.771875000000001"/>
    <n v="79"/>
    <x v="0"/>
  </r>
  <r>
    <x v="8"/>
    <x v="51"/>
    <n v="0"/>
    <n v="0"/>
    <s v=""/>
    <n v="14923"/>
    <x v="4"/>
  </r>
  <r>
    <x v="8"/>
    <x v="52"/>
    <n v="126"/>
    <n v="662.51520000000005"/>
    <n v="5.258057142857143"/>
    <n v="42"/>
    <x v="3"/>
  </r>
  <r>
    <x v="8"/>
    <x v="53"/>
    <n v="362"/>
    <n v="1051.3152000000002"/>
    <n v="2.9041856353591164"/>
    <n v="209"/>
    <x v="3"/>
  </r>
  <r>
    <x v="8"/>
    <x v="55"/>
    <n v="56"/>
    <n v="8202.1248000000014"/>
    <n v="146.46651428571431"/>
    <n v="5"/>
    <x v="5"/>
  </r>
  <r>
    <x v="8"/>
    <x v="56"/>
    <n v="52"/>
    <n v="2906.3232000000003"/>
    <n v="55.890830769230774"/>
    <n v="0"/>
    <x v="5"/>
  </r>
  <r>
    <x v="8"/>
    <x v="57"/>
    <n v="35"/>
    <n v="3684.5280000000002"/>
    <n v="105.27222857142858"/>
    <n v="3"/>
    <x v="5"/>
  </r>
  <r>
    <x v="8"/>
    <x v="58"/>
    <n v="362"/>
    <n v="889.57439999999997"/>
    <n v="2.4573878453038671"/>
    <n v="70"/>
    <x v="3"/>
  </r>
  <r>
    <x v="8"/>
    <x v="59"/>
    <n v="731"/>
    <n v="43314.264000000003"/>
    <n v="59.253439124487009"/>
    <n v="0"/>
    <x v="1"/>
  </r>
  <r>
    <x v="8"/>
    <x v="60"/>
    <n v="2088"/>
    <n v="21967.200000000001"/>
    <n v="10.520689655172415"/>
    <n v="256"/>
    <x v="1"/>
  </r>
  <r>
    <x v="8"/>
    <x v="61"/>
    <n v="188"/>
    <n v="7534.1232000000009"/>
    <n v="40.075123404255322"/>
    <n v="3"/>
    <x v="5"/>
  </r>
  <r>
    <x v="8"/>
    <x v="63"/>
    <n v="2339"/>
    <n v="1162.6848"/>
    <n v="0.49708627618640444"/>
    <n v="6905"/>
    <x v="3"/>
  </r>
  <r>
    <x v="8"/>
    <x v="64"/>
    <n v="3172"/>
    <n v="278205.27840000001"/>
    <n v="87.706582093316527"/>
    <n v="179"/>
    <x v="5"/>
  </r>
  <r>
    <x v="8"/>
    <x v="65"/>
    <n v="258"/>
    <n v="11906.481600000001"/>
    <n v="46.1491534883721"/>
    <n v="0"/>
    <x v="5"/>
  </r>
  <r>
    <x v="8"/>
    <x v="66"/>
    <n v="272"/>
    <n v="13560.955200000002"/>
    <n v="49.856452941176478"/>
    <n v="10"/>
    <x v="5"/>
  </r>
  <r>
    <x v="8"/>
    <x v="67"/>
    <n v="1467"/>
    <n v="75381.926400000011"/>
    <n v="51.385089570552154"/>
    <n v="61"/>
    <x v="5"/>
  </r>
  <r>
    <x v="8"/>
    <x v="68"/>
    <n v="128"/>
    <n v="15543.792000000001"/>
    <n v="121.43587500000001"/>
    <n v="7"/>
    <x v="5"/>
  </r>
  <r>
    <x v="8"/>
    <x v="69"/>
    <n v="168"/>
    <n v="4856.2848000000004"/>
    <n v="28.906457142857146"/>
    <n v="186"/>
    <x v="3"/>
  </r>
  <r>
    <x v="8"/>
    <x v="70"/>
    <n v="632"/>
    <n v="1184.4576000000002"/>
    <n v="1.8741417721518989"/>
    <n v="3490"/>
    <x v="3"/>
  </r>
  <r>
    <x v="8"/>
    <x v="72"/>
    <n v="323"/>
    <n v="44207.337600000006"/>
    <n v="136.86482229102168"/>
    <n v="0"/>
    <x v="5"/>
  </r>
  <r>
    <x v="8"/>
    <x v="75"/>
    <n v="230"/>
    <n v="30026.980800000001"/>
    <n v="130.55209043478263"/>
    <n v="0"/>
    <x v="5"/>
  </r>
  <r>
    <x v="8"/>
    <x v="77"/>
    <n v="1880"/>
    <n v="21236.644800000002"/>
    <n v="11.29608765957447"/>
    <n v="186"/>
    <x v="0"/>
  </r>
  <r>
    <x v="8"/>
    <x v="78"/>
    <n v="279"/>
    <n v="2417.8175999999999"/>
    <n v="8.6660129032258055"/>
    <n v="0"/>
    <x v="3"/>
  </r>
  <r>
    <x v="8"/>
    <x v="79"/>
    <n v="476"/>
    <n v="3578.7312000000002"/>
    <n v="7.5183428571428577"/>
    <n v="0"/>
    <x v="1"/>
  </r>
  <r>
    <x v="8"/>
    <x v="80"/>
    <n v="26"/>
    <n v="5394.4704000000002"/>
    <n v="207.47963076923077"/>
    <n v="12"/>
    <x v="0"/>
  </r>
  <r>
    <x v="8"/>
    <x v="83"/>
    <n v="0"/>
    <n v="0"/>
    <s v=""/>
    <n v="0"/>
    <x v="3"/>
  </r>
  <r>
    <x v="8"/>
    <x v="84"/>
    <n v="158"/>
    <n v="9728.1648000000005"/>
    <n v="61.57066329113924"/>
    <n v="72"/>
    <x v="0"/>
  </r>
  <r>
    <x v="8"/>
    <x v="85"/>
    <n v="84"/>
    <n v="159.71039999999999"/>
    <n v="1.9013142857142857"/>
    <n v="0"/>
    <x v="3"/>
  </r>
  <r>
    <x v="8"/>
    <x v="86"/>
    <n v="1462"/>
    <n v="4332.7872000000007"/>
    <n v="2.9636027359781125"/>
    <n v="0"/>
    <x v="1"/>
  </r>
  <r>
    <x v="8"/>
    <x v="87"/>
    <n v="817"/>
    <n v="26852.990400000002"/>
    <n v="32.867797307221544"/>
    <n v="0"/>
    <x v="3"/>
  </r>
  <r>
    <x v="8"/>
    <x v="88"/>
    <n v="9188"/>
    <n v="11290.752"/>
    <n v="1.2288585111014367"/>
    <n v="1128"/>
    <x v="3"/>
  </r>
  <r>
    <x v="8"/>
    <x v="108"/>
    <n v="20045"/>
    <n v="90288.691200000001"/>
    <n v="4.5042998852581695"/>
    <n v="7796"/>
    <x v="1"/>
  </r>
  <r>
    <x v="8"/>
    <x v="89"/>
    <n v="4497"/>
    <n v="23701.5936"/>
    <n v="5.2705344896597728"/>
    <n v="613"/>
    <x v="1"/>
  </r>
  <r>
    <x v="8"/>
    <x v="92"/>
    <n v="1133"/>
    <n v="8289.3024000000005"/>
    <n v="7.316242188879083"/>
    <n v="93"/>
    <x v="1"/>
  </r>
  <r>
    <x v="8"/>
    <x v="94"/>
    <n v="6933"/>
    <n v="54588.600000000006"/>
    <n v="7.8737343141497194"/>
    <n v="1671"/>
    <x v="1"/>
  </r>
  <r>
    <x v="8"/>
    <x v="95"/>
    <n v="2423"/>
    <n v="10819.699200000001"/>
    <n v="4.4654144449030131"/>
    <n v="460"/>
    <x v="1"/>
  </r>
  <r>
    <x v="8"/>
    <x v="96"/>
    <n v="1430"/>
    <n v="10870.675200000001"/>
    <n v="7.6018707692307705"/>
    <n v="93"/>
    <x v="1"/>
  </r>
  <r>
    <x v="8"/>
    <x v="98"/>
    <n v="826"/>
    <n v="7501.9823999999999"/>
    <n v="9.0823031476997578"/>
    <n v="65"/>
    <x v="1"/>
  </r>
  <r>
    <x v="8"/>
    <x v="100"/>
    <n v="6654"/>
    <n v="186775.63200000001"/>
    <n v="28.069677186654644"/>
    <n v="1968"/>
    <x v="4"/>
  </r>
  <r>
    <x v="8"/>
    <x v="102"/>
    <n v="270"/>
    <n v="9150.4511999999995"/>
    <n v="33.890560000000001"/>
    <n v="126"/>
    <x v="0"/>
  </r>
  <r>
    <x v="8"/>
    <x v="103"/>
    <n v="63"/>
    <n v="3219.2640000000006"/>
    <n v="51.099428571428582"/>
    <n v="3"/>
    <x v="0"/>
  </r>
  <r>
    <x v="8"/>
    <x v="107"/>
    <n v="29395"/>
    <n v="207990.72"/>
    <n v="7.0757176390542611"/>
    <n v="986"/>
    <x v="4"/>
  </r>
  <r>
    <x v="8"/>
    <x v="109"/>
    <n v="93209"/>
    <n v="93896.150400000013"/>
    <n v="1.0073721464665431"/>
    <n v="8909"/>
    <x v="0"/>
  </r>
  <r>
    <x v="8"/>
    <x v="110"/>
    <n v="2239"/>
    <n v="28931.472000000005"/>
    <n v="12.921604287628409"/>
    <n v="1569"/>
    <x v="0"/>
  </r>
  <r>
    <x v="8"/>
    <x v="114"/>
    <n v="1504"/>
    <n v="17356.031999999999"/>
    <n v="11.53991489361702"/>
    <n v="335"/>
    <x v="1"/>
  </r>
  <r>
    <x v="8"/>
    <x v="115"/>
    <n v="230"/>
    <n v="6137.2080000000005"/>
    <n v="26.683513043478264"/>
    <n v="19"/>
    <x v="5"/>
  </r>
  <r>
    <x v="8"/>
    <x v="113"/>
    <n v="1272"/>
    <n v="7563.7151999999996"/>
    <n v="5.9463169811320755"/>
    <n v="28"/>
    <x v="1"/>
  </r>
  <r>
    <x v="8"/>
    <x v="122"/>
    <n v="54"/>
    <n v="5010.7248000000009"/>
    <n v="92.791200000000018"/>
    <n v="0"/>
    <x v="5"/>
  </r>
  <r>
    <x v="8"/>
    <x v="116"/>
    <n v="580"/>
    <n v="17753.04"/>
    <n v="30.608689655172416"/>
    <n v="70"/>
    <x v="1"/>
  </r>
  <r>
    <x v="8"/>
    <x v="117"/>
    <n v="836"/>
    <n v="29317.075199999999"/>
    <n v="35.068271770334924"/>
    <n v="47"/>
    <x v="1"/>
  </r>
  <r>
    <x v="8"/>
    <x v="118"/>
    <n v="574"/>
    <n v="22482.532800000001"/>
    <n v="39.168175609756098"/>
    <n v="149"/>
    <x v="0"/>
  </r>
  <r>
    <x v="8"/>
    <x v="121"/>
    <n v="773"/>
    <n v="27466.430400000001"/>
    <n v="35.532251487710219"/>
    <n v="10"/>
    <x v="5"/>
  </r>
  <r>
    <x v="8"/>
    <x v="123"/>
    <n v="2622"/>
    <n v="78007.968000000008"/>
    <n v="29.751322654462246"/>
    <n v="163"/>
    <x v="3"/>
  </r>
  <r>
    <x v="8"/>
    <x v="124"/>
    <n v="2692"/>
    <n v="73814.975999999995"/>
    <n v="27.420124814264486"/>
    <n v="209"/>
    <x v="3"/>
  </r>
  <r>
    <x v="8"/>
    <x v="127"/>
    <n v="9779"/>
    <n v="50128.847999999998"/>
    <n v="5.1261732283464569"/>
    <n v="163"/>
    <x v="1"/>
  </r>
  <r>
    <x v="8"/>
    <x v="128"/>
    <n v="819"/>
    <n v="39557.462400000004"/>
    <n v="48.299709890109895"/>
    <n v="38"/>
    <x v="3"/>
  </r>
  <r>
    <x v="8"/>
    <x v="125"/>
    <n v="720"/>
    <n v="13065.235200000001"/>
    <n v="18.146160000000002"/>
    <n v="100"/>
    <x v="0"/>
  </r>
  <r>
    <x v="8"/>
    <x v="129"/>
    <n v="775"/>
    <n v="17913.355199999998"/>
    <n v="23.114006709677415"/>
    <n v="98"/>
    <x v="0"/>
  </r>
  <r>
    <x v="8"/>
    <x v="126"/>
    <n v="557"/>
    <n v="24027.84"/>
    <n v="43.137953321364449"/>
    <n v="56"/>
    <x v="4"/>
  </r>
  <r>
    <x v="8"/>
    <x v="130"/>
    <n v="659"/>
    <n v="27972.864000000001"/>
    <n v="42.447441578148712"/>
    <n v="82"/>
    <x v="5"/>
  </r>
  <r>
    <x v="8"/>
    <x v="131"/>
    <n v="817"/>
    <n v="4242.5856000000003"/>
    <n v="5.1928832313341493"/>
    <n v="223"/>
    <x v="0"/>
  </r>
  <r>
    <x v="8"/>
    <x v="132"/>
    <n v="0"/>
    <n v="0"/>
    <s v=""/>
    <n v="0"/>
    <x v="1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  <r>
    <x v="9"/>
    <x v="133"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2">
  <r>
    <x v="0"/>
    <n v="142634985"/>
    <n v="1"/>
  </r>
  <r>
    <x v="1"/>
    <n v="142635040"/>
    <n v="1"/>
  </r>
  <r>
    <x v="0"/>
    <n v="142645084"/>
    <n v="1"/>
  </r>
  <r>
    <x v="0"/>
    <n v="142645188"/>
    <n v="1"/>
  </r>
  <r>
    <x v="0"/>
    <n v="142645192"/>
    <n v="2"/>
  </r>
  <r>
    <x v="0"/>
    <n v="142655345"/>
    <n v="1"/>
  </r>
  <r>
    <x v="0"/>
    <n v="142655350"/>
    <n v="1"/>
  </r>
  <r>
    <x v="0"/>
    <n v="142655351"/>
    <n v="1"/>
  </r>
  <r>
    <x v="0"/>
    <n v="142665370"/>
    <n v="1"/>
  </r>
  <r>
    <x v="0"/>
    <n v="142665379"/>
    <n v="1"/>
  </r>
  <r>
    <x v="0"/>
    <n v="142665420"/>
    <n v="2"/>
  </r>
  <r>
    <x v="0"/>
    <n v="142665441"/>
    <n v="2"/>
  </r>
  <r>
    <x v="0"/>
    <n v="142665458"/>
    <n v="2"/>
  </r>
  <r>
    <x v="0"/>
    <n v="142665488"/>
    <n v="2"/>
  </r>
  <r>
    <x v="0"/>
    <n v="142665490"/>
    <n v="1"/>
  </r>
  <r>
    <x v="0"/>
    <n v="142665515"/>
    <n v="2"/>
  </r>
  <r>
    <x v="0"/>
    <n v="142665520"/>
    <n v="2"/>
  </r>
  <r>
    <x v="0"/>
    <n v="142675550"/>
    <n v="1"/>
  </r>
  <r>
    <x v="0"/>
    <n v="142675553"/>
    <n v="1"/>
  </r>
  <r>
    <x v="0"/>
    <n v="142675554"/>
    <n v="3"/>
  </r>
  <r>
    <x v="0"/>
    <n v="142675555"/>
    <n v="1"/>
  </r>
  <r>
    <x v="0"/>
    <n v="142675562"/>
    <n v="1"/>
  </r>
  <r>
    <x v="0"/>
    <n v="142675565"/>
    <n v="2"/>
  </r>
  <r>
    <x v="0"/>
    <n v="142675576"/>
    <n v="5"/>
  </r>
  <r>
    <x v="0"/>
    <n v="142675581"/>
    <n v="3"/>
  </r>
  <r>
    <x v="0"/>
    <n v="142675582"/>
    <n v="5"/>
  </r>
  <r>
    <x v="0"/>
    <n v="142675583"/>
    <n v="1"/>
  </r>
  <r>
    <x v="0"/>
    <n v="142675585"/>
    <n v="3"/>
  </r>
  <r>
    <x v="0"/>
    <n v="142675587"/>
    <n v="2"/>
  </r>
  <r>
    <x v="0"/>
    <n v="142675589"/>
    <n v="1"/>
  </r>
  <r>
    <x v="0"/>
    <n v="142675596"/>
    <n v="1"/>
  </r>
  <r>
    <x v="0"/>
    <n v="142675607"/>
    <n v="1"/>
  </r>
  <r>
    <x v="0"/>
    <n v="142675618"/>
    <n v="4"/>
  </r>
  <r>
    <x v="0"/>
    <n v="142675619"/>
    <n v="3"/>
  </r>
  <r>
    <x v="0"/>
    <n v="142675638"/>
    <n v="1"/>
  </r>
  <r>
    <x v="0"/>
    <n v="142675650"/>
    <n v="1"/>
  </r>
  <r>
    <x v="0"/>
    <n v="142675652"/>
    <n v="3"/>
  </r>
  <r>
    <x v="0"/>
    <n v="142675653"/>
    <n v="2"/>
  </r>
  <r>
    <x v="0"/>
    <n v="142675668"/>
    <n v="1"/>
  </r>
  <r>
    <x v="0"/>
    <n v="142675671"/>
    <n v="4"/>
  </r>
  <r>
    <x v="0"/>
    <n v="142675679"/>
    <n v="1"/>
  </r>
  <r>
    <x v="0"/>
    <n v="142685687"/>
    <n v="3"/>
  </r>
  <r>
    <x v="0"/>
    <n v="142685688"/>
    <n v="3"/>
  </r>
  <r>
    <x v="0"/>
    <n v="142685691"/>
    <n v="2"/>
  </r>
  <r>
    <x v="0"/>
    <n v="142685692"/>
    <n v="1"/>
  </r>
  <r>
    <x v="0"/>
    <n v="142685693"/>
    <n v="1"/>
  </r>
  <r>
    <x v="0"/>
    <n v="142685694"/>
    <n v="2"/>
  </r>
  <r>
    <x v="0"/>
    <n v="142685699"/>
    <n v="2"/>
  </r>
  <r>
    <x v="0"/>
    <n v="142685700"/>
    <n v="1"/>
  </r>
  <r>
    <x v="0"/>
    <n v="142685701"/>
    <n v="1"/>
  </r>
  <r>
    <x v="0"/>
    <n v="142685702"/>
    <n v="1"/>
  </r>
  <r>
    <x v="0"/>
    <n v="142685705"/>
    <n v="1"/>
  </r>
  <r>
    <x v="0"/>
    <n v="142685710"/>
    <n v="1"/>
  </r>
  <r>
    <x v="0"/>
    <n v="142685712"/>
    <n v="2"/>
  </r>
  <r>
    <x v="0"/>
    <n v="142685714"/>
    <n v="1"/>
  </r>
  <r>
    <x v="2"/>
    <n v="142685722"/>
    <n v="1"/>
  </r>
  <r>
    <x v="0"/>
    <n v="142685732"/>
    <n v="3"/>
  </r>
  <r>
    <x v="0"/>
    <n v="142685733"/>
    <n v="4"/>
  </r>
  <r>
    <x v="0"/>
    <n v="142685736"/>
    <n v="1"/>
  </r>
  <r>
    <x v="0"/>
    <n v="142685739"/>
    <n v="4"/>
  </r>
  <r>
    <x v="0"/>
    <n v="142685740"/>
    <n v="1"/>
  </r>
  <r>
    <x v="0"/>
    <n v="142685759"/>
    <n v="2"/>
  </r>
  <r>
    <x v="0"/>
    <n v="142685777"/>
    <n v="1"/>
  </r>
  <r>
    <x v="0"/>
    <n v="142685780"/>
    <n v="2"/>
  </r>
  <r>
    <x v="0"/>
    <n v="142685783"/>
    <n v="2"/>
  </r>
  <r>
    <x v="2"/>
    <n v="142685793"/>
    <n v="1"/>
  </r>
  <r>
    <x v="0"/>
    <n v="142685797"/>
    <n v="1"/>
  </r>
  <r>
    <x v="0"/>
    <n v="142685798"/>
    <n v="2"/>
  </r>
  <r>
    <x v="0"/>
    <n v="142685802"/>
    <n v="3"/>
  </r>
  <r>
    <x v="0"/>
    <n v="142685807"/>
    <n v="1"/>
  </r>
  <r>
    <x v="2"/>
    <n v="142685811"/>
    <n v="2"/>
  </r>
  <r>
    <x v="2"/>
    <n v="142685812"/>
    <n v="2"/>
  </r>
  <r>
    <x v="0"/>
    <n v="142685814"/>
    <n v="1"/>
  </r>
  <r>
    <x v="0"/>
    <n v="142685817"/>
    <n v="2"/>
  </r>
  <r>
    <x v="0"/>
    <n v="142695834"/>
    <n v="3"/>
  </r>
  <r>
    <x v="0"/>
    <n v="142695835"/>
    <n v="3"/>
  </r>
  <r>
    <x v="0"/>
    <n v="142695837"/>
    <n v="3"/>
  </r>
  <r>
    <x v="0"/>
    <n v="142695839"/>
    <n v="7"/>
  </r>
  <r>
    <x v="0"/>
    <n v="142695842"/>
    <n v="1"/>
  </r>
  <r>
    <x v="0"/>
    <n v="142695845"/>
    <n v="4"/>
  </r>
  <r>
    <x v="2"/>
    <n v="142695848"/>
    <n v="1"/>
  </r>
  <r>
    <x v="0"/>
    <n v="142695856"/>
    <n v="2"/>
  </r>
  <r>
    <x v="2"/>
    <n v="142695857"/>
    <n v="2"/>
  </r>
  <r>
    <x v="2"/>
    <n v="142695858"/>
    <n v="2"/>
  </r>
  <r>
    <x v="0"/>
    <n v="142695865"/>
    <n v="1"/>
  </r>
  <r>
    <x v="0"/>
    <n v="142695866"/>
    <n v="3"/>
  </r>
  <r>
    <x v="0"/>
    <n v="142695867"/>
    <n v="1"/>
  </r>
  <r>
    <x v="0"/>
    <n v="142695874"/>
    <n v="1"/>
  </r>
  <r>
    <x v="0"/>
    <n v="142695906"/>
    <n v="1"/>
  </r>
  <r>
    <x v="0"/>
    <n v="142695907"/>
    <n v="3"/>
  </r>
  <r>
    <x v="0"/>
    <n v="142695909"/>
    <n v="4"/>
  </r>
  <r>
    <x v="2"/>
    <n v="142695914"/>
    <n v="2"/>
  </r>
  <r>
    <x v="0"/>
    <n v="142695921"/>
    <n v="2"/>
  </r>
  <r>
    <x v="0"/>
    <n v="142695922"/>
    <n v="5"/>
  </r>
  <r>
    <x v="2"/>
    <n v="142695931"/>
    <n v="3"/>
  </r>
  <r>
    <x v="2"/>
    <n v="142695940"/>
    <n v="2"/>
  </r>
  <r>
    <x v="0"/>
    <n v="142695948"/>
    <n v="2"/>
  </r>
  <r>
    <x v="0"/>
    <n v="142695949"/>
    <n v="2"/>
  </r>
  <r>
    <x v="2"/>
    <n v="142695952"/>
    <n v="1"/>
  </r>
  <r>
    <x v="0"/>
    <n v="142695956"/>
    <n v="4"/>
  </r>
  <r>
    <x v="2"/>
    <n v="142695962"/>
    <n v="3"/>
  </r>
  <r>
    <x v="0"/>
    <n v="142695970"/>
    <n v="1"/>
  </r>
  <r>
    <x v="0"/>
    <n v="142695978"/>
    <n v="2"/>
  </r>
  <r>
    <x v="0"/>
    <n v="142695981"/>
    <n v="3"/>
  </r>
  <r>
    <x v="1"/>
    <n v="142706009"/>
    <n v="1"/>
  </r>
  <r>
    <x v="2"/>
    <n v="142706012"/>
    <n v="1"/>
  </r>
  <r>
    <x v="0"/>
    <n v="142706018"/>
    <n v="4"/>
  </r>
  <r>
    <x v="0"/>
    <n v="142706019"/>
    <n v="2"/>
  </r>
  <r>
    <x v="0"/>
    <n v="142706024"/>
    <n v="3"/>
  </r>
  <r>
    <x v="0"/>
    <n v="142706040"/>
    <n v="1"/>
  </r>
  <r>
    <x v="0"/>
    <n v="142706041"/>
    <n v="1"/>
  </r>
  <r>
    <x v="0"/>
    <n v="142706048"/>
    <n v="1"/>
  </r>
  <r>
    <x v="0"/>
    <n v="142706053"/>
    <n v="1"/>
  </r>
  <r>
    <x v="0"/>
    <n v="142706056"/>
    <n v="3"/>
  </r>
  <r>
    <x v="0"/>
    <n v="142706058"/>
    <n v="3"/>
  </r>
  <r>
    <x v="0"/>
    <n v="142706060"/>
    <n v="1"/>
  </r>
  <r>
    <x v="0"/>
    <n v="142706067"/>
    <n v="5"/>
  </r>
  <r>
    <x v="0"/>
    <n v="142706068"/>
    <n v="4"/>
  </r>
  <r>
    <x v="0"/>
    <n v="142706093"/>
    <n v="2"/>
  </r>
  <r>
    <x v="0"/>
    <n v="142706094"/>
    <n v="2"/>
  </r>
  <r>
    <x v="0"/>
    <n v="142706101"/>
    <n v="1"/>
  </r>
  <r>
    <x v="0"/>
    <n v="142706106"/>
    <n v="2"/>
  </r>
  <r>
    <x v="0"/>
    <n v="142706111"/>
    <n v="3"/>
  </r>
  <r>
    <x v="2"/>
    <n v="142716113"/>
    <n v="1"/>
  </r>
  <r>
    <x v="0"/>
    <n v="142716118"/>
    <n v="2"/>
  </r>
  <r>
    <x v="0"/>
    <n v="142716119"/>
    <n v="1"/>
  </r>
  <r>
    <x v="0"/>
    <n v="142716122"/>
    <n v="2"/>
  </r>
  <r>
    <x v="2"/>
    <n v="142716131"/>
    <n v="1"/>
  </r>
  <r>
    <x v="2"/>
    <n v="142716134"/>
    <n v="1"/>
  </r>
  <r>
    <x v="3"/>
    <n v="142716136"/>
    <n v="1"/>
  </r>
  <r>
    <x v="2"/>
    <n v="142716137"/>
    <n v="1"/>
  </r>
  <r>
    <x v="2"/>
    <n v="142716138"/>
    <n v="1"/>
  </r>
  <r>
    <x v="0"/>
    <n v="142716150"/>
    <n v="3"/>
  </r>
  <r>
    <x v="0"/>
    <n v="142716151"/>
    <n v="3"/>
  </r>
  <r>
    <x v="2"/>
    <n v="142716168"/>
    <n v="2"/>
  </r>
  <r>
    <x v="0"/>
    <n v="142716170"/>
    <n v="2"/>
  </r>
  <r>
    <x v="0"/>
    <n v="142716176"/>
    <n v="1"/>
  </r>
  <r>
    <x v="2"/>
    <n v="142716182"/>
    <n v="4"/>
  </r>
  <r>
    <x v="2"/>
    <n v="142716192"/>
    <n v="3"/>
  </r>
  <r>
    <x v="0"/>
    <n v="142716209"/>
    <n v="1"/>
  </r>
  <r>
    <x v="0"/>
    <n v="142716210"/>
    <n v="1"/>
  </r>
  <r>
    <x v="0"/>
    <n v="142716223"/>
    <n v="2"/>
  </r>
  <r>
    <x v="2"/>
    <n v="142716225"/>
    <n v="3"/>
  </r>
  <r>
    <x v="2"/>
    <n v="142716226"/>
    <n v="4"/>
  </r>
  <r>
    <x v="2"/>
    <n v="142716239"/>
    <n v="4"/>
  </r>
  <r>
    <x v="2"/>
    <n v="142716242"/>
    <n v="1"/>
  </r>
  <r>
    <x v="2"/>
    <n v="142716247"/>
    <n v="2"/>
  </r>
  <r>
    <x v="2"/>
    <n v="142716248"/>
    <n v="3"/>
  </r>
  <r>
    <x v="2"/>
    <n v="142716250"/>
    <n v="1"/>
  </r>
  <r>
    <x v="2"/>
    <n v="142716251"/>
    <n v="1"/>
  </r>
  <r>
    <x v="2"/>
    <n v="142726264"/>
    <n v="3"/>
  </r>
  <r>
    <x v="2"/>
    <n v="142726265"/>
    <n v="2"/>
  </r>
  <r>
    <x v="2"/>
    <n v="142726276"/>
    <n v="5"/>
  </r>
  <r>
    <x v="2"/>
    <n v="142726278"/>
    <n v="4"/>
  </r>
  <r>
    <x v="2"/>
    <n v="142726281"/>
    <n v="4"/>
  </r>
  <r>
    <x v="2"/>
    <n v="142726298"/>
    <n v="2"/>
  </r>
  <r>
    <x v="2"/>
    <n v="142726299"/>
    <n v="5"/>
  </r>
  <r>
    <x v="2"/>
    <n v="142726301"/>
    <n v="2"/>
  </r>
  <r>
    <x v="2"/>
    <n v="142726302"/>
    <n v="3"/>
  </r>
  <r>
    <x v="2"/>
    <n v="142726322"/>
    <n v="2"/>
  </r>
  <r>
    <x v="2"/>
    <n v="142726323"/>
    <n v="4"/>
  </r>
  <r>
    <x v="2"/>
    <n v="142726329"/>
    <n v="1"/>
  </r>
  <r>
    <x v="2"/>
    <n v="142726330"/>
    <n v="2"/>
  </r>
  <r>
    <x v="2"/>
    <n v="142726334"/>
    <n v="1"/>
  </r>
  <r>
    <x v="2"/>
    <n v="142726344"/>
    <n v="1"/>
  </r>
  <r>
    <x v="2"/>
    <n v="142726346"/>
    <n v="5"/>
  </r>
  <r>
    <x v="2"/>
    <n v="142726347"/>
    <n v="3"/>
  </r>
  <r>
    <x v="2"/>
    <n v="142726363"/>
    <n v="1"/>
  </r>
  <r>
    <x v="2"/>
    <n v="142726364"/>
    <n v="5"/>
  </r>
  <r>
    <x v="2"/>
    <n v="142726368"/>
    <n v="3"/>
  </r>
  <r>
    <x v="2"/>
    <n v="142726370"/>
    <n v="5"/>
  </r>
  <r>
    <x v="2"/>
    <n v="142726371"/>
    <n v="3"/>
  </r>
  <r>
    <x v="2"/>
    <n v="142736392"/>
    <n v="3"/>
  </r>
  <r>
    <x v="2"/>
    <n v="142736394"/>
    <n v="1"/>
  </r>
  <r>
    <x v="2"/>
    <n v="142736412"/>
    <n v="2"/>
  </r>
  <r>
    <x v="2"/>
    <n v="142736414"/>
    <n v="1"/>
  </r>
  <r>
    <x v="2"/>
    <n v="142736417"/>
    <n v="2"/>
  </r>
  <r>
    <x v="2"/>
    <n v="142736424"/>
    <n v="2"/>
  </r>
  <r>
    <x v="2"/>
    <n v="142736425"/>
    <n v="3"/>
  </r>
  <r>
    <x v="2"/>
    <n v="142736427"/>
    <n v="2"/>
  </r>
  <r>
    <x v="2"/>
    <n v="142736435"/>
    <n v="1"/>
  </r>
  <r>
    <x v="2"/>
    <n v="142736449"/>
    <n v="1"/>
  </r>
  <r>
    <x v="3"/>
    <n v="142736456"/>
    <n v="2"/>
  </r>
  <r>
    <x v="2"/>
    <n v="142736459"/>
    <n v="2"/>
  </r>
  <r>
    <x v="2"/>
    <n v="142736462"/>
    <n v="4"/>
  </r>
  <r>
    <x v="3"/>
    <n v="142736463"/>
    <n v="1"/>
  </r>
  <r>
    <x v="2"/>
    <n v="142736464"/>
    <n v="1"/>
  </r>
  <r>
    <x v="2"/>
    <n v="142736471"/>
    <n v="3"/>
  </r>
  <r>
    <x v="2"/>
    <n v="142736472"/>
    <n v="1"/>
  </r>
  <r>
    <x v="2"/>
    <n v="142736474"/>
    <n v="1"/>
  </r>
  <r>
    <x v="2"/>
    <n v="142736489"/>
    <n v="2"/>
  </r>
  <r>
    <x v="2"/>
    <n v="142736490"/>
    <n v="4"/>
  </r>
  <r>
    <x v="2"/>
    <n v="142736493"/>
    <n v="2"/>
  </r>
  <r>
    <x v="2"/>
    <n v="142736499"/>
    <n v="2"/>
  </r>
  <r>
    <x v="3"/>
    <n v="142736502"/>
    <n v="1"/>
  </r>
  <r>
    <x v="2"/>
    <n v="142746514"/>
    <n v="2"/>
  </r>
  <r>
    <x v="2"/>
    <n v="142746515"/>
    <n v="1"/>
  </r>
  <r>
    <x v="2"/>
    <n v="142746516"/>
    <n v="3"/>
  </r>
  <r>
    <x v="2"/>
    <n v="142746517"/>
    <n v="1"/>
  </r>
  <r>
    <x v="2"/>
    <n v="142746524"/>
    <n v="3"/>
  </r>
  <r>
    <x v="2"/>
    <n v="142746542"/>
    <n v="1"/>
  </r>
  <r>
    <x v="2"/>
    <n v="142746545"/>
    <n v="5"/>
  </r>
  <r>
    <x v="2"/>
    <n v="142746546"/>
    <n v="1"/>
  </r>
  <r>
    <x v="2"/>
    <n v="142746569"/>
    <n v="1"/>
  </r>
  <r>
    <x v="2"/>
    <n v="142746570"/>
    <n v="3"/>
  </r>
  <r>
    <x v="3"/>
    <n v="142746575"/>
    <n v="2"/>
  </r>
  <r>
    <x v="2"/>
    <n v="142746588"/>
    <n v="4"/>
  </r>
  <r>
    <x v="2"/>
    <n v="142746590"/>
    <n v="3"/>
  </r>
  <r>
    <x v="2"/>
    <n v="142746606"/>
    <n v="2"/>
  </r>
  <r>
    <x v="2"/>
    <n v="142746608"/>
    <n v="4"/>
  </r>
  <r>
    <x v="2"/>
    <n v="142746611"/>
    <n v="2"/>
  </r>
  <r>
    <x v="2"/>
    <n v="142746612"/>
    <n v="2"/>
  </r>
  <r>
    <x v="2"/>
    <n v="142756621"/>
    <n v="1"/>
  </r>
  <r>
    <x v="1"/>
    <n v="142756622"/>
    <n v="1"/>
  </r>
  <r>
    <x v="2"/>
    <n v="142756623"/>
    <n v="5"/>
  </r>
  <r>
    <x v="2"/>
    <n v="142756629"/>
    <n v="1"/>
  </r>
  <r>
    <x v="2"/>
    <n v="142756639"/>
    <n v="5"/>
  </r>
  <r>
    <x v="2"/>
    <n v="142756640"/>
    <n v="3"/>
  </r>
  <r>
    <x v="2"/>
    <n v="142756658"/>
    <n v="5"/>
  </r>
  <r>
    <x v="2"/>
    <n v="142756659"/>
    <n v="7"/>
  </r>
  <r>
    <x v="3"/>
    <n v="142756660"/>
    <n v="5"/>
  </r>
  <r>
    <x v="2"/>
    <n v="142756672"/>
    <n v="5"/>
  </r>
  <r>
    <x v="2"/>
    <n v="142756674"/>
    <n v="3"/>
  </r>
  <r>
    <x v="3"/>
    <n v="142756677"/>
    <n v="2"/>
  </r>
  <r>
    <x v="3"/>
    <n v="142756694"/>
    <n v="2"/>
  </r>
  <r>
    <x v="3"/>
    <n v="142756696"/>
    <n v="2"/>
  </r>
  <r>
    <x v="3"/>
    <n v="142766701"/>
    <n v="4"/>
  </r>
  <r>
    <x v="3"/>
    <n v="142766702"/>
    <n v="3"/>
  </r>
  <r>
    <x v="3"/>
    <n v="142766704"/>
    <n v="5"/>
  </r>
  <r>
    <x v="3"/>
    <n v="142766705"/>
    <n v="5"/>
  </r>
  <r>
    <x v="3"/>
    <n v="142766712"/>
    <n v="1"/>
  </r>
  <r>
    <x v="3"/>
    <n v="143246714"/>
    <n v="4"/>
  </r>
  <r>
    <x v="3"/>
    <n v="143246715"/>
    <n v="2"/>
  </r>
  <r>
    <x v="3"/>
    <n v="143246731"/>
    <n v="2"/>
  </r>
  <r>
    <x v="3"/>
    <n v="143246732"/>
    <n v="3"/>
  </r>
  <r>
    <x v="3"/>
    <n v="143246741"/>
    <n v="2"/>
  </r>
  <r>
    <x v="3"/>
    <n v="143246742"/>
    <n v="2"/>
  </r>
  <r>
    <x v="3"/>
    <n v="143246755"/>
    <n v="2"/>
  </r>
  <r>
    <x v="3"/>
    <n v="143246756"/>
    <n v="5"/>
  </r>
  <r>
    <x v="3"/>
    <n v="143246759"/>
    <n v="3"/>
  </r>
  <r>
    <x v="3"/>
    <n v="143246763"/>
    <n v="1"/>
  </r>
  <r>
    <x v="3"/>
    <n v="143246764"/>
    <n v="2"/>
  </r>
  <r>
    <x v="3"/>
    <n v="143246771"/>
    <n v="3"/>
  </r>
  <r>
    <x v="3"/>
    <n v="143246772"/>
    <n v="1"/>
  </r>
  <r>
    <x v="3"/>
    <n v="143246775"/>
    <n v="4"/>
  </r>
  <r>
    <x v="3"/>
    <n v="143246782"/>
    <n v="1"/>
  </r>
  <r>
    <x v="3"/>
    <n v="143246791"/>
    <n v="4"/>
  </r>
  <r>
    <x v="3"/>
    <n v="143246793"/>
    <n v="3"/>
  </r>
  <r>
    <x v="3"/>
    <n v="143246802"/>
    <n v="1"/>
  </r>
  <r>
    <x v="3"/>
    <n v="143246803"/>
    <n v="1"/>
  </r>
  <r>
    <x v="3"/>
    <n v="143246815"/>
    <n v="3"/>
  </r>
  <r>
    <x v="3"/>
    <n v="143246816"/>
    <n v="6"/>
  </r>
  <r>
    <x v="3"/>
    <n v="143246818"/>
    <n v="2"/>
  </r>
  <r>
    <x v="3"/>
    <n v="143246822"/>
    <n v="4"/>
  </r>
  <r>
    <x v="3"/>
    <n v="143246823"/>
    <n v="1"/>
  </r>
  <r>
    <x v="3"/>
    <n v="143246827"/>
    <n v="3"/>
  </r>
  <r>
    <x v="3"/>
    <n v="143256847"/>
    <n v="2"/>
  </r>
  <r>
    <x v="3"/>
    <n v="143256866"/>
    <n v="1"/>
  </r>
  <r>
    <x v="3"/>
    <n v="143256870"/>
    <n v="1"/>
  </r>
  <r>
    <x v="3"/>
    <n v="143256876"/>
    <n v="3"/>
  </r>
  <r>
    <x v="3"/>
    <n v="143256877"/>
    <n v="2"/>
  </r>
  <r>
    <x v="4"/>
    <n v="143256891"/>
    <n v="1"/>
  </r>
  <r>
    <x v="3"/>
    <n v="143256898"/>
    <n v="2"/>
  </r>
  <r>
    <x v="3"/>
    <n v="143256899"/>
    <n v="1"/>
  </r>
  <r>
    <x v="3"/>
    <n v="143256901"/>
    <n v="2"/>
  </r>
  <r>
    <x v="1"/>
    <n v="143256906"/>
    <n v="1"/>
  </r>
  <r>
    <x v="1"/>
    <n v="143256927"/>
    <n v="2"/>
  </r>
  <r>
    <x v="3"/>
    <n v="143256939"/>
    <n v="2"/>
  </r>
  <r>
    <x v="3"/>
    <n v="143256941"/>
    <n v="1"/>
  </r>
  <r>
    <x v="3"/>
    <n v="143266956"/>
    <n v="1"/>
  </r>
  <r>
    <x v="3"/>
    <n v="143266966"/>
    <n v="3"/>
  </r>
  <r>
    <x v="3"/>
    <n v="143266968"/>
    <n v="1"/>
  </r>
  <r>
    <x v="3"/>
    <n v="143266973"/>
    <n v="2"/>
  </r>
  <r>
    <x v="3"/>
    <n v="143266980"/>
    <n v="1"/>
  </r>
  <r>
    <x v="3"/>
    <n v="143266988"/>
    <n v="2"/>
  </r>
  <r>
    <x v="3"/>
    <n v="143266989"/>
    <n v="2"/>
  </r>
  <r>
    <x v="3"/>
    <n v="143267002"/>
    <n v="3"/>
  </r>
  <r>
    <x v="3"/>
    <n v="143267004"/>
    <n v="2"/>
  </r>
  <r>
    <x v="3"/>
    <n v="143267009"/>
    <n v="1"/>
  </r>
  <r>
    <x v="3"/>
    <n v="143267010"/>
    <n v="2"/>
  </r>
  <r>
    <x v="3"/>
    <n v="143267030"/>
    <n v="2"/>
  </r>
  <r>
    <x v="3"/>
    <n v="143267031"/>
    <n v="2"/>
  </r>
  <r>
    <x v="3"/>
    <n v="143267033"/>
    <n v="2"/>
  </r>
  <r>
    <x v="3"/>
    <n v="143267039"/>
    <n v="1"/>
  </r>
  <r>
    <x v="3"/>
    <n v="143277052"/>
    <n v="3"/>
  </r>
  <r>
    <x v="3"/>
    <n v="143277053"/>
    <n v="2"/>
  </r>
  <r>
    <x v="1"/>
    <n v="143277067"/>
    <n v="1"/>
  </r>
  <r>
    <x v="3"/>
    <n v="143277074"/>
    <n v="1"/>
  </r>
  <r>
    <x v="3"/>
    <n v="143277075"/>
    <n v="1"/>
  </r>
  <r>
    <x v="3"/>
    <n v="143277088"/>
    <n v="3"/>
  </r>
  <r>
    <x v="3"/>
    <n v="143277089"/>
    <n v="3"/>
  </r>
  <r>
    <x v="3"/>
    <n v="143277090"/>
    <n v="4"/>
  </r>
  <r>
    <x v="1"/>
    <n v="143277091"/>
    <n v="3"/>
  </r>
  <r>
    <x v="1"/>
    <n v="143277097"/>
    <n v="1"/>
  </r>
  <r>
    <x v="3"/>
    <n v="143277109"/>
    <n v="4"/>
  </r>
  <r>
    <x v="3"/>
    <n v="143277110"/>
    <n v="4"/>
  </r>
  <r>
    <x v="3"/>
    <n v="143277123"/>
    <n v="3"/>
  </r>
  <r>
    <x v="3"/>
    <n v="143277124"/>
    <n v="3"/>
  </r>
  <r>
    <x v="3"/>
    <n v="143287132"/>
    <n v="3"/>
  </r>
  <r>
    <x v="3"/>
    <n v="143287133"/>
    <n v="1"/>
  </r>
  <r>
    <x v="1"/>
    <n v="143287136"/>
    <n v="1"/>
  </r>
  <r>
    <x v="1"/>
    <n v="143287152"/>
    <n v="5"/>
  </r>
  <r>
    <x v="3"/>
    <n v="143287159"/>
    <n v="3"/>
  </r>
  <r>
    <x v="3"/>
    <n v="143287163"/>
    <n v="2"/>
  </r>
  <r>
    <x v="1"/>
    <n v="143287169"/>
    <n v="2"/>
  </r>
  <r>
    <x v="1"/>
    <n v="143287172"/>
    <n v="1"/>
  </r>
  <r>
    <x v="1"/>
    <n v="143287173"/>
    <n v="1"/>
  </r>
  <r>
    <x v="1"/>
    <n v="143287181"/>
    <n v="4"/>
  </r>
  <r>
    <x v="1"/>
    <n v="143287185"/>
    <n v="3"/>
  </r>
  <r>
    <x v="1"/>
    <n v="143287208"/>
    <n v="5"/>
  </r>
  <r>
    <x v="1"/>
    <n v="143287212"/>
    <n v="5"/>
  </r>
  <r>
    <x v="1"/>
    <n v="143287213"/>
    <n v="1"/>
  </r>
  <r>
    <x v="1"/>
    <n v="143287214"/>
    <n v="3"/>
  </r>
  <r>
    <x v="1"/>
    <n v="143287219"/>
    <n v="1"/>
  </r>
  <r>
    <x v="1"/>
    <n v="143287220"/>
    <n v="3"/>
  </r>
  <r>
    <x v="1"/>
    <n v="143287222"/>
    <n v="4"/>
  </r>
  <r>
    <x v="1"/>
    <n v="143287223"/>
    <n v="2"/>
  </r>
  <r>
    <x v="1"/>
    <n v="143287228"/>
    <n v="1"/>
  </r>
  <r>
    <x v="1"/>
    <n v="143287229"/>
    <n v="1"/>
  </r>
  <r>
    <x v="1"/>
    <n v="143287248"/>
    <n v="2"/>
  </r>
  <r>
    <x v="1"/>
    <n v="143287249"/>
    <n v="1"/>
  </r>
  <r>
    <x v="1"/>
    <n v="143287252"/>
    <n v="1"/>
  </r>
  <r>
    <x v="1"/>
    <n v="143287255"/>
    <n v="3"/>
  </r>
  <r>
    <x v="1"/>
    <n v="143287262"/>
    <n v="1"/>
  </r>
  <r>
    <x v="1"/>
    <n v="143297271"/>
    <n v="2"/>
  </r>
  <r>
    <x v="1"/>
    <n v="143297272"/>
    <n v="3"/>
  </r>
  <r>
    <x v="1"/>
    <n v="143297273"/>
    <n v="5"/>
  </r>
  <r>
    <x v="1"/>
    <n v="143297289"/>
    <n v="4"/>
  </r>
  <r>
    <x v="1"/>
    <n v="143297291"/>
    <n v="3"/>
  </r>
  <r>
    <x v="1"/>
    <n v="143297303"/>
    <n v="2"/>
  </r>
  <r>
    <x v="1"/>
    <n v="143297306"/>
    <n v="1"/>
  </r>
  <r>
    <x v="1"/>
    <n v="143297322"/>
    <n v="5"/>
  </r>
  <r>
    <x v="1"/>
    <n v="143297326"/>
    <n v="4"/>
  </r>
  <r>
    <x v="1"/>
    <n v="143297348"/>
    <n v="4"/>
  </r>
  <r>
    <x v="1"/>
    <n v="143297349"/>
    <n v="4"/>
  </r>
  <r>
    <x v="1"/>
    <n v="143297351"/>
    <n v="4"/>
  </r>
  <r>
    <x v="1"/>
    <n v="143297353"/>
    <n v="2"/>
  </r>
  <r>
    <x v="1"/>
    <n v="143297362"/>
    <n v="1"/>
  </r>
  <r>
    <x v="1"/>
    <n v="143297375"/>
    <n v="4"/>
  </r>
  <r>
    <x v="1"/>
    <n v="143297376"/>
    <n v="3"/>
  </r>
  <r>
    <x v="1"/>
    <n v="143297384"/>
    <n v="2"/>
  </r>
  <r>
    <x v="1"/>
    <n v="143297385"/>
    <n v="3"/>
  </r>
  <r>
    <x v="4"/>
    <n v="143297387"/>
    <n v="1"/>
  </r>
  <r>
    <x v="1"/>
    <n v="143297394"/>
    <n v="1"/>
  </r>
  <r>
    <x v="1"/>
    <n v="143297395"/>
    <n v="1"/>
  </r>
  <r>
    <x v="1"/>
    <n v="143297398"/>
    <n v="1"/>
  </r>
  <r>
    <x v="1"/>
    <n v="143297399"/>
    <n v="1"/>
  </r>
  <r>
    <x v="1"/>
    <n v="143307413"/>
    <n v="2"/>
  </r>
  <r>
    <x v="1"/>
    <n v="143307414"/>
    <n v="1"/>
  </r>
  <r>
    <x v="5"/>
    <n v="143307424"/>
    <n v="3"/>
  </r>
  <r>
    <x v="1"/>
    <n v="143307434"/>
    <n v="1"/>
  </r>
  <r>
    <x v="1"/>
    <n v="143307435"/>
    <n v="3"/>
  </r>
  <r>
    <x v="1"/>
    <n v="143307439"/>
    <n v="1"/>
  </r>
  <r>
    <x v="4"/>
    <n v="143307440"/>
    <n v="1"/>
  </r>
  <r>
    <x v="1"/>
    <n v="143307441"/>
    <n v="3"/>
  </r>
  <r>
    <x v="1"/>
    <n v="143307442"/>
    <n v="1"/>
  </r>
  <r>
    <x v="1"/>
    <n v="143307449"/>
    <n v="3"/>
  </r>
  <r>
    <x v="1"/>
    <n v="143307451"/>
    <n v="4"/>
  </r>
  <r>
    <x v="1"/>
    <n v="143307461"/>
    <n v="1"/>
  </r>
  <r>
    <x v="4"/>
    <n v="143307474"/>
    <n v="1"/>
  </r>
  <r>
    <x v="1"/>
    <n v="143307475"/>
    <n v="3"/>
  </r>
  <r>
    <x v="1"/>
    <n v="143307480"/>
    <n v="3"/>
  </r>
  <r>
    <x v="1"/>
    <n v="143307481"/>
    <n v="1"/>
  </r>
  <r>
    <x v="1"/>
    <n v="143307486"/>
    <n v="1"/>
  </r>
  <r>
    <x v="1"/>
    <n v="143307487"/>
    <n v="5"/>
  </r>
  <r>
    <x v="1"/>
    <n v="143307489"/>
    <n v="1"/>
  </r>
  <r>
    <x v="1"/>
    <n v="143307490"/>
    <n v="2"/>
  </r>
  <r>
    <x v="1"/>
    <n v="143307494"/>
    <n v="1"/>
  </r>
  <r>
    <x v="1"/>
    <n v="143307502"/>
    <n v="1"/>
  </r>
  <r>
    <x v="1"/>
    <n v="143307513"/>
    <n v="1"/>
  </r>
  <r>
    <x v="1"/>
    <n v="143307514"/>
    <n v="3"/>
  </r>
  <r>
    <x v="1"/>
    <n v="143307519"/>
    <n v="1"/>
  </r>
  <r>
    <x v="1"/>
    <n v="143307521"/>
    <n v="3"/>
  </r>
  <r>
    <x v="1"/>
    <n v="143307522"/>
    <n v="3"/>
  </r>
  <r>
    <x v="1"/>
    <n v="143307525"/>
    <n v="1"/>
  </r>
  <r>
    <x v="1"/>
    <n v="143307527"/>
    <n v="2"/>
  </r>
  <r>
    <x v="1"/>
    <n v="143307530"/>
    <n v="1"/>
  </r>
  <r>
    <x v="1"/>
    <n v="143317554"/>
    <n v="4"/>
  </r>
  <r>
    <x v="1"/>
    <n v="143317555"/>
    <n v="3"/>
  </r>
  <r>
    <x v="1"/>
    <n v="143317561"/>
    <n v="3"/>
  </r>
  <r>
    <x v="1"/>
    <n v="143317576"/>
    <n v="4"/>
  </r>
  <r>
    <x v="1"/>
    <n v="143317577"/>
    <n v="5"/>
  </r>
  <r>
    <x v="1"/>
    <n v="143317587"/>
    <n v="2"/>
  </r>
  <r>
    <x v="1"/>
    <n v="143317588"/>
    <n v="4"/>
  </r>
  <r>
    <x v="1"/>
    <n v="143317598"/>
    <n v="1"/>
  </r>
  <r>
    <x v="1"/>
    <n v="143317609"/>
    <n v="2"/>
  </r>
  <r>
    <x v="1"/>
    <n v="143317610"/>
    <n v="2"/>
  </r>
  <r>
    <x v="1"/>
    <n v="143317615"/>
    <n v="2"/>
  </r>
  <r>
    <x v="6"/>
    <n v="143317631"/>
    <n v="3"/>
  </r>
  <r>
    <x v="1"/>
    <n v="143317638"/>
    <n v="5"/>
  </r>
  <r>
    <x v="1"/>
    <n v="143317639"/>
    <n v="1"/>
  </r>
  <r>
    <x v="1"/>
    <n v="143317642"/>
    <n v="5"/>
  </r>
  <r>
    <x v="1"/>
    <n v="143327658"/>
    <n v="3"/>
  </r>
  <r>
    <x v="1"/>
    <n v="143327660"/>
    <n v="2"/>
  </r>
  <r>
    <x v="1"/>
    <n v="143327661"/>
    <n v="1"/>
  </r>
  <r>
    <x v="4"/>
    <n v="143327671"/>
    <n v="1"/>
  </r>
  <r>
    <x v="4"/>
    <n v="143327673"/>
    <n v="2"/>
  </r>
  <r>
    <x v="4"/>
    <n v="143327674"/>
    <n v="3"/>
  </r>
  <r>
    <x v="4"/>
    <n v="143327687"/>
    <n v="1"/>
  </r>
  <r>
    <x v="1"/>
    <n v="143327691"/>
    <n v="3"/>
  </r>
  <r>
    <x v="1"/>
    <n v="143327693"/>
    <n v="1"/>
  </r>
  <r>
    <x v="1"/>
    <n v="143327698"/>
    <n v="2"/>
  </r>
  <r>
    <x v="4"/>
    <n v="143327702"/>
    <n v="3"/>
  </r>
  <r>
    <x v="4"/>
    <n v="143327703"/>
    <n v="2"/>
  </r>
  <r>
    <x v="1"/>
    <n v="143327712"/>
    <n v="1"/>
  </r>
  <r>
    <x v="1"/>
    <n v="143327718"/>
    <n v="4"/>
  </r>
  <r>
    <x v="1"/>
    <n v="143327720"/>
    <n v="5"/>
  </r>
  <r>
    <x v="4"/>
    <n v="143327723"/>
    <n v="4"/>
  </r>
  <r>
    <x v="1"/>
    <n v="143327727"/>
    <n v="1"/>
  </r>
  <r>
    <x v="4"/>
    <n v="143327728"/>
    <n v="2"/>
  </r>
  <r>
    <x v="4"/>
    <n v="143327736"/>
    <n v="2"/>
  </r>
  <r>
    <x v="4"/>
    <n v="143327747"/>
    <n v="1"/>
  </r>
  <r>
    <x v="4"/>
    <n v="143327748"/>
    <n v="3"/>
  </r>
  <r>
    <x v="4"/>
    <n v="143327751"/>
    <n v="1"/>
  </r>
  <r>
    <x v="4"/>
    <n v="143327755"/>
    <n v="2"/>
  </r>
  <r>
    <x v="4"/>
    <n v="143327756"/>
    <n v="3"/>
  </r>
  <r>
    <x v="4"/>
    <n v="143327757"/>
    <n v="4"/>
  </r>
  <r>
    <x v="4"/>
    <n v="143327759"/>
    <n v="4"/>
  </r>
  <r>
    <x v="1"/>
    <n v="143327763"/>
    <n v="1"/>
  </r>
  <r>
    <x v="4"/>
    <n v="143327779"/>
    <n v="2"/>
  </r>
  <r>
    <x v="4"/>
    <n v="143327780"/>
    <n v="2"/>
  </r>
  <r>
    <x v="4"/>
    <n v="143327782"/>
    <n v="3"/>
  </r>
  <r>
    <x v="4"/>
    <n v="143327784"/>
    <n v="3"/>
  </r>
  <r>
    <x v="4"/>
    <n v="143327798"/>
    <n v="1"/>
  </r>
  <r>
    <x v="4"/>
    <n v="143327801"/>
    <n v="1"/>
  </r>
  <r>
    <x v="4"/>
    <n v="143327802"/>
    <n v="1"/>
  </r>
  <r>
    <x v="4"/>
    <n v="143327823"/>
    <n v="1"/>
  </r>
  <r>
    <x v="4"/>
    <n v="143337830"/>
    <n v="3"/>
  </r>
  <r>
    <x v="4"/>
    <n v="143337831"/>
    <n v="2"/>
  </r>
  <r>
    <x v="4"/>
    <n v="143337850"/>
    <n v="1"/>
  </r>
  <r>
    <x v="4"/>
    <n v="143337851"/>
    <n v="3"/>
  </r>
  <r>
    <x v="4"/>
    <n v="143337856"/>
    <n v="2"/>
  </r>
  <r>
    <x v="4"/>
    <n v="143337872"/>
    <n v="1"/>
  </r>
  <r>
    <x v="4"/>
    <n v="143337873"/>
    <n v="3"/>
  </r>
  <r>
    <x v="4"/>
    <n v="143337886"/>
    <n v="3"/>
  </r>
  <r>
    <x v="4"/>
    <n v="143337915"/>
    <n v="1"/>
  </r>
  <r>
    <x v="4"/>
    <n v="143337920"/>
    <n v="2"/>
  </r>
  <r>
    <x v="4"/>
    <n v="143337926"/>
    <n v="3"/>
  </r>
  <r>
    <x v="4"/>
    <n v="143337929"/>
    <n v="3"/>
  </r>
  <r>
    <x v="4"/>
    <n v="143337931"/>
    <n v="1"/>
  </r>
  <r>
    <x v="4"/>
    <n v="143337954"/>
    <n v="2"/>
  </r>
  <r>
    <x v="4"/>
    <n v="143337955"/>
    <n v="3"/>
  </r>
  <r>
    <x v="4"/>
    <n v="143337959"/>
    <n v="1"/>
  </r>
  <r>
    <x v="4"/>
    <n v="143337964"/>
    <n v="2"/>
  </r>
  <r>
    <x v="4"/>
    <n v="143337991"/>
    <n v="1"/>
  </r>
  <r>
    <x v="4"/>
    <n v="143337995"/>
    <n v="1"/>
  </r>
  <r>
    <x v="4"/>
    <n v="143337996"/>
    <n v="2"/>
  </r>
  <r>
    <x v="4"/>
    <n v="143337997"/>
    <n v="2"/>
  </r>
  <r>
    <x v="4"/>
    <n v="143338003"/>
    <n v="2"/>
  </r>
  <r>
    <x v="4"/>
    <n v="143348010"/>
    <n v="5"/>
  </r>
  <r>
    <x v="4"/>
    <n v="143348014"/>
    <n v="1"/>
  </r>
  <r>
    <x v="4"/>
    <n v="143348022"/>
    <n v="1"/>
  </r>
  <r>
    <x v="4"/>
    <n v="143348023"/>
    <n v="2"/>
  </r>
  <r>
    <x v="4"/>
    <n v="143348031"/>
    <n v="3"/>
  </r>
  <r>
    <x v="4"/>
    <n v="143348032"/>
    <n v="1"/>
  </r>
  <r>
    <x v="4"/>
    <n v="143348037"/>
    <n v="2"/>
  </r>
  <r>
    <x v="4"/>
    <n v="143348038"/>
    <n v="1"/>
  </r>
  <r>
    <x v="4"/>
    <n v="143348039"/>
    <n v="1"/>
  </r>
  <r>
    <x v="4"/>
    <n v="143348065"/>
    <n v="3"/>
  </r>
  <r>
    <x v="4"/>
    <n v="143348067"/>
    <n v="3"/>
  </r>
  <r>
    <x v="4"/>
    <n v="143348080"/>
    <n v="1"/>
  </r>
  <r>
    <x v="4"/>
    <n v="143348104"/>
    <n v="4"/>
  </r>
  <r>
    <x v="4"/>
    <n v="143348105"/>
    <n v="4"/>
  </r>
  <r>
    <x v="4"/>
    <n v="143348107"/>
    <n v="4"/>
  </r>
  <r>
    <x v="4"/>
    <n v="143348110"/>
    <n v="1"/>
  </r>
  <r>
    <x v="4"/>
    <n v="143348122"/>
    <n v="3"/>
  </r>
  <r>
    <x v="4"/>
    <n v="143348124"/>
    <n v="2"/>
  </r>
  <r>
    <x v="4"/>
    <n v="143348129"/>
    <n v="2"/>
  </r>
  <r>
    <x v="4"/>
    <n v="143348133"/>
    <n v="2"/>
  </r>
  <r>
    <x v="4"/>
    <n v="143348138"/>
    <n v="2"/>
  </r>
  <r>
    <x v="4"/>
    <n v="143348139"/>
    <n v="3"/>
  </r>
  <r>
    <x v="4"/>
    <n v="143348147"/>
    <n v="1"/>
  </r>
  <r>
    <x v="4"/>
    <n v="143348149"/>
    <n v="1"/>
  </r>
  <r>
    <x v="4"/>
    <n v="143348170"/>
    <n v="1"/>
  </r>
  <r>
    <x v="4"/>
    <n v="143358173"/>
    <n v="4"/>
  </r>
  <r>
    <x v="4"/>
    <n v="143358174"/>
    <n v="4"/>
  </r>
  <r>
    <x v="4"/>
    <n v="143358180"/>
    <n v="1"/>
  </r>
  <r>
    <x v="4"/>
    <n v="143358185"/>
    <n v="1"/>
  </r>
  <r>
    <x v="4"/>
    <n v="143358189"/>
    <n v="3"/>
  </r>
  <r>
    <x v="5"/>
    <n v="143358193"/>
    <n v="2"/>
  </r>
  <r>
    <x v="4"/>
    <n v="143358194"/>
    <n v="2"/>
  </r>
  <r>
    <x v="4"/>
    <n v="143358203"/>
    <n v="2"/>
  </r>
  <r>
    <x v="4"/>
    <n v="143358204"/>
    <n v="4"/>
  </r>
  <r>
    <x v="5"/>
    <n v="143358212"/>
    <n v="1"/>
  </r>
  <r>
    <x v="4"/>
    <n v="143358214"/>
    <n v="2"/>
  </r>
  <r>
    <x v="5"/>
    <n v="143358220"/>
    <n v="1"/>
  </r>
  <r>
    <x v="4"/>
    <n v="143358223"/>
    <n v="1"/>
  </r>
  <r>
    <x v="4"/>
    <n v="143358224"/>
    <n v="1"/>
  </r>
  <r>
    <x v="4"/>
    <n v="143358235"/>
    <n v="1"/>
  </r>
  <r>
    <x v="4"/>
    <n v="143358240"/>
    <n v="2"/>
  </r>
  <r>
    <x v="4"/>
    <n v="143358241"/>
    <n v="5"/>
  </r>
  <r>
    <x v="4"/>
    <n v="143358248"/>
    <n v="2"/>
  </r>
  <r>
    <x v="4"/>
    <n v="143358249"/>
    <n v="2"/>
  </r>
  <r>
    <x v="4"/>
    <n v="143358260"/>
    <n v="4"/>
  </r>
  <r>
    <x v="4"/>
    <n v="143358270"/>
    <n v="1"/>
  </r>
  <r>
    <x v="4"/>
    <n v="143358271"/>
    <n v="1"/>
  </r>
  <r>
    <x v="4"/>
    <n v="143358274"/>
    <n v="1"/>
  </r>
  <r>
    <x v="4"/>
    <n v="143358278"/>
    <n v="7"/>
  </r>
  <r>
    <x v="4"/>
    <n v="143358280"/>
    <n v="4"/>
  </r>
  <r>
    <x v="4"/>
    <n v="143358291"/>
    <n v="4"/>
  </r>
  <r>
    <x v="4"/>
    <n v="143358293"/>
    <n v="3"/>
  </r>
  <r>
    <x v="4"/>
    <n v="143358304"/>
    <n v="2"/>
  </r>
  <r>
    <x v="4"/>
    <n v="143358305"/>
    <n v="3"/>
  </r>
  <r>
    <x v="4"/>
    <n v="143358306"/>
    <n v="3"/>
  </r>
  <r>
    <x v="5"/>
    <n v="143358315"/>
    <n v="1"/>
  </r>
  <r>
    <x v="4"/>
    <n v="143368339"/>
    <n v="2"/>
  </r>
  <r>
    <x v="4"/>
    <n v="143368342"/>
    <n v="1"/>
  </r>
  <r>
    <x v="5"/>
    <n v="143368355"/>
    <n v="2"/>
  </r>
  <r>
    <x v="5"/>
    <n v="143368361"/>
    <n v="1"/>
  </r>
  <r>
    <x v="5"/>
    <n v="143368362"/>
    <n v="4"/>
  </r>
  <r>
    <x v="4"/>
    <n v="143368366"/>
    <n v="5"/>
  </r>
  <r>
    <x v="4"/>
    <n v="143368370"/>
    <n v="1"/>
  </r>
  <r>
    <x v="4"/>
    <n v="143368373"/>
    <n v="1"/>
  </r>
  <r>
    <x v="6"/>
    <n v="143368381"/>
    <n v="1"/>
  </r>
  <r>
    <x v="5"/>
    <n v="143368382"/>
    <n v="5"/>
  </r>
  <r>
    <x v="5"/>
    <n v="143368383"/>
    <n v="2"/>
  </r>
  <r>
    <x v="4"/>
    <n v="143368384"/>
    <n v="4"/>
  </r>
  <r>
    <x v="5"/>
    <n v="143368385"/>
    <n v="2"/>
  </r>
  <r>
    <x v="4"/>
    <n v="143368411"/>
    <n v="3"/>
  </r>
  <r>
    <x v="4"/>
    <n v="143368413"/>
    <n v="4"/>
  </r>
  <r>
    <x v="5"/>
    <n v="143368426"/>
    <n v="2"/>
  </r>
  <r>
    <x v="5"/>
    <n v="143368427"/>
    <n v="1"/>
  </r>
  <r>
    <x v="5"/>
    <n v="143368430"/>
    <n v="1"/>
  </r>
  <r>
    <x v="5"/>
    <n v="143368436"/>
    <n v="1"/>
  </r>
  <r>
    <x v="4"/>
    <n v="143368449"/>
    <n v="4"/>
  </r>
  <r>
    <x v="4"/>
    <n v="143368454"/>
    <n v="2"/>
  </r>
  <r>
    <x v="5"/>
    <n v="143368458"/>
    <n v="6"/>
  </r>
  <r>
    <x v="5"/>
    <n v="143368464"/>
    <n v="3"/>
  </r>
  <r>
    <x v="5"/>
    <n v="143368465"/>
    <n v="2"/>
  </r>
  <r>
    <x v="5"/>
    <n v="143368473"/>
    <n v="2"/>
  </r>
  <r>
    <x v="5"/>
    <n v="143368475"/>
    <n v="3"/>
  </r>
  <r>
    <x v="5"/>
    <n v="143368476"/>
    <n v="2"/>
  </r>
  <r>
    <x v="4"/>
    <n v="143368487"/>
    <n v="2"/>
  </r>
  <r>
    <x v="4"/>
    <n v="143368492"/>
    <n v="3"/>
  </r>
  <r>
    <x v="5"/>
    <n v="143368503"/>
    <n v="2"/>
  </r>
  <r>
    <x v="5"/>
    <n v="143378508"/>
    <n v="2"/>
  </r>
  <r>
    <x v="5"/>
    <n v="143378509"/>
    <n v="1"/>
  </r>
  <r>
    <x v="5"/>
    <n v="143378513"/>
    <n v="2"/>
  </r>
  <r>
    <x v="5"/>
    <n v="143378514"/>
    <n v="1"/>
  </r>
  <r>
    <x v="5"/>
    <n v="143378515"/>
    <n v="1"/>
  </r>
  <r>
    <x v="5"/>
    <n v="143378516"/>
    <n v="2"/>
  </r>
  <r>
    <x v="5"/>
    <n v="143378519"/>
    <n v="3"/>
  </r>
  <r>
    <x v="5"/>
    <n v="143378523"/>
    <n v="3"/>
  </r>
  <r>
    <x v="5"/>
    <n v="143378524"/>
    <n v="2"/>
  </r>
  <r>
    <x v="5"/>
    <n v="143378525"/>
    <n v="1"/>
  </r>
  <r>
    <x v="5"/>
    <n v="143378531"/>
    <n v="3"/>
  </r>
  <r>
    <x v="5"/>
    <n v="143378533"/>
    <n v="1"/>
  </r>
  <r>
    <x v="5"/>
    <n v="143378561"/>
    <n v="1"/>
  </r>
  <r>
    <x v="5"/>
    <n v="143378571"/>
    <n v="2"/>
  </r>
  <r>
    <x v="5"/>
    <n v="143378572"/>
    <n v="3"/>
  </r>
  <r>
    <x v="5"/>
    <n v="143378574"/>
    <n v="5"/>
  </r>
  <r>
    <x v="5"/>
    <n v="143378614"/>
    <n v="3"/>
  </r>
  <r>
    <x v="5"/>
    <n v="143378616"/>
    <n v="5"/>
  </r>
  <r>
    <x v="5"/>
    <n v="143378617"/>
    <n v="2"/>
  </r>
  <r>
    <x v="5"/>
    <n v="143378621"/>
    <n v="1"/>
  </r>
  <r>
    <x v="5"/>
    <n v="143378622"/>
    <n v="6"/>
  </r>
  <r>
    <x v="5"/>
    <n v="143378653"/>
    <n v="4"/>
  </r>
  <r>
    <x v="5"/>
    <n v="143378669"/>
    <n v="1"/>
  </r>
  <r>
    <x v="5"/>
    <n v="143388679"/>
    <n v="2"/>
  </r>
  <r>
    <x v="5"/>
    <n v="143388680"/>
    <n v="4"/>
  </r>
  <r>
    <x v="5"/>
    <n v="143388681"/>
    <n v="1"/>
  </r>
  <r>
    <x v="5"/>
    <n v="143388689"/>
    <n v="1"/>
  </r>
  <r>
    <x v="5"/>
    <n v="143388694"/>
    <n v="3"/>
  </r>
  <r>
    <x v="5"/>
    <n v="143388701"/>
    <n v="1"/>
  </r>
  <r>
    <x v="5"/>
    <n v="143388709"/>
    <n v="4"/>
  </r>
  <r>
    <x v="5"/>
    <n v="143388710"/>
    <n v="2"/>
  </r>
  <r>
    <x v="5"/>
    <n v="143388712"/>
    <n v="1"/>
  </r>
  <r>
    <x v="5"/>
    <n v="143388713"/>
    <n v="2"/>
  </r>
  <r>
    <x v="5"/>
    <n v="143388723"/>
    <n v="4"/>
  </r>
  <r>
    <x v="5"/>
    <n v="143388726"/>
    <n v="1"/>
  </r>
  <r>
    <x v="5"/>
    <n v="143388727"/>
    <n v="1"/>
  </r>
  <r>
    <x v="5"/>
    <n v="143388728"/>
    <n v="1"/>
  </r>
  <r>
    <x v="5"/>
    <n v="143388739"/>
    <n v="1"/>
  </r>
  <r>
    <x v="5"/>
    <n v="143388744"/>
    <n v="2"/>
  </r>
  <r>
    <x v="5"/>
    <n v="143388748"/>
    <n v="2"/>
  </r>
  <r>
    <x v="5"/>
    <n v="143388753"/>
    <n v="1"/>
  </r>
  <r>
    <x v="5"/>
    <n v="143388760"/>
    <n v="5"/>
  </r>
  <r>
    <x v="5"/>
    <n v="143388762"/>
    <n v="5"/>
  </r>
  <r>
    <x v="5"/>
    <n v="143388800"/>
    <n v="2"/>
  </r>
  <r>
    <x v="5"/>
    <n v="143388802"/>
    <n v="3"/>
  </r>
  <r>
    <x v="5"/>
    <n v="143388803"/>
    <n v="5"/>
  </r>
  <r>
    <x v="5"/>
    <n v="143388806"/>
    <n v="6"/>
  </r>
  <r>
    <x v="5"/>
    <n v="143388818"/>
    <n v="2"/>
  </r>
  <r>
    <x v="6"/>
    <n v="143388819"/>
    <n v="2"/>
  </r>
  <r>
    <x v="5"/>
    <n v="143388821"/>
    <n v="3"/>
  </r>
  <r>
    <x v="6"/>
    <n v="143388822"/>
    <n v="1"/>
  </r>
  <r>
    <x v="5"/>
    <n v="143388827"/>
    <n v="3"/>
  </r>
  <r>
    <x v="5"/>
    <n v="143388828"/>
    <n v="1"/>
  </r>
  <r>
    <x v="5"/>
    <n v="143388837"/>
    <n v="5"/>
  </r>
  <r>
    <x v="5"/>
    <n v="143388848"/>
    <n v="2"/>
  </r>
  <r>
    <x v="5"/>
    <n v="143388850"/>
    <n v="2"/>
  </r>
  <r>
    <x v="5"/>
    <n v="143388857"/>
    <n v="1"/>
  </r>
  <r>
    <x v="5"/>
    <n v="143388865"/>
    <n v="1"/>
  </r>
  <r>
    <x v="6"/>
    <n v="143388867"/>
    <n v="1"/>
  </r>
  <r>
    <x v="5"/>
    <n v="143388869"/>
    <n v="2"/>
  </r>
  <r>
    <x v="5"/>
    <n v="143388870"/>
    <n v="1"/>
  </r>
  <r>
    <x v="5"/>
    <n v="143398885"/>
    <n v="4"/>
  </r>
  <r>
    <x v="5"/>
    <n v="143398886"/>
    <n v="1"/>
  </r>
  <r>
    <x v="5"/>
    <n v="143398888"/>
    <n v="3"/>
  </r>
  <r>
    <x v="5"/>
    <n v="143398898"/>
    <n v="1"/>
  </r>
  <r>
    <x v="5"/>
    <n v="143398901"/>
    <n v="2"/>
  </r>
  <r>
    <x v="5"/>
    <n v="143398902"/>
    <n v="1"/>
  </r>
  <r>
    <x v="5"/>
    <n v="143398914"/>
    <n v="4"/>
  </r>
  <r>
    <x v="5"/>
    <n v="143398915"/>
    <n v="1"/>
  </r>
  <r>
    <x v="5"/>
    <n v="143398937"/>
    <n v="1"/>
  </r>
  <r>
    <x v="5"/>
    <n v="143398938"/>
    <n v="3"/>
  </r>
  <r>
    <x v="5"/>
    <n v="143398953"/>
    <n v="2"/>
  </r>
  <r>
    <x v="5"/>
    <n v="143398960"/>
    <n v="3"/>
  </r>
  <r>
    <x v="5"/>
    <n v="143398980"/>
    <n v="2"/>
  </r>
  <r>
    <x v="5"/>
    <n v="143398981"/>
    <n v="1"/>
  </r>
  <r>
    <x v="6"/>
    <n v="143398989"/>
    <n v="1"/>
  </r>
  <r>
    <x v="5"/>
    <n v="143399001"/>
    <n v="2"/>
  </r>
  <r>
    <x v="5"/>
    <n v="143399002"/>
    <n v="1"/>
  </r>
  <r>
    <x v="5"/>
    <n v="143399003"/>
    <n v="2"/>
  </r>
  <r>
    <x v="5"/>
    <n v="143399013"/>
    <n v="4"/>
  </r>
  <r>
    <x v="5"/>
    <n v="143399014"/>
    <n v="3"/>
  </r>
  <r>
    <x v="5"/>
    <n v="143399018"/>
    <n v="2"/>
  </r>
  <r>
    <x v="6"/>
    <n v="143399033"/>
    <n v="1"/>
  </r>
  <r>
    <x v="5"/>
    <n v="143399042"/>
    <n v="3"/>
  </r>
  <r>
    <x v="5"/>
    <n v="143399043"/>
    <n v="3"/>
  </r>
  <r>
    <x v="5"/>
    <n v="143399044"/>
    <n v="2"/>
  </r>
  <r>
    <x v="5"/>
    <n v="143399048"/>
    <n v="1"/>
  </r>
  <r>
    <x v="5"/>
    <n v="143399049"/>
    <n v="1"/>
  </r>
  <r>
    <x v="5"/>
    <n v="143409059"/>
    <n v="2"/>
  </r>
  <r>
    <x v="5"/>
    <n v="143409061"/>
    <n v="1"/>
  </r>
  <r>
    <x v="6"/>
    <n v="143409062"/>
    <n v="1"/>
  </r>
  <r>
    <x v="5"/>
    <n v="143409072"/>
    <n v="1"/>
  </r>
  <r>
    <x v="5"/>
    <n v="143409082"/>
    <n v="3"/>
  </r>
  <r>
    <x v="5"/>
    <n v="143409095"/>
    <n v="1"/>
  </r>
  <r>
    <x v="5"/>
    <n v="143409121"/>
    <n v="1"/>
  </r>
  <r>
    <x v="6"/>
    <n v="143409134"/>
    <n v="3"/>
  </r>
  <r>
    <x v="6"/>
    <n v="143409136"/>
    <n v="1"/>
  </r>
  <r>
    <x v="6"/>
    <n v="143409137"/>
    <n v="3"/>
  </r>
  <r>
    <x v="6"/>
    <n v="143409140"/>
    <n v="5"/>
  </r>
  <r>
    <x v="6"/>
    <n v="143409142"/>
    <n v="1"/>
  </r>
  <r>
    <x v="5"/>
    <n v="143409154"/>
    <n v="1"/>
  </r>
  <r>
    <x v="6"/>
    <n v="143409155"/>
    <n v="2"/>
  </r>
  <r>
    <x v="6"/>
    <n v="143409164"/>
    <n v="1"/>
  </r>
  <r>
    <x v="5"/>
    <n v="143409166"/>
    <n v="3"/>
  </r>
  <r>
    <x v="5"/>
    <n v="143409167"/>
    <n v="2"/>
  </r>
  <r>
    <x v="5"/>
    <n v="143409168"/>
    <n v="1"/>
  </r>
  <r>
    <x v="6"/>
    <n v="143409176"/>
    <n v="3"/>
  </r>
  <r>
    <x v="6"/>
    <n v="143409186"/>
    <n v="2"/>
  </r>
  <r>
    <x v="5"/>
    <n v="143409188"/>
    <n v="2"/>
  </r>
  <r>
    <x v="6"/>
    <n v="143409204"/>
    <n v="2"/>
  </r>
  <r>
    <x v="7"/>
    <n v="143409205"/>
    <n v="1"/>
  </r>
  <r>
    <x v="5"/>
    <n v="143409209"/>
    <n v="3"/>
  </r>
  <r>
    <x v="5"/>
    <n v="143409211"/>
    <n v="2"/>
  </r>
  <r>
    <x v="5"/>
    <n v="143409216"/>
    <n v="2"/>
  </r>
  <r>
    <x v="5"/>
    <n v="143409224"/>
    <n v="1"/>
  </r>
  <r>
    <x v="6"/>
    <n v="143409235"/>
    <n v="1"/>
  </r>
  <r>
    <x v="6"/>
    <n v="143409237"/>
    <n v="1"/>
  </r>
  <r>
    <x v="5"/>
    <n v="143409250"/>
    <n v="1"/>
  </r>
  <r>
    <x v="5"/>
    <n v="143409251"/>
    <n v="3"/>
  </r>
  <r>
    <x v="5"/>
    <n v="143409269"/>
    <n v="1"/>
  </r>
  <r>
    <x v="5"/>
    <n v="143419283"/>
    <n v="1"/>
  </r>
  <r>
    <x v="5"/>
    <n v="143419284"/>
    <n v="3"/>
  </r>
  <r>
    <x v="5"/>
    <n v="143419285"/>
    <n v="1"/>
  </r>
  <r>
    <x v="6"/>
    <n v="143419300"/>
    <n v="1"/>
  </r>
  <r>
    <x v="6"/>
    <n v="143419301"/>
    <n v="1"/>
  </r>
  <r>
    <x v="5"/>
    <n v="143419307"/>
    <n v="4"/>
  </r>
  <r>
    <x v="5"/>
    <n v="143419308"/>
    <n v="2"/>
  </r>
  <r>
    <x v="6"/>
    <n v="143419310"/>
    <n v="4"/>
  </r>
  <r>
    <x v="5"/>
    <n v="143419332"/>
    <n v="4"/>
  </r>
  <r>
    <x v="5"/>
    <n v="143419333"/>
    <n v="4"/>
  </r>
  <r>
    <x v="6"/>
    <n v="143419343"/>
    <n v="4"/>
  </r>
  <r>
    <x v="6"/>
    <n v="143419356"/>
    <n v="4"/>
  </r>
  <r>
    <x v="6"/>
    <n v="143419360"/>
    <n v="3"/>
  </r>
  <r>
    <x v="6"/>
    <n v="143419365"/>
    <n v="1"/>
  </r>
  <r>
    <x v="6"/>
    <n v="143419376"/>
    <n v="1"/>
  </r>
  <r>
    <x v="6"/>
    <n v="143419407"/>
    <n v="2"/>
  </r>
  <r>
    <x v="6"/>
    <n v="143419409"/>
    <n v="2"/>
  </r>
  <r>
    <x v="6"/>
    <n v="143419418"/>
    <n v="2"/>
  </r>
  <r>
    <x v="6"/>
    <n v="143419428"/>
    <n v="1"/>
  </r>
  <r>
    <x v="6"/>
    <n v="143429435"/>
    <n v="3"/>
  </r>
  <r>
    <x v="6"/>
    <n v="143429436"/>
    <n v="1"/>
  </r>
  <r>
    <x v="6"/>
    <n v="143429442"/>
    <n v="1"/>
  </r>
  <r>
    <x v="6"/>
    <n v="143429450"/>
    <n v="1"/>
  </r>
  <r>
    <x v="6"/>
    <n v="143429456"/>
    <n v="3"/>
  </r>
  <r>
    <x v="6"/>
    <n v="143429464"/>
    <n v="1"/>
  </r>
  <r>
    <x v="6"/>
    <n v="143429465"/>
    <n v="3"/>
  </r>
  <r>
    <x v="8"/>
    <n v="143429471"/>
    <n v="1"/>
  </r>
  <r>
    <x v="8"/>
    <n v="143429472"/>
    <n v="1"/>
  </r>
  <r>
    <x v="6"/>
    <n v="143429475"/>
    <n v="2"/>
  </r>
  <r>
    <x v="6"/>
    <n v="143429476"/>
    <n v="2"/>
  </r>
  <r>
    <x v="6"/>
    <n v="143429477"/>
    <n v="1"/>
  </r>
  <r>
    <x v="6"/>
    <n v="143429478"/>
    <n v="2"/>
  </r>
  <r>
    <x v="6"/>
    <n v="143429479"/>
    <n v="2"/>
  </r>
  <r>
    <x v="6"/>
    <n v="143429480"/>
    <n v="3"/>
  </r>
  <r>
    <x v="8"/>
    <n v="143429483"/>
    <n v="1"/>
  </r>
  <r>
    <x v="6"/>
    <n v="143429490"/>
    <n v="3"/>
  </r>
  <r>
    <x v="6"/>
    <n v="143429508"/>
    <n v="3"/>
  </r>
  <r>
    <x v="6"/>
    <n v="143429509"/>
    <n v="2"/>
  </r>
  <r>
    <x v="6"/>
    <n v="143429538"/>
    <n v="3"/>
  </r>
  <r>
    <x v="6"/>
    <n v="143429539"/>
    <n v="2"/>
  </r>
  <r>
    <x v="6"/>
    <n v="143429553"/>
    <n v="1"/>
  </r>
  <r>
    <x v="6"/>
    <n v="143429584"/>
    <n v="5"/>
  </r>
  <r>
    <x v="6"/>
    <n v="143429585"/>
    <n v="3"/>
  </r>
  <r>
    <x v="6"/>
    <n v="143429586"/>
    <n v="3"/>
  </r>
  <r>
    <x v="6"/>
    <n v="143429592"/>
    <n v="3"/>
  </r>
  <r>
    <x v="6"/>
    <n v="143429593"/>
    <n v="2"/>
  </r>
  <r>
    <x v="6"/>
    <n v="143429599"/>
    <n v="1"/>
  </r>
  <r>
    <x v="6"/>
    <n v="143429600"/>
    <n v="1"/>
  </r>
  <r>
    <x v="6"/>
    <n v="143429604"/>
    <n v="3"/>
  </r>
  <r>
    <x v="6"/>
    <n v="143429614"/>
    <n v="3"/>
  </r>
  <r>
    <x v="8"/>
    <n v="143429615"/>
    <n v="2"/>
  </r>
  <r>
    <x v="6"/>
    <n v="143429616"/>
    <n v="2"/>
  </r>
  <r>
    <x v="6"/>
    <n v="143429618"/>
    <n v="1"/>
  </r>
  <r>
    <x v="8"/>
    <n v="143429651"/>
    <n v="1"/>
  </r>
  <r>
    <x v="6"/>
    <n v="143439653"/>
    <n v="2"/>
  </r>
  <r>
    <x v="6"/>
    <n v="143439655"/>
    <n v="4"/>
  </r>
  <r>
    <x v="6"/>
    <n v="143439659"/>
    <n v="3"/>
  </r>
  <r>
    <x v="6"/>
    <n v="143439679"/>
    <n v="2"/>
  </r>
  <r>
    <x v="6"/>
    <n v="143439682"/>
    <n v="1"/>
  </r>
  <r>
    <x v="6"/>
    <n v="143439683"/>
    <n v="1"/>
  </r>
  <r>
    <x v="6"/>
    <n v="143439690"/>
    <n v="1"/>
  </r>
  <r>
    <x v="8"/>
    <n v="143439691"/>
    <n v="2"/>
  </r>
  <r>
    <x v="6"/>
    <n v="143439720"/>
    <n v="4"/>
  </r>
  <r>
    <x v="6"/>
    <n v="143439723"/>
    <n v="5"/>
  </r>
  <r>
    <x v="6"/>
    <n v="143439726"/>
    <n v="2"/>
  </r>
  <r>
    <x v="6"/>
    <n v="143439731"/>
    <n v="1"/>
  </r>
  <r>
    <x v="8"/>
    <n v="143439747"/>
    <n v="2"/>
  </r>
  <r>
    <x v="8"/>
    <n v="143439748"/>
    <n v="2"/>
  </r>
  <r>
    <x v="8"/>
    <n v="143439749"/>
    <n v="2"/>
  </r>
  <r>
    <x v="6"/>
    <n v="143439771"/>
    <n v="2"/>
  </r>
  <r>
    <x v="6"/>
    <n v="143439773"/>
    <n v="3"/>
  </r>
  <r>
    <x v="6"/>
    <n v="143439780"/>
    <n v="2"/>
  </r>
  <r>
    <x v="6"/>
    <n v="143439787"/>
    <n v="3"/>
  </r>
  <r>
    <x v="6"/>
    <n v="143439789"/>
    <n v="1"/>
  </r>
  <r>
    <x v="6"/>
    <n v="143439803"/>
    <n v="2"/>
  </r>
  <r>
    <x v="6"/>
    <n v="143439805"/>
    <n v="4"/>
  </r>
  <r>
    <x v="6"/>
    <n v="143439806"/>
    <n v="1"/>
  </r>
  <r>
    <x v="6"/>
    <n v="143439825"/>
    <n v="3"/>
  </r>
  <r>
    <x v="6"/>
    <n v="143439827"/>
    <n v="2"/>
  </r>
  <r>
    <x v="6"/>
    <n v="143439828"/>
    <n v="1"/>
  </r>
  <r>
    <x v="6"/>
    <n v="143449857"/>
    <n v="1"/>
  </r>
  <r>
    <x v="6"/>
    <n v="143449860"/>
    <n v="3"/>
  </r>
  <r>
    <x v="6"/>
    <n v="143449862"/>
    <n v="1"/>
  </r>
  <r>
    <x v="8"/>
    <n v="143449875"/>
    <n v="2"/>
  </r>
  <r>
    <x v="8"/>
    <n v="143449876"/>
    <n v="2"/>
  </r>
  <r>
    <x v="7"/>
    <n v="143449877"/>
    <n v="2"/>
  </r>
  <r>
    <x v="6"/>
    <n v="143449891"/>
    <n v="1"/>
  </r>
  <r>
    <x v="8"/>
    <n v="143449917"/>
    <n v="2"/>
  </r>
  <r>
    <x v="6"/>
    <n v="143449919"/>
    <n v="8"/>
  </r>
  <r>
    <x v="6"/>
    <n v="143449922"/>
    <n v="3"/>
  </r>
  <r>
    <x v="6"/>
    <n v="143449928"/>
    <n v="4"/>
  </r>
  <r>
    <x v="8"/>
    <n v="143449929"/>
    <n v="1"/>
  </r>
  <r>
    <x v="6"/>
    <n v="143449946"/>
    <n v="3"/>
  </r>
  <r>
    <x v="8"/>
    <n v="143449947"/>
    <n v="3"/>
  </r>
  <r>
    <x v="8"/>
    <n v="143449948"/>
    <n v="1"/>
  </r>
  <r>
    <x v="8"/>
    <n v="143449949"/>
    <n v="1"/>
  </r>
  <r>
    <x v="8"/>
    <n v="143449951"/>
    <n v="1"/>
  </r>
  <r>
    <x v="8"/>
    <n v="143449952"/>
    <n v="1"/>
  </r>
  <r>
    <x v="8"/>
    <n v="143449953"/>
    <n v="1"/>
  </r>
  <r>
    <x v="7"/>
    <n v="143449961"/>
    <n v="1"/>
  </r>
  <r>
    <x v="7"/>
    <n v="143449962"/>
    <n v="1"/>
  </r>
  <r>
    <x v="6"/>
    <n v="143449966"/>
    <n v="3"/>
  </r>
  <r>
    <x v="6"/>
    <n v="143449967"/>
    <n v="2"/>
  </r>
  <r>
    <x v="6"/>
    <n v="143449971"/>
    <n v="2"/>
  </r>
  <r>
    <x v="6"/>
    <n v="143449974"/>
    <n v="1"/>
  </r>
  <r>
    <x v="8"/>
    <n v="143449975"/>
    <n v="1"/>
  </r>
  <r>
    <x v="8"/>
    <n v="143449977"/>
    <n v="2"/>
  </r>
  <r>
    <x v="8"/>
    <n v="143449978"/>
    <n v="2"/>
  </r>
  <r>
    <x v="8"/>
    <n v="143449981"/>
    <n v="1"/>
  </r>
  <r>
    <x v="6"/>
    <n v="143449996"/>
    <n v="3"/>
  </r>
  <r>
    <x v="8"/>
    <n v="143450004"/>
    <n v="2"/>
  </r>
  <r>
    <x v="6"/>
    <n v="143460020"/>
    <n v="1"/>
  </r>
  <r>
    <x v="6"/>
    <n v="143460029"/>
    <n v="5"/>
  </r>
  <r>
    <x v="6"/>
    <n v="143460030"/>
    <n v="3"/>
  </r>
  <r>
    <x v="8"/>
    <n v="143460035"/>
    <n v="2"/>
  </r>
  <r>
    <x v="8"/>
    <n v="143460037"/>
    <n v="2"/>
  </r>
  <r>
    <x v="8"/>
    <n v="143460044"/>
    <n v="4"/>
  </r>
  <r>
    <x v="8"/>
    <n v="143460045"/>
    <n v="3"/>
  </r>
  <r>
    <x v="8"/>
    <n v="143460047"/>
    <n v="5"/>
  </r>
  <r>
    <x v="8"/>
    <n v="143460048"/>
    <n v="1"/>
  </r>
  <r>
    <x v="8"/>
    <n v="143460051"/>
    <n v="1"/>
  </r>
  <r>
    <x v="8"/>
    <n v="143460052"/>
    <n v="1"/>
  </r>
  <r>
    <x v="8"/>
    <n v="143460054"/>
    <n v="1"/>
  </r>
  <r>
    <x v="8"/>
    <n v="143460056"/>
    <n v="1"/>
  </r>
  <r>
    <x v="6"/>
    <n v="143460070"/>
    <n v="4"/>
  </r>
  <r>
    <x v="6"/>
    <n v="143460073"/>
    <n v="4"/>
  </r>
  <r>
    <x v="8"/>
    <n v="143460075"/>
    <n v="3"/>
  </r>
  <r>
    <x v="6"/>
    <n v="143460091"/>
    <n v="4"/>
  </r>
  <r>
    <x v="6"/>
    <n v="143460092"/>
    <n v="4"/>
  </r>
  <r>
    <x v="8"/>
    <n v="143460095"/>
    <n v="1"/>
  </r>
  <r>
    <x v="8"/>
    <n v="143460096"/>
    <n v="1"/>
  </r>
  <r>
    <x v="8"/>
    <n v="143460107"/>
    <n v="1"/>
  </r>
  <r>
    <x v="8"/>
    <n v="143460135"/>
    <n v="1"/>
  </r>
  <r>
    <x v="8"/>
    <n v="143460152"/>
    <n v="5"/>
  </r>
  <r>
    <x v="8"/>
    <n v="143460153"/>
    <n v="5"/>
  </r>
  <r>
    <x v="8"/>
    <n v="143460157"/>
    <n v="2"/>
  </r>
  <r>
    <x v="8"/>
    <n v="143460158"/>
    <n v="1"/>
  </r>
  <r>
    <x v="8"/>
    <n v="143460199"/>
    <n v="4"/>
  </r>
  <r>
    <x v="8"/>
    <n v="143460200"/>
    <n v="2"/>
  </r>
  <r>
    <x v="8"/>
    <n v="143470228"/>
    <n v="2"/>
  </r>
  <r>
    <x v="8"/>
    <n v="143470229"/>
    <n v="3"/>
  </r>
  <r>
    <x v="8"/>
    <n v="143470230"/>
    <n v="3"/>
  </r>
  <r>
    <x v="8"/>
    <n v="143470246"/>
    <n v="3"/>
  </r>
  <r>
    <x v="8"/>
    <n v="143470255"/>
    <n v="4"/>
  </r>
  <r>
    <x v="8"/>
    <n v="143470275"/>
    <n v="3"/>
  </r>
  <r>
    <x v="8"/>
    <n v="143470276"/>
    <n v="3"/>
  </r>
  <r>
    <x v="8"/>
    <n v="143470313"/>
    <n v="1"/>
  </r>
  <r>
    <x v="8"/>
    <n v="143470317"/>
    <n v="1"/>
  </r>
  <r>
    <x v="8"/>
    <n v="143470330"/>
    <n v="1"/>
  </r>
  <r>
    <x v="8"/>
    <n v="143470332"/>
    <n v="2"/>
  </r>
  <r>
    <x v="8"/>
    <n v="143470334"/>
    <n v="2"/>
  </r>
  <r>
    <x v="8"/>
    <n v="143470335"/>
    <n v="1"/>
  </r>
  <r>
    <x v="8"/>
    <n v="143470339"/>
    <n v="1"/>
  </r>
  <r>
    <x v="8"/>
    <n v="143470340"/>
    <n v="5"/>
  </r>
  <r>
    <x v="8"/>
    <n v="143470356"/>
    <n v="7"/>
  </r>
  <r>
    <x v="8"/>
    <n v="143470363"/>
    <n v="2"/>
  </r>
  <r>
    <x v="8"/>
    <n v="143470382"/>
    <n v="2"/>
  </r>
  <r>
    <x v="8"/>
    <n v="143480432"/>
    <n v="4"/>
  </r>
  <r>
    <x v="8"/>
    <n v="143480433"/>
    <n v="1"/>
  </r>
  <r>
    <x v="8"/>
    <n v="143480480"/>
    <n v="1"/>
  </r>
  <r>
    <x v="8"/>
    <n v="143480481"/>
    <n v="4"/>
  </r>
  <r>
    <x v="8"/>
    <n v="143480485"/>
    <n v="1"/>
  </r>
  <r>
    <x v="8"/>
    <n v="143480489"/>
    <n v="4"/>
  </r>
  <r>
    <x v="8"/>
    <n v="143480505"/>
    <n v="1"/>
  </r>
  <r>
    <x v="8"/>
    <n v="143480513"/>
    <n v="4"/>
  </r>
  <r>
    <x v="8"/>
    <n v="143480514"/>
    <n v="5"/>
  </r>
  <r>
    <x v="7"/>
    <n v="143480521"/>
    <n v="1"/>
  </r>
  <r>
    <x v="8"/>
    <n v="143480525"/>
    <n v="2"/>
  </r>
  <r>
    <x v="8"/>
    <n v="143480537"/>
    <n v="2"/>
  </r>
  <r>
    <x v="8"/>
    <n v="143480539"/>
    <n v="5"/>
  </r>
  <r>
    <x v="7"/>
    <n v="143480547"/>
    <n v="1"/>
  </r>
  <r>
    <x v="8"/>
    <n v="143480552"/>
    <n v="1"/>
  </r>
  <r>
    <x v="8"/>
    <n v="143480558"/>
    <n v="3"/>
  </r>
  <r>
    <x v="8"/>
    <n v="143480563"/>
    <n v="1"/>
  </r>
  <r>
    <x v="8"/>
    <n v="143480574"/>
    <n v="3"/>
  </r>
  <r>
    <x v="8"/>
    <n v="143480575"/>
    <n v="4"/>
  </r>
  <r>
    <x v="8"/>
    <n v="143480577"/>
    <n v="1"/>
  </r>
  <r>
    <x v="8"/>
    <n v="143480581"/>
    <n v="1"/>
  </r>
  <r>
    <x v="8"/>
    <n v="143480592"/>
    <n v="5"/>
  </r>
  <r>
    <x v="8"/>
    <n v="143480608"/>
    <n v="3"/>
  </r>
  <r>
    <x v="8"/>
    <n v="143480609"/>
    <n v="1"/>
  </r>
  <r>
    <x v="7"/>
    <n v="143480616"/>
    <n v="1"/>
  </r>
  <r>
    <x v="8"/>
    <n v="143480620"/>
    <n v="1"/>
  </r>
  <r>
    <x v="8"/>
    <n v="143480621"/>
    <n v="2"/>
  </r>
  <r>
    <x v="8"/>
    <n v="143480645"/>
    <n v="2"/>
  </r>
  <r>
    <x v="8"/>
    <n v="143480649"/>
    <n v="2"/>
  </r>
  <r>
    <x v="8"/>
    <n v="143480651"/>
    <n v="2"/>
  </r>
  <r>
    <x v="8"/>
    <n v="143480653"/>
    <n v="1"/>
  </r>
  <r>
    <x v="8"/>
    <n v="143480655"/>
    <n v="1"/>
  </r>
  <r>
    <x v="8"/>
    <n v="143490660"/>
    <n v="3"/>
  </r>
  <r>
    <x v="8"/>
    <n v="143490662"/>
    <n v="1"/>
  </r>
  <r>
    <x v="8"/>
    <n v="143490682"/>
    <n v="1"/>
  </r>
  <r>
    <x v="7"/>
    <n v="143490683"/>
    <n v="2"/>
  </r>
  <r>
    <x v="7"/>
    <n v="143490693"/>
    <n v="1"/>
  </r>
  <r>
    <x v="7"/>
    <n v="143490694"/>
    <n v="2"/>
  </r>
  <r>
    <x v="8"/>
    <n v="143490711"/>
    <n v="3"/>
  </r>
  <r>
    <x v="7"/>
    <n v="143490732"/>
    <n v="1"/>
  </r>
  <r>
    <x v="8"/>
    <n v="143490736"/>
    <n v="5"/>
  </r>
  <r>
    <x v="8"/>
    <n v="143490737"/>
    <n v="4"/>
  </r>
  <r>
    <x v="8"/>
    <n v="143490747"/>
    <n v="1"/>
  </r>
  <r>
    <x v="7"/>
    <n v="143490761"/>
    <n v="1"/>
  </r>
  <r>
    <x v="7"/>
    <n v="143490763"/>
    <n v="1"/>
  </r>
  <r>
    <x v="7"/>
    <n v="143490765"/>
    <n v="3"/>
  </r>
  <r>
    <x v="7"/>
    <n v="143490767"/>
    <n v="1"/>
  </r>
  <r>
    <x v="7"/>
    <n v="143490772"/>
    <n v="2"/>
  </r>
  <r>
    <x v="8"/>
    <n v="143490786"/>
    <n v="2"/>
  </r>
  <r>
    <x v="8"/>
    <n v="143490787"/>
    <n v="3"/>
  </r>
  <r>
    <x v="8"/>
    <n v="143490790"/>
    <n v="1"/>
  </r>
  <r>
    <x v="8"/>
    <n v="143490803"/>
    <n v="1"/>
  </r>
  <r>
    <x v="8"/>
    <n v="143490804"/>
    <n v="4"/>
  </r>
  <r>
    <x v="7"/>
    <n v="143490806"/>
    <n v="3"/>
  </r>
  <r>
    <x v="7"/>
    <n v="143490807"/>
    <n v="3"/>
  </r>
  <r>
    <x v="7"/>
    <n v="143490813"/>
    <n v="1"/>
  </r>
  <r>
    <x v="8"/>
    <n v="143490814"/>
    <n v="1"/>
  </r>
  <r>
    <x v="7"/>
    <n v="143490821"/>
    <n v="2"/>
  </r>
  <r>
    <x v="8"/>
    <n v="143490829"/>
    <n v="1"/>
  </r>
  <r>
    <x v="8"/>
    <n v="143490830"/>
    <n v="2"/>
  </r>
  <r>
    <x v="7"/>
    <n v="143490837"/>
    <n v="1"/>
  </r>
  <r>
    <x v="8"/>
    <n v="143500850"/>
    <n v="1"/>
  </r>
  <r>
    <x v="8"/>
    <n v="143500851"/>
    <n v="1"/>
  </r>
  <r>
    <x v="8"/>
    <n v="143500860"/>
    <n v="3"/>
  </r>
  <r>
    <x v="7"/>
    <n v="143500865"/>
    <n v="2"/>
  </r>
  <r>
    <x v="7"/>
    <n v="143500866"/>
    <n v="2"/>
  </r>
  <r>
    <x v="7"/>
    <n v="143500873"/>
    <n v="2"/>
  </r>
  <r>
    <x v="7"/>
    <n v="143500874"/>
    <n v="3"/>
  </r>
  <r>
    <x v="7"/>
    <n v="143500876"/>
    <n v="3"/>
  </r>
  <r>
    <x v="8"/>
    <n v="143500892"/>
    <n v="2"/>
  </r>
  <r>
    <x v="8"/>
    <n v="143500931"/>
    <n v="4"/>
  </r>
  <r>
    <x v="8"/>
    <n v="143500936"/>
    <n v="1"/>
  </r>
  <r>
    <x v="8"/>
    <n v="143500942"/>
    <n v="1"/>
  </r>
  <r>
    <x v="8"/>
    <n v="143500943"/>
    <n v="1"/>
  </r>
  <r>
    <x v="7"/>
    <n v="143500947"/>
    <n v="2"/>
  </r>
  <r>
    <x v="8"/>
    <n v="143500967"/>
    <n v="2"/>
  </r>
  <r>
    <x v="8"/>
    <n v="143500969"/>
    <n v="3"/>
  </r>
  <r>
    <x v="8"/>
    <n v="143500973"/>
    <n v="1"/>
  </r>
  <r>
    <x v="7"/>
    <n v="143500984"/>
    <n v="1"/>
  </r>
  <r>
    <x v="7"/>
    <n v="143500987"/>
    <n v="1"/>
  </r>
  <r>
    <x v="7"/>
    <n v="143500988"/>
    <n v="3"/>
  </r>
  <r>
    <x v="8"/>
    <n v="143501007"/>
    <n v="3"/>
  </r>
  <r>
    <x v="8"/>
    <n v="143501008"/>
    <n v="1"/>
  </r>
  <r>
    <x v="8"/>
    <n v="143501009"/>
    <n v="5"/>
  </r>
  <r>
    <x v="7"/>
    <n v="143501014"/>
    <n v="1"/>
  </r>
  <r>
    <x v="8"/>
    <n v="143501015"/>
    <n v="1"/>
  </r>
  <r>
    <x v="8"/>
    <n v="143501016"/>
    <n v="1"/>
  </r>
  <r>
    <x v="7"/>
    <n v="143501018"/>
    <n v="4"/>
  </r>
  <r>
    <x v="8"/>
    <n v="143511044"/>
    <n v="1"/>
  </r>
  <r>
    <x v="8"/>
    <n v="143511045"/>
    <n v="2"/>
  </r>
  <r>
    <x v="7"/>
    <n v="143511052"/>
    <n v="2"/>
  </r>
  <r>
    <x v="7"/>
    <n v="143511064"/>
    <n v="1"/>
  </r>
  <r>
    <x v="7"/>
    <n v="143511068"/>
    <n v="3"/>
  </r>
  <r>
    <x v="7"/>
    <n v="143511070"/>
    <n v="1"/>
  </r>
  <r>
    <x v="7"/>
    <n v="143511082"/>
    <n v="4"/>
  </r>
  <r>
    <x v="7"/>
    <n v="143511083"/>
    <n v="2"/>
  </r>
  <r>
    <x v="7"/>
    <n v="143511097"/>
    <n v="6"/>
  </r>
  <r>
    <x v="7"/>
    <n v="143511101"/>
    <n v="2"/>
  </r>
  <r>
    <x v="7"/>
    <n v="143511102"/>
    <n v="2"/>
  </r>
  <r>
    <x v="7"/>
    <n v="143511120"/>
    <n v="4"/>
  </r>
  <r>
    <x v="7"/>
    <n v="143511121"/>
    <n v="3"/>
  </r>
  <r>
    <x v="7"/>
    <n v="143511127"/>
    <n v="1"/>
  </r>
  <r>
    <x v="7"/>
    <n v="143511129"/>
    <n v="1"/>
  </r>
  <r>
    <x v="7"/>
    <n v="143511148"/>
    <n v="2"/>
  </r>
  <r>
    <x v="7"/>
    <n v="143511149"/>
    <n v="2"/>
  </r>
  <r>
    <x v="7"/>
    <n v="143511152"/>
    <n v="1"/>
  </r>
  <r>
    <x v="7"/>
    <n v="143511168"/>
    <n v="4"/>
  </r>
  <r>
    <x v="7"/>
    <n v="143511173"/>
    <n v="1"/>
  </r>
  <r>
    <x v="7"/>
    <n v="143511174"/>
    <n v="1"/>
  </r>
  <r>
    <x v="7"/>
    <n v="143511175"/>
    <n v="3"/>
  </r>
  <r>
    <x v="7"/>
    <n v="143511188"/>
    <n v="2"/>
  </r>
  <r>
    <x v="7"/>
    <n v="143511189"/>
    <n v="3"/>
  </r>
  <r>
    <x v="7"/>
    <n v="143511194"/>
    <n v="2"/>
  </r>
  <r>
    <x v="7"/>
    <n v="143511201"/>
    <n v="2"/>
  </r>
  <r>
    <x v="7"/>
    <n v="143511209"/>
    <n v="1"/>
  </r>
  <r>
    <x v="7"/>
    <n v="143521222"/>
    <n v="5"/>
  </r>
  <r>
    <x v="7"/>
    <n v="143521224"/>
    <n v="4"/>
  </r>
  <r>
    <x v="7"/>
    <n v="143521231"/>
    <n v="1"/>
  </r>
  <r>
    <x v="7"/>
    <n v="143521245"/>
    <n v="3"/>
  </r>
  <r>
    <x v="7"/>
    <n v="143521272"/>
    <n v="2"/>
  </r>
  <r>
    <x v="7"/>
    <n v="143521274"/>
    <n v="2"/>
  </r>
  <r>
    <x v="7"/>
    <n v="143521285"/>
    <n v="1"/>
  </r>
  <r>
    <x v="7"/>
    <n v="143521289"/>
    <n v="1"/>
  </r>
  <r>
    <x v="7"/>
    <n v="143521300"/>
    <n v="2"/>
  </r>
  <r>
    <x v="7"/>
    <n v="143521302"/>
    <n v="1"/>
  </r>
  <r>
    <x v="7"/>
    <n v="143521324"/>
    <n v="4"/>
  </r>
  <r>
    <x v="7"/>
    <n v="143521325"/>
    <n v="2"/>
  </r>
  <r>
    <x v="7"/>
    <n v="143521342"/>
    <n v="3"/>
  </r>
  <r>
    <x v="7"/>
    <n v="143531365"/>
    <n v="2"/>
  </r>
  <r>
    <x v="7"/>
    <n v="143531366"/>
    <n v="2"/>
  </r>
  <r>
    <x v="7"/>
    <n v="143531382"/>
    <n v="1"/>
  </r>
  <r>
    <x v="7"/>
    <n v="143531393"/>
    <n v="1"/>
  </r>
  <r>
    <x v="7"/>
    <n v="143531423"/>
    <n v="1"/>
  </r>
  <r>
    <x v="7"/>
    <n v="143531425"/>
    <n v="4"/>
  </r>
  <r>
    <x v="7"/>
    <n v="143531430"/>
    <n v="1"/>
  </r>
  <r>
    <x v="7"/>
    <n v="143531432"/>
    <n v="1"/>
  </r>
  <r>
    <x v="7"/>
    <n v="143531433"/>
    <n v="1"/>
  </r>
  <r>
    <x v="7"/>
    <n v="143531435"/>
    <n v="1"/>
  </r>
  <r>
    <x v="7"/>
    <n v="143531453"/>
    <n v="4"/>
  </r>
  <r>
    <x v="7"/>
    <n v="143531454"/>
    <n v="4"/>
  </r>
  <r>
    <x v="7"/>
    <n v="143531458"/>
    <n v="1"/>
  </r>
  <r>
    <x v="7"/>
    <n v="143531460"/>
    <n v="1"/>
  </r>
  <r>
    <x v="7"/>
    <n v="143541475"/>
    <n v="4"/>
  </r>
  <r>
    <x v="7"/>
    <n v="143541477"/>
    <n v="2"/>
  </r>
  <r>
    <x v="7"/>
    <n v="143541486"/>
    <n v="5"/>
  </r>
  <r>
    <x v="7"/>
    <n v="143541505"/>
    <n v="5"/>
  </r>
  <r>
    <x v="7"/>
    <n v="143541506"/>
    <n v="2"/>
  </r>
  <r>
    <x v="7"/>
    <n v="143541532"/>
    <n v="1"/>
  </r>
  <r>
    <x v="7"/>
    <n v="143541535"/>
    <n v="3"/>
  </r>
  <r>
    <x v="7"/>
    <n v="143541537"/>
    <n v="1"/>
  </r>
  <r>
    <x v="7"/>
    <n v="143541542"/>
    <n v="1"/>
  </r>
  <r>
    <x v="7"/>
    <n v="143541565"/>
    <n v="1"/>
  </r>
  <r>
    <x v="7"/>
    <n v="143541566"/>
    <n v="2"/>
  </r>
  <r>
    <x v="7"/>
    <n v="143541573"/>
    <n v="3"/>
  </r>
  <r>
    <x v="7"/>
    <n v="143541581"/>
    <n v="1"/>
  </r>
  <r>
    <x v="7"/>
    <n v="143541594"/>
    <n v="1"/>
  </r>
  <r>
    <x v="7"/>
    <n v="143541595"/>
    <n v="2"/>
  </r>
  <r>
    <x v="7"/>
    <n v="143541596"/>
    <n v="3"/>
  </r>
  <r>
    <x v="7"/>
    <n v="143541616"/>
    <n v="1"/>
  </r>
  <r>
    <x v="9"/>
    <m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x v="0"/>
    <n v="5540246170256"/>
    <n v="1594"/>
    <n v="10713.902400000001"/>
    <n v="6.7213942283563366"/>
    <n v="8357"/>
    <x v="0"/>
    <n v="1"/>
  </r>
  <r>
    <x v="0"/>
    <n v="5540246171759"/>
    <n v="2423"/>
    <n v="13304.736000000001"/>
    <n v="5.49101774659513"/>
    <n v="5049"/>
    <x v="1"/>
    <n v="1"/>
  </r>
  <r>
    <x v="0"/>
    <n v="5540246171796"/>
    <n v="0"/>
    <n v="0"/>
    <s v=""/>
    <n v="1323"/>
    <x v="2"/>
    <n v="0"/>
  </r>
  <r>
    <x v="0"/>
    <n v="5540246171888"/>
    <n v="-21"/>
    <n v="-351.86400000000003"/>
    <n v="16.755428571428574"/>
    <n v="1673"/>
    <x v="0"/>
    <n v="0"/>
  </r>
  <r>
    <x v="0"/>
    <n v="5540246171933"/>
    <n v="836"/>
    <n v="538.0992"/>
    <n v="0.64365933014354071"/>
    <n v="6738"/>
    <x v="3"/>
    <n v="1"/>
  </r>
  <r>
    <x v="0"/>
    <n v="5540246172539"/>
    <n v="28"/>
    <n v="579.35520000000008"/>
    <n v="20.691257142857147"/>
    <n v="89"/>
    <x v="3"/>
    <n v="1"/>
  </r>
  <r>
    <x v="0"/>
    <n v="5540246172669"/>
    <n v="168"/>
    <n v="2273.0976000000001"/>
    <n v="13.530342857142857"/>
    <n v="1170"/>
    <x v="3"/>
    <n v="1"/>
  </r>
  <r>
    <x v="0"/>
    <n v="5540246172978"/>
    <n v="752"/>
    <n v="606.05280000000005"/>
    <n v="0.80592127659574475"/>
    <n v="8854"/>
    <x v="3"/>
    <n v="1"/>
  </r>
  <r>
    <x v="0"/>
    <n v="5540246173472"/>
    <n v="0"/>
    <n v="0"/>
    <s v=""/>
    <n v="543"/>
    <x v="3"/>
    <n v="0"/>
  </r>
  <r>
    <x v="0"/>
    <n v="5540246173492"/>
    <n v="989"/>
    <n v="15396.134400000001"/>
    <n v="15.567375530839232"/>
    <n v="993"/>
    <x v="4"/>
    <n v="1"/>
  </r>
  <r>
    <x v="0"/>
    <n v="5540246173685"/>
    <n v="107"/>
    <n v="2694.6432"/>
    <n v="25.183581308411213"/>
    <n v="260"/>
    <x v="5"/>
    <n v="1"/>
  </r>
  <r>
    <x v="0"/>
    <n v="5540246173686"/>
    <n v="875"/>
    <n v="22084.358400000001"/>
    <n v="25.239266742857144"/>
    <n v="314"/>
    <x v="5"/>
    <n v="1"/>
  </r>
  <r>
    <x v="0"/>
    <n v="5540246173906"/>
    <n v="1300"/>
    <n v="24143.616000000002"/>
    <n v="18.572012307692308"/>
    <n v="1448"/>
    <x v="4"/>
    <n v="1"/>
  </r>
  <r>
    <x v="0"/>
    <n v="5540246174095"/>
    <n v="14"/>
    <n v="434.41920000000005"/>
    <n v="31.02994285714286"/>
    <n v="105"/>
    <x v="3"/>
    <n v="1"/>
  </r>
  <r>
    <x v="0"/>
    <n v="5540246174174"/>
    <n v="26"/>
    <n v="339.55200000000002"/>
    <n v="13.059692307692309"/>
    <n v="708"/>
    <x v="3"/>
    <n v="1"/>
  </r>
  <r>
    <x v="0"/>
    <n v="5540246175047"/>
    <n v="0"/>
    <n v="0"/>
    <s v=""/>
    <n v="710"/>
    <x v="3"/>
    <n v="0"/>
  </r>
  <r>
    <x v="0"/>
    <n v="5540246175049"/>
    <n v="502"/>
    <n v="5216.1408000000001"/>
    <n v="10.390718725099601"/>
    <n v="1643"/>
    <x v="3"/>
    <n v="1"/>
  </r>
  <r>
    <x v="0"/>
    <n v="5540246175050"/>
    <n v="195"/>
    <n v="2257.1136000000001"/>
    <n v="11.574941538461539"/>
    <n v="2409"/>
    <x v="3"/>
    <n v="1"/>
  </r>
  <r>
    <x v="0"/>
    <n v="5540246175372"/>
    <n v="627"/>
    <n v="2449.44"/>
    <n v="3.9066028708133973"/>
    <n v="696"/>
    <x v="0"/>
    <n v="1"/>
  </r>
  <r>
    <x v="0"/>
    <n v="5540246175461"/>
    <n v="0"/>
    <n v="0"/>
    <s v=""/>
    <n v="0"/>
    <x v="1"/>
    <n v="0"/>
  </r>
  <r>
    <x v="0"/>
    <n v="5540246176294"/>
    <n v="4975"/>
    <n v="4584.7296000000006"/>
    <n v="0.92155368844221119"/>
    <n v="22755"/>
    <x v="3"/>
    <n v="1"/>
  </r>
  <r>
    <x v="0"/>
    <n v="5540246176295"/>
    <n v="0"/>
    <n v="0"/>
    <s v=""/>
    <n v="75104"/>
    <x v="3"/>
    <n v="0"/>
  </r>
  <r>
    <x v="0"/>
    <n v="5540246176699"/>
    <n v="0"/>
    <n v="0"/>
    <s v=""/>
    <n v="7308"/>
    <x v="3"/>
    <n v="0"/>
  </r>
  <r>
    <x v="0"/>
    <n v="5540246177132"/>
    <n v="7935"/>
    <n v="4584.7295999999997"/>
    <n v="0.57778570888468805"/>
    <n v="48999"/>
    <x v="1"/>
    <n v="1"/>
  </r>
  <r>
    <x v="0"/>
    <n v="5540246177133"/>
    <n v="9849"/>
    <n v="35759.880000000005"/>
    <n v="3.6308132805360955"/>
    <n v="23386"/>
    <x v="1"/>
    <n v="1"/>
  </r>
  <r>
    <x v="0"/>
    <n v="5540246177376"/>
    <n v="592"/>
    <n v="23353.920000000002"/>
    <n v="39.449189189189191"/>
    <n v="601"/>
    <x v="0"/>
    <n v="1"/>
  </r>
  <r>
    <x v="0"/>
    <n v="5540246180522"/>
    <n v="1177"/>
    <n v="20588.256000000001"/>
    <n v="17.492146134239594"/>
    <n v="1365"/>
    <x v="0"/>
    <n v="1"/>
  </r>
  <r>
    <x v="0"/>
    <n v="5540246181016"/>
    <n v="2228"/>
    <n v="17501.184000000001"/>
    <n v="7.8551095152603239"/>
    <n v="15591"/>
    <x v="4"/>
    <n v="1"/>
  </r>
  <r>
    <x v="0"/>
    <n v="5540246181061"/>
    <n v="27353"/>
    <n v="33259.118399999999"/>
    <n v="1.2159221438233465"/>
    <n v="68696"/>
    <x v="4"/>
    <n v="1"/>
  </r>
  <r>
    <x v="0"/>
    <n v="5540246182684"/>
    <n v="205"/>
    <n v="10245.312"/>
    <n v="49.977131707317071"/>
    <n v="339"/>
    <x v="0"/>
    <n v="1"/>
  </r>
  <r>
    <x v="0"/>
    <n v="5540246183130"/>
    <n v="5304"/>
    <n v="22456.915199999999"/>
    <n v="4.2339583710407238"/>
    <n v="7392"/>
    <x v="1"/>
    <n v="1"/>
  </r>
  <r>
    <x v="0"/>
    <n v="5540246183455"/>
    <n v="1346"/>
    <n v="22456.915199999999"/>
    <n v="16.68418662704309"/>
    <n v="998"/>
    <x v="1"/>
    <n v="1"/>
  </r>
  <r>
    <x v="0"/>
    <n v="5540246183537"/>
    <n v="1931"/>
    <n v="2713.6512000000002"/>
    <n v="1.4053087519419991"/>
    <n v="3286"/>
    <x v="1"/>
    <n v="1"/>
  </r>
  <r>
    <x v="0"/>
    <n v="5540246183538"/>
    <n v="1615"/>
    <n v="2119.7376000000004"/>
    <n v="1.3125310216718269"/>
    <n v="2525"/>
    <x v="1"/>
    <n v="1"/>
  </r>
  <r>
    <x v="0"/>
    <n v="5540246183541"/>
    <n v="488"/>
    <n v="4390.848"/>
    <n v="8.9976393442622946"/>
    <n v="348"/>
    <x v="1"/>
    <n v="1"/>
  </r>
  <r>
    <x v="0"/>
    <n v="5540246183542"/>
    <n v="766"/>
    <n v="2152.6560000000004"/>
    <n v="2.8102558746736297"/>
    <n v="766"/>
    <x v="1"/>
    <n v="1"/>
  </r>
  <r>
    <x v="0"/>
    <n v="5540246183547"/>
    <n v="9895"/>
    <n v="101704.89600000001"/>
    <n v="10.278412935826175"/>
    <n v="11902"/>
    <x v="4"/>
    <n v="1"/>
  </r>
  <r>
    <x v="0"/>
    <n v="5540246183552"/>
    <n v="968"/>
    <n v="1783.4256"/>
    <n v="1.8423818181818181"/>
    <n v="260"/>
    <x v="1"/>
    <n v="1"/>
  </r>
  <r>
    <x v="0"/>
    <n v="5540246183554"/>
    <n v="864"/>
    <n v="6498.8783999999996"/>
    <n v="7.5218499999999997"/>
    <n v="154"/>
    <x v="1"/>
    <n v="1"/>
  </r>
  <r>
    <x v="0"/>
    <n v="5540246183555"/>
    <n v="1337"/>
    <n v="1786.6224000000002"/>
    <n v="1.3362919970082274"/>
    <n v="669"/>
    <x v="1"/>
    <n v="1"/>
  </r>
  <r>
    <x v="0"/>
    <n v="5540246183556"/>
    <n v="1977"/>
    <n v="14832.979200000002"/>
    <n v="7.5027714719271632"/>
    <n v="1323"/>
    <x v="1"/>
    <n v="1"/>
  </r>
  <r>
    <x v="0"/>
    <n v="5540246183558"/>
    <n v="2947"/>
    <n v="16239.744000000001"/>
    <n v="5.5106019681031562"/>
    <n v="4594"/>
    <x v="1"/>
    <n v="1"/>
  </r>
  <r>
    <x v="0"/>
    <n v="5540246183560"/>
    <n v="344"/>
    <n v="8375.616"/>
    <n v="24.347720930232558"/>
    <n v="149"/>
    <x v="1"/>
    <n v="1"/>
  </r>
  <r>
    <x v="0"/>
    <n v="5540246183562"/>
    <n v="0"/>
    <n v="0"/>
    <s v=""/>
    <n v="4594"/>
    <x v="1"/>
    <n v="0"/>
  </r>
  <r>
    <x v="0"/>
    <n v="5540246183587"/>
    <n v="1413"/>
    <n v="29752.617600000001"/>
    <n v="21.056346496815287"/>
    <n v="696"/>
    <x v="1"/>
    <n v="1"/>
  </r>
  <r>
    <x v="0"/>
    <n v="5540246183589"/>
    <n v="917"/>
    <n v="12081.312"/>
    <n v="13.174822246455834"/>
    <n v="1914"/>
    <x v="1"/>
    <n v="1"/>
  </r>
  <r>
    <x v="0"/>
    <n v="5540246183590"/>
    <n v="2499"/>
    <n v="34662.167999999998"/>
    <n v="13.870415366146458"/>
    <n v="0"/>
    <x v="1"/>
    <n v="1"/>
  </r>
  <r>
    <x v="0"/>
    <n v="5540246183844"/>
    <n v="142"/>
    <n v="4084.5600000000004"/>
    <n v="28.764507042253523"/>
    <n v="232"/>
    <x v="0"/>
    <n v="1"/>
  </r>
  <r>
    <x v="0"/>
    <n v="5540246184036"/>
    <n v="158"/>
    <n v="2702.5920000000001"/>
    <n v="17.105012658227849"/>
    <n v="205"/>
    <x v="0"/>
    <n v="1"/>
  </r>
  <r>
    <x v="0"/>
    <n v="5540246184617"/>
    <n v="32629"/>
    <n v="46174.924800000001"/>
    <n v="1.4151498605534953"/>
    <n v="56664"/>
    <x v="1"/>
    <n v="1"/>
  </r>
  <r>
    <x v="0"/>
    <n v="5540246184808"/>
    <n v="0"/>
    <n v="0"/>
    <s v=""/>
    <n v="16287"/>
    <x v="3"/>
    <n v="0"/>
  </r>
  <r>
    <x v="0"/>
    <n v="5540246185278"/>
    <n v="5285"/>
    <n v="5215.7088000000003"/>
    <n v="0.9868890823084201"/>
    <n v="34664"/>
    <x v="4"/>
    <n v="1"/>
  </r>
  <r>
    <x v="0"/>
    <n v="5540246185429"/>
    <n v="168"/>
    <n v="883.35360000000003"/>
    <n v="5.258057142857143"/>
    <n v="529"/>
    <x v="3"/>
    <n v="1"/>
  </r>
  <r>
    <x v="0"/>
    <n v="5540246185562"/>
    <n v="488"/>
    <n v="1415.2320000000002"/>
    <n v="2.9000655737704921"/>
    <n v="195"/>
    <x v="3"/>
    <n v="1"/>
  </r>
  <r>
    <x v="0"/>
    <n v="5540246185627"/>
    <n v="7"/>
    <n v="4027.9680000000003"/>
    <n v="575.42400000000009"/>
    <n v="0"/>
    <x v="5"/>
    <n v="1"/>
  </r>
  <r>
    <x v="0"/>
    <n v="5540246186010"/>
    <n v="63"/>
    <n v="9227.3904000000002"/>
    <n v="146.46651428571428"/>
    <n v="14"/>
    <x v="5"/>
    <n v="1"/>
  </r>
  <r>
    <x v="0"/>
    <n v="5540246186011"/>
    <n v="96"/>
    <n v="5416.3296"/>
    <n v="56.420099999999998"/>
    <n v="28"/>
    <x v="5"/>
    <n v="1"/>
  </r>
  <r>
    <x v="0"/>
    <n v="5540246186017"/>
    <n v="28"/>
    <n v="2947.6224000000002"/>
    <n v="105.27222857142858"/>
    <n v="7"/>
    <x v="5"/>
    <n v="1"/>
  </r>
  <r>
    <x v="0"/>
    <n v="5540246186325"/>
    <n v="418"/>
    <n v="1026.432"/>
    <n v="2.4555789473684211"/>
    <n v="613"/>
    <x v="3"/>
    <n v="1"/>
  </r>
  <r>
    <x v="0"/>
    <n v="5540246186351"/>
    <n v="453"/>
    <n v="26813.592000000004"/>
    <n v="59.191152317880807"/>
    <n v="759"/>
    <x v="1"/>
    <n v="1"/>
  </r>
  <r>
    <x v="0"/>
    <n v="5540246186352"/>
    <n v="870"/>
    <n v="9153"/>
    <n v="10.520689655172413"/>
    <n v="3434"/>
    <x v="1"/>
    <n v="1"/>
  </r>
  <r>
    <x v="0"/>
    <n v="5540246187882"/>
    <n v="96"/>
    <n v="3649.0176000000001"/>
    <n v="38.010600000000004"/>
    <n v="7"/>
    <x v="5"/>
    <n v="1"/>
  </r>
  <r>
    <x v="0"/>
    <n v="5540246187940"/>
    <n v="418"/>
    <n v="3576.96"/>
    <n v="8.557320574162679"/>
    <n v="10"/>
    <x v="1"/>
    <n v="1"/>
  </r>
  <r>
    <x v="0"/>
    <n v="5540246187987"/>
    <n v="1671"/>
    <n v="821.14560000000006"/>
    <n v="0.49140969479353686"/>
    <n v="38475"/>
    <x v="3"/>
    <n v="1"/>
  </r>
  <r>
    <x v="0"/>
    <n v="5540246187995"/>
    <n v="0"/>
    <n v="0"/>
    <s v=""/>
    <n v="386"/>
    <x v="5"/>
    <n v="0"/>
  </r>
  <r>
    <x v="0"/>
    <n v="5540246187996"/>
    <n v="0"/>
    <n v="0"/>
    <s v=""/>
    <n v="0"/>
    <x v="5"/>
    <n v="0"/>
  </r>
  <r>
    <x v="0"/>
    <n v="5540246187997"/>
    <n v="0"/>
    <n v="0"/>
    <s v=""/>
    <n v="12"/>
    <x v="5"/>
    <n v="0"/>
  </r>
  <r>
    <x v="0"/>
    <n v="5540246187998"/>
    <n v="0"/>
    <n v="0"/>
    <s v=""/>
    <n v="374"/>
    <x v="5"/>
    <n v="0"/>
  </r>
  <r>
    <x v="0"/>
    <n v="5540246188047"/>
    <n v="154"/>
    <n v="18652.550400000004"/>
    <n v="121.12045714285716"/>
    <n v="35"/>
    <x v="5"/>
    <n v="1"/>
  </r>
  <r>
    <x v="0"/>
    <n v="5540246188175"/>
    <n v="0"/>
    <n v="0"/>
    <s v=""/>
    <n v="288"/>
    <x v="3"/>
    <n v="0"/>
  </r>
  <r>
    <x v="0"/>
    <n v="5540246188200"/>
    <n v="0"/>
    <n v="0"/>
    <s v=""/>
    <n v="12733"/>
    <x v="3"/>
    <n v="0"/>
  </r>
  <r>
    <x v="0"/>
    <n v="5540246188224"/>
    <n v="5568"/>
    <n v="6531.84"/>
    <n v="1.173103448275862"/>
    <n v="12876"/>
    <x v="4"/>
    <n v="1"/>
  </r>
  <r>
    <x v="0"/>
    <n v="5540246188512"/>
    <n v="179"/>
    <n v="24488.9568"/>
    <n v="136.80981452513967"/>
    <n v="28"/>
    <x v="5"/>
    <n v="1"/>
  </r>
  <r>
    <x v="0"/>
    <n v="5540246188583"/>
    <n v="4594"/>
    <n v="16448.572800000002"/>
    <n v="3.5804468437091863"/>
    <n v="8464"/>
    <x v="0"/>
    <n v="1"/>
  </r>
  <r>
    <x v="0"/>
    <n v="5540246188647"/>
    <n v="1798"/>
    <n v="26616.600000000002"/>
    <n v="14.80344827586207"/>
    <n v="0"/>
    <x v="1"/>
    <n v="1"/>
  </r>
  <r>
    <x v="0"/>
    <n v="5540246190092"/>
    <n v="96"/>
    <n v="13163.5584"/>
    <n v="137.12039999999999"/>
    <n v="47"/>
    <x v="5"/>
    <n v="1"/>
  </r>
  <r>
    <x v="0"/>
    <n v="5540246190097"/>
    <n v="4880"/>
    <n v="120385.00800000002"/>
    <n v="24.669059016393447"/>
    <n v="8234"/>
    <x v="4"/>
    <n v="1"/>
  </r>
  <r>
    <x v="0"/>
    <n v="5540246190727"/>
    <n v="383"/>
    <n v="4326.0048000000006"/>
    <n v="11.295051697127938"/>
    <n v="557"/>
    <x v="0"/>
    <n v="1"/>
  </r>
  <r>
    <x v="0"/>
    <n v="5540246190743"/>
    <n v="140"/>
    <n v="1181.9520000000002"/>
    <n v="8.442514285714287"/>
    <n v="808"/>
    <x v="3"/>
    <n v="1"/>
  </r>
  <r>
    <x v="0"/>
    <n v="5540246190831"/>
    <n v="2019"/>
    <n v="15187.694400000002"/>
    <n v="7.5223845468053501"/>
    <n v="720"/>
    <x v="1"/>
    <n v="1"/>
  </r>
  <r>
    <x v="0"/>
    <n v="5540246190835"/>
    <n v="114"/>
    <n v="24029.9136"/>
    <n v="210.78871578947368"/>
    <n v="52"/>
    <x v="0"/>
    <n v="1"/>
  </r>
  <r>
    <x v="0"/>
    <n v="5540246191380"/>
    <n v="557"/>
    <n v="2633.4720000000002"/>
    <n v="4.7279569120287253"/>
    <n v="140"/>
    <x v="3"/>
    <n v="1"/>
  </r>
  <r>
    <x v="0"/>
    <n v="5540246191394"/>
    <n v="2436"/>
    <n v="13009.248000000001"/>
    <n v="5.3404137931034485"/>
    <n v="0"/>
    <x v="3"/>
    <n v="1"/>
  </r>
  <r>
    <x v="0"/>
    <n v="5540246191594"/>
    <n v="112"/>
    <n v="199.88640000000004"/>
    <n v="1.7847000000000004"/>
    <n v="112"/>
    <x v="3"/>
    <n v="1"/>
  </r>
  <r>
    <x v="0"/>
    <n v="5540246191596"/>
    <n v="161"/>
    <n v="8936.4384000000009"/>
    <n v="55.50582857142858"/>
    <n v="156"/>
    <x v="0"/>
    <n v="1"/>
  </r>
  <r>
    <x v="0"/>
    <n v="5540246191598"/>
    <n v="0"/>
    <n v="0"/>
    <s v=""/>
    <n v="1935"/>
    <x v="3"/>
    <n v="0"/>
  </r>
  <r>
    <x v="0"/>
    <n v="5540246191718"/>
    <n v="1235"/>
    <n v="3658.7808000000005"/>
    <n v="2.9625755465587047"/>
    <n v="488"/>
    <x v="1"/>
    <n v="1"/>
  </r>
  <r>
    <x v="0"/>
    <n v="5540246191736"/>
    <n v="288"/>
    <n v="9304.7616000000016"/>
    <n v="32.308200000000006"/>
    <n v="0"/>
    <x v="3"/>
    <n v="1"/>
  </r>
  <r>
    <x v="0"/>
    <n v="5540246192102"/>
    <n v="7879"/>
    <n v="8626.3919999999998"/>
    <n v="1.0948587384185811"/>
    <n v="6652"/>
    <x v="3"/>
    <n v="1"/>
  </r>
  <r>
    <x v="0"/>
    <n v="5540246192209"/>
    <n v="2478"/>
    <n v="12457.152"/>
    <n v="5.0270992736077478"/>
    <n v="1420"/>
    <x v="1"/>
    <n v="1"/>
  </r>
  <r>
    <x v="0"/>
    <n v="5540246192264"/>
    <n v="149"/>
    <n v="2156.5439999999999"/>
    <n v="14.473449664429529"/>
    <n v="1578"/>
    <x v="3"/>
    <n v="1"/>
  </r>
  <r>
    <x v="0"/>
    <n v="5540246192265"/>
    <n v="706"/>
    <n v="9442.4832000000024"/>
    <n v="13.374622096317283"/>
    <n v="1782"/>
    <x v="3"/>
    <n v="1"/>
  </r>
  <r>
    <x v="0"/>
    <n v="5540246192462"/>
    <n v="1114"/>
    <n v="7153.92"/>
    <n v="6.4218312387791743"/>
    <n v="669"/>
    <x v="1"/>
    <n v="1"/>
  </r>
  <r>
    <x v="0"/>
    <n v="5540246192505"/>
    <n v="0"/>
    <n v="0"/>
    <s v=""/>
    <n v="0"/>
    <x v="1"/>
    <n v="0"/>
  </r>
  <r>
    <x v="0"/>
    <n v="5540246192518"/>
    <n v="6292"/>
    <n v="40958.567999999999"/>
    <n v="6.5096261919898284"/>
    <n v="7545"/>
    <x v="1"/>
    <n v="1"/>
  </r>
  <r>
    <x v="0"/>
    <n v="5540246192571"/>
    <n v="1003"/>
    <n v="2620.2096000000001"/>
    <n v="2.6123724825523431"/>
    <n v="209"/>
    <x v="1"/>
    <n v="1"/>
  </r>
  <r>
    <x v="0"/>
    <n v="5540246192594"/>
    <n v="706"/>
    <n v="4662.1440000000002"/>
    <n v="6.6036033994334282"/>
    <n v="195"/>
    <x v="1"/>
    <n v="1"/>
  </r>
  <r>
    <x v="0"/>
    <n v="5540246192824"/>
    <n v="919"/>
    <n v="4947.3936000000003"/>
    <n v="5.3834533188248104"/>
    <n v="669"/>
    <x v="1"/>
    <n v="1"/>
  </r>
  <r>
    <x v="0"/>
    <n v="5540246192831"/>
    <n v="780"/>
    <n v="6909.2352000000001"/>
    <n v="8.8579938461538461"/>
    <n v="455"/>
    <x v="1"/>
    <n v="1"/>
  </r>
  <r>
    <x v="0"/>
    <n v="5540246192836"/>
    <n v="84"/>
    <n v="11558.2464"/>
    <n v="137.59817142857142"/>
    <n v="0"/>
    <x v="5"/>
    <n v="1"/>
  </r>
  <r>
    <x v="0"/>
    <n v="5540246192907"/>
    <n v="2200"/>
    <n v="61737.552000000003"/>
    <n v="28.062523636363636"/>
    <n v="2005"/>
    <x v="4"/>
    <n v="1"/>
  </r>
  <r>
    <x v="0"/>
    <n v="5540246193249"/>
    <n v="1244"/>
    <n v="54530.495999999999"/>
    <n v="43.8348038585209"/>
    <n v="956"/>
    <x v="5"/>
    <n v="1"/>
  </r>
  <r>
    <x v="0"/>
    <n v="5540246193316"/>
    <n v="358"/>
    <n v="10817.452800000001"/>
    <n v="30.216348603351957"/>
    <n v="98"/>
    <x v="0"/>
    <n v="1"/>
  </r>
  <r>
    <x v="0"/>
    <n v="5540246193409"/>
    <n v="116"/>
    <n v="5961.6"/>
    <n v="51.393103448275866"/>
    <n v="21"/>
    <x v="0"/>
    <n v="1"/>
  </r>
  <r>
    <x v="0"/>
    <n v="5540246193505"/>
    <n v="0"/>
    <n v="0"/>
    <s v=""/>
    <n v="52432"/>
    <x v="0"/>
    <n v="0"/>
  </r>
  <r>
    <x v="0"/>
    <n v="5540246193566"/>
    <n v="14292"/>
    <n v="127733.76000000001"/>
    <n v="8.9374307304785905"/>
    <n v="4443"/>
    <x v="4"/>
    <n v="1"/>
  </r>
  <r>
    <x v="0"/>
    <n v="5540246193999"/>
    <n v="0"/>
    <n v="0"/>
    <s v=""/>
    <n v="0"/>
    <x v="1"/>
    <n v="0"/>
  </r>
  <r>
    <x v="1"/>
    <n v="5540246170256"/>
    <n v="2759"/>
    <n v="18542.692800000001"/>
    <n v="6.7208020297209137"/>
    <n v="10721"/>
    <x v="0"/>
    <n v="1"/>
  </r>
  <r>
    <x v="1"/>
    <n v="5540246171759"/>
    <n v="2887"/>
    <n v="15853.536000000002"/>
    <n v="5.4913529615517849"/>
    <n v="5151"/>
    <x v="1"/>
    <n v="1"/>
  </r>
  <r>
    <x v="1"/>
    <n v="5540246171796"/>
    <n v="1351"/>
    <n v="10243.022400000002"/>
    <n v="7.5818078460399718"/>
    <n v="1351"/>
    <x v="3"/>
    <n v="1"/>
  </r>
  <r>
    <x v="1"/>
    <n v="5540246171888"/>
    <n v="1457"/>
    <n v="24552.288"/>
    <n v="16.851261496225121"/>
    <n v="2733"/>
    <x v="0"/>
    <n v="1"/>
  </r>
  <r>
    <x v="1"/>
    <n v="5540246171933"/>
    <n v="1114"/>
    <n v="717.46560000000011"/>
    <n v="0.64404452423698388"/>
    <n v="9403"/>
    <x v="3"/>
    <n v="1"/>
  </r>
  <r>
    <x v="1"/>
    <n v="5540246172539"/>
    <n v="56"/>
    <n v="1158.7104000000002"/>
    <n v="20.691257142857147"/>
    <n v="116"/>
    <x v="3"/>
    <n v="1"/>
  </r>
  <r>
    <x v="1"/>
    <n v="5540246172669"/>
    <n v="738"/>
    <n v="10039.420800000002"/>
    <n v="13.603551219512198"/>
    <n v="989"/>
    <x v="3"/>
    <n v="1"/>
  </r>
  <r>
    <x v="1"/>
    <n v="5540246172978"/>
    <n v="0"/>
    <n v="0"/>
    <s v=""/>
    <n v="13531"/>
    <x v="3"/>
    <n v="0"/>
  </r>
  <r>
    <x v="1"/>
    <n v="5540246173472"/>
    <n v="321"/>
    <n v="7392.3840000000009"/>
    <n v="23.029233644859815"/>
    <n v="808"/>
    <x v="3"/>
    <n v="1"/>
  </r>
  <r>
    <x v="1"/>
    <n v="5540246173685"/>
    <n v="738"/>
    <n v="18628.185600000001"/>
    <n v="25.241443902439027"/>
    <n v="372"/>
    <x v="5"/>
    <n v="1"/>
  </r>
  <r>
    <x v="1"/>
    <n v="5540246173686"/>
    <n v="560"/>
    <n v="14117.587200000002"/>
    <n v="25.209977142857145"/>
    <n v="430"/>
    <x v="5"/>
    <n v="1"/>
  </r>
  <r>
    <x v="1"/>
    <n v="5540246173906"/>
    <n v="669"/>
    <n v="12416.7168"/>
    <n v="18.560114798206278"/>
    <n v="2413"/>
    <x v="4"/>
    <n v="1"/>
  </r>
  <r>
    <x v="1"/>
    <n v="5540246174095"/>
    <n v="56"/>
    <n v="1737.6768000000002"/>
    <n v="31.02994285714286"/>
    <n v="174"/>
    <x v="3"/>
    <n v="1"/>
  </r>
  <r>
    <x v="1"/>
    <n v="5540246174174"/>
    <n v="154"/>
    <n v="2037.1824000000001"/>
    <n v="13.228457142857144"/>
    <n v="766"/>
    <x v="3"/>
    <n v="1"/>
  </r>
  <r>
    <x v="1"/>
    <n v="5540246175047"/>
    <n v="404"/>
    <n v="4277.0591999999997"/>
    <n v="10.586780198019801"/>
    <n v="543"/>
    <x v="3"/>
    <n v="1"/>
  </r>
  <r>
    <x v="1"/>
    <n v="5540246175049"/>
    <n v="613"/>
    <n v="6375.2832000000008"/>
    <n v="10.400135725938011"/>
    <n v="2757"/>
    <x v="3"/>
    <n v="1"/>
  </r>
  <r>
    <x v="1"/>
    <n v="5540246175050"/>
    <n v="571"/>
    <n v="6610.1184000000003"/>
    <n v="11.576389492119089"/>
    <n v="2993"/>
    <x v="3"/>
    <n v="1"/>
  </r>
  <r>
    <x v="1"/>
    <n v="5540246175372"/>
    <n v="3272"/>
    <n v="12791.52"/>
    <n v="3.909388753056235"/>
    <n v="383"/>
    <x v="0"/>
    <n v="1"/>
  </r>
  <r>
    <x v="1"/>
    <n v="5540246175461"/>
    <n v="6014"/>
    <n v="55427.328000000001"/>
    <n v="9.2163831060858001"/>
    <n v="0"/>
    <x v="1"/>
    <n v="1"/>
  </r>
  <r>
    <x v="1"/>
    <n v="5540246176294"/>
    <n v="2636"/>
    <n v="2429.2224000000006"/>
    <n v="0.92155629742033407"/>
    <n v="27618"/>
    <x v="3"/>
    <n v="1"/>
  </r>
  <r>
    <x v="1"/>
    <n v="5540246176295"/>
    <n v="3564"/>
    <n v="3284.5824000000002"/>
    <n v="0.92160000000000009"/>
    <n v="127805"/>
    <x v="3"/>
    <n v="1"/>
  </r>
  <r>
    <x v="1"/>
    <n v="5540246176699"/>
    <n v="-836"/>
    <n v="-373.24800000000005"/>
    <n v="0.44646889952153118"/>
    <n v="47816"/>
    <x v="3"/>
    <n v="0"/>
  </r>
  <r>
    <x v="1"/>
    <n v="5540246177132"/>
    <n v="9512"/>
    <n v="34892.639999999999"/>
    <n v="3.6682758620689655"/>
    <n v="66816"/>
    <x v="1"/>
    <n v="1"/>
  </r>
  <r>
    <x v="1"/>
    <n v="5540246177133"/>
    <n v="14825"/>
    <n v="53829.36"/>
    <n v="3.6309854974704892"/>
    <n v="29279"/>
    <x v="1"/>
    <n v="1"/>
  </r>
  <r>
    <x v="1"/>
    <n v="5540246177376"/>
    <n v="1235"/>
    <n v="48722.688000000002"/>
    <n v="39.451569230769231"/>
    <n v="1005"/>
    <x v="0"/>
    <n v="1"/>
  </r>
  <r>
    <x v="1"/>
    <n v="5540246180522"/>
    <n v="1126"/>
    <n v="19694.88"/>
    <n v="17.491012433392541"/>
    <n v="1747"/>
    <x v="0"/>
    <n v="1"/>
  </r>
  <r>
    <x v="1"/>
    <n v="5540246181016"/>
    <n v="8018"/>
    <n v="65407.996800000001"/>
    <n v="8.1576448989773009"/>
    <n v="20129"/>
    <x v="4"/>
    <n v="1"/>
  </r>
  <r>
    <x v="1"/>
    <n v="5540246181061"/>
    <n v="37689"/>
    <n v="45826.516800000005"/>
    <n v="1.2159122502586963"/>
    <n v="84147"/>
    <x v="4"/>
    <n v="1"/>
  </r>
  <r>
    <x v="1"/>
    <n v="5540246182684"/>
    <n v="260"/>
    <n v="13039.488000000001"/>
    <n v="50.151876923076927"/>
    <n v="434"/>
    <x v="0"/>
    <n v="1"/>
  </r>
  <r>
    <x v="1"/>
    <n v="5540246183130"/>
    <n v="6369"/>
    <n v="26966.001600000003"/>
    <n v="4.2339459255770144"/>
    <n v="8018"/>
    <x v="1"/>
    <n v="1"/>
  </r>
  <r>
    <x v="1"/>
    <n v="5540246183455"/>
    <n v="348"/>
    <n v="2734.5600000000004"/>
    <n v="7.8579310344827595"/>
    <n v="673"/>
    <x v="1"/>
    <n v="1"/>
  </r>
  <r>
    <x v="1"/>
    <n v="5540246183537"/>
    <n v="6329"/>
    <n v="8897.6448"/>
    <n v="1.4058531837573076"/>
    <n v="4566"/>
    <x v="1"/>
    <n v="1"/>
  </r>
  <r>
    <x v="1"/>
    <n v="5540246183538"/>
    <n v="2766"/>
    <n v="3630.3552000000004"/>
    <n v="1.3124928416485901"/>
    <n v="3137"/>
    <x v="1"/>
    <n v="1"/>
  </r>
  <r>
    <x v="1"/>
    <n v="5540246183541"/>
    <n v="1253"/>
    <n v="11290.752"/>
    <n v="9.0109752593774939"/>
    <n v="1346"/>
    <x v="1"/>
    <n v="1"/>
  </r>
  <r>
    <x v="1"/>
    <n v="5540246183542"/>
    <n v="0"/>
    <n v="0"/>
    <s v=""/>
    <n v="0"/>
    <x v="1"/>
    <n v="0"/>
  </r>
  <r>
    <x v="1"/>
    <n v="5540246183547"/>
    <n v="4234"/>
    <n v="43519.68"/>
    <n v="10.278620689655172"/>
    <n v="19546"/>
    <x v="4"/>
    <n v="1"/>
  </r>
  <r>
    <x v="1"/>
    <n v="5540246183552"/>
    <n v="708"/>
    <n v="1304.424"/>
    <n v="1.8424067796610168"/>
    <n v="168"/>
    <x v="1"/>
    <n v="1"/>
  </r>
  <r>
    <x v="1"/>
    <n v="5540246183554"/>
    <n v="1601"/>
    <n v="12030.508800000001"/>
    <n v="7.5143715178013748"/>
    <n v="56"/>
    <x v="1"/>
    <n v="1"/>
  </r>
  <r>
    <x v="1"/>
    <n v="5540246183555"/>
    <n v="2840"/>
    <n v="3796.5456000000004"/>
    <n v="1.3368118309859156"/>
    <n v="947"/>
    <x v="1"/>
    <n v="1"/>
  </r>
  <r>
    <x v="1"/>
    <n v="5540246183556"/>
    <n v="2436"/>
    <n v="18280.080000000002"/>
    <n v="7.5041379310344833"/>
    <n v="1518"/>
    <x v="1"/>
    <n v="1"/>
  </r>
  <r>
    <x v="1"/>
    <n v="5540246183558"/>
    <n v="2251"/>
    <n v="12403.584000000001"/>
    <n v="5.5102549977787652"/>
    <n v="4780"/>
    <x v="1"/>
    <n v="1"/>
  </r>
  <r>
    <x v="1"/>
    <n v="5540246183560"/>
    <n v="418"/>
    <n v="10186.560000000001"/>
    <n v="24.369760765550243"/>
    <n v="335"/>
    <x v="1"/>
    <n v="1"/>
  </r>
  <r>
    <x v="1"/>
    <n v="5540246183562"/>
    <n v="604"/>
    <n v="1943.1360000000002"/>
    <n v="3.2171125827814571"/>
    <n v="5893"/>
    <x v="1"/>
    <n v="1"/>
  </r>
  <r>
    <x v="1"/>
    <n v="5540246183587"/>
    <n v="717"/>
    <n v="15096.153600000001"/>
    <n v="21.054607531380753"/>
    <n v="703"/>
    <x v="1"/>
    <n v="1"/>
  </r>
  <r>
    <x v="1"/>
    <n v="5540246183589"/>
    <n v="1601"/>
    <n v="21104.064000000002"/>
    <n v="13.181801374141163"/>
    <n v="2228"/>
    <x v="1"/>
    <n v="1"/>
  </r>
  <r>
    <x v="1"/>
    <n v="5540246183590"/>
    <n v="2499"/>
    <n v="34662.167999999998"/>
    <n v="13.870415366146458"/>
    <n v="181"/>
    <x v="1"/>
    <n v="1"/>
  </r>
  <r>
    <x v="1"/>
    <n v="5540246183844"/>
    <n v="216"/>
    <n v="6227.2800000000007"/>
    <n v="28.830000000000002"/>
    <n v="316"/>
    <x v="0"/>
    <n v="1"/>
  </r>
  <r>
    <x v="1"/>
    <n v="5540246184036"/>
    <n v="214"/>
    <n v="3656.4480000000003"/>
    <n v="17.086205607476636"/>
    <n v="230"/>
    <x v="0"/>
    <n v="1"/>
  </r>
  <r>
    <x v="1"/>
    <n v="5540246184617"/>
    <n v="61211"/>
    <n v="86623.948800000013"/>
    <n v="1.4151696394438911"/>
    <n v="49036"/>
    <x v="1"/>
    <n v="1"/>
  </r>
  <r>
    <x v="1"/>
    <n v="5540246185278"/>
    <n v="30311"/>
    <n v="29913.624"/>
    <n v="0.98689003991950119"/>
    <n v="53316"/>
    <x v="4"/>
    <n v="1"/>
  </r>
  <r>
    <x v="1"/>
    <n v="5540246185429"/>
    <n v="126"/>
    <n v="662.51520000000005"/>
    <n v="5.258057142857143"/>
    <n v="613"/>
    <x v="3"/>
    <n v="1"/>
  </r>
  <r>
    <x v="1"/>
    <n v="5540246185562"/>
    <n v="293"/>
    <n v="849.13920000000007"/>
    <n v="2.8980860068259386"/>
    <n v="321"/>
    <x v="3"/>
    <n v="1"/>
  </r>
  <r>
    <x v="1"/>
    <n v="5540246185627"/>
    <n v="5"/>
    <n v="2685.3120000000004"/>
    <n v="537.06240000000003"/>
    <n v="0"/>
    <x v="5"/>
    <n v="1"/>
  </r>
  <r>
    <x v="1"/>
    <n v="5540246186010"/>
    <n v="49"/>
    <n v="7176.8591999999999"/>
    <n v="146.46651428571428"/>
    <n v="12"/>
    <x v="5"/>
    <n v="1"/>
  </r>
  <r>
    <x v="1"/>
    <n v="5540246186011"/>
    <n v="114"/>
    <n v="6473.1744000000008"/>
    <n v="56.782231578947375"/>
    <n v="10"/>
    <x v="5"/>
    <n v="1"/>
  </r>
  <r>
    <x v="1"/>
    <n v="5540246186017"/>
    <n v="21"/>
    <n v="2210.7168000000001"/>
    <n v="105.27222857142858"/>
    <n v="7"/>
    <x v="5"/>
    <n v="1"/>
  </r>
  <r>
    <x v="1"/>
    <n v="5540246186325"/>
    <n v="362"/>
    <n v="889.57439999999997"/>
    <n v="2.4573878453038671"/>
    <n v="794"/>
    <x v="3"/>
    <n v="1"/>
  </r>
  <r>
    <x v="1"/>
    <n v="5540246186351"/>
    <n v="1386"/>
    <n v="82090.843200000003"/>
    <n v="59.228602597402599"/>
    <n v="773"/>
    <x v="1"/>
    <n v="1"/>
  </r>
  <r>
    <x v="1"/>
    <n v="5540246186352"/>
    <n v="1195"/>
    <n v="12570.12"/>
    <n v="10.518928870292887"/>
    <n v="4675"/>
    <x v="1"/>
    <n v="1"/>
  </r>
  <r>
    <x v="1"/>
    <n v="5540246187882"/>
    <n v="89"/>
    <n v="3382.0416"/>
    <n v="38.000467415730334"/>
    <n v="19"/>
    <x v="5"/>
    <n v="1"/>
  </r>
  <r>
    <x v="1"/>
    <n v="5540246187940"/>
    <n v="409"/>
    <n v="3497.4720000000002"/>
    <n v="8.5512762836185825"/>
    <n v="0"/>
    <x v="1"/>
    <n v="1"/>
  </r>
  <r>
    <x v="1"/>
    <n v="5540246187987"/>
    <n v="2729"/>
    <n v="1341.1872000000001"/>
    <n v="0.49145738365701724"/>
    <n v="59355"/>
    <x v="3"/>
    <n v="1"/>
  </r>
  <r>
    <x v="1"/>
    <n v="5540246187995"/>
    <n v="1933"/>
    <n v="169528.16159999999"/>
    <n v="87.702101189860315"/>
    <n v="996"/>
    <x v="5"/>
    <n v="1"/>
  </r>
  <r>
    <x v="1"/>
    <n v="5540246187996"/>
    <n v="348"/>
    <n v="16089.840000000002"/>
    <n v="46.235172413793109"/>
    <n v="14"/>
    <x v="5"/>
    <n v="1"/>
  </r>
  <r>
    <x v="1"/>
    <n v="5540246187997"/>
    <n v="337"/>
    <n v="16806.312000000002"/>
    <n v="49.870362017804162"/>
    <n v="84"/>
    <x v="5"/>
    <n v="1"/>
  </r>
  <r>
    <x v="1"/>
    <n v="5540246187998"/>
    <n v="1031"/>
    <n v="52958.188800000004"/>
    <n v="51.365847526673136"/>
    <n v="555"/>
    <x v="5"/>
    <n v="1"/>
  </r>
  <r>
    <x v="1"/>
    <n v="5540246188047"/>
    <n v="358"/>
    <n v="43522.617600000005"/>
    <n v="121.57155754189945"/>
    <n v="45"/>
    <x v="5"/>
    <n v="1"/>
  </r>
  <r>
    <x v="1"/>
    <n v="5540246188175"/>
    <n v="103"/>
    <n v="2913.9264000000003"/>
    <n v="28.290547572815537"/>
    <n v="455"/>
    <x v="3"/>
    <n v="1"/>
  </r>
  <r>
    <x v="1"/>
    <n v="5540246188200"/>
    <n v="780"/>
    <n v="1437.0047999999999"/>
    <n v="1.842313846153846"/>
    <n v="15289"/>
    <x v="3"/>
    <n v="1"/>
  </r>
  <r>
    <x v="1"/>
    <n v="5540246188224"/>
    <n v="14616"/>
    <n v="17146.080000000002"/>
    <n v="1.1731034482758622"/>
    <n v="19720"/>
    <x v="4"/>
    <n v="1"/>
  </r>
  <r>
    <x v="1"/>
    <n v="5540246188512"/>
    <n v="151"/>
    <n v="20672.496000000003"/>
    <n v="136.90394701986756"/>
    <n v="33"/>
    <x v="5"/>
    <n v="1"/>
  </r>
  <r>
    <x v="1"/>
    <n v="5540246188583"/>
    <n v="4483"/>
    <n v="16049.836800000001"/>
    <n v="3.5801554316306046"/>
    <n v="11220"/>
    <x v="0"/>
    <n v="1"/>
  </r>
  <r>
    <x v="1"/>
    <n v="5540246188647"/>
    <n v="1798"/>
    <n v="26616.600000000002"/>
    <n v="14.80344827586207"/>
    <n v="0"/>
    <x v="1"/>
    <n v="1"/>
  </r>
  <r>
    <x v="1"/>
    <n v="5540246190092"/>
    <n v="49"/>
    <n v="6742.3104000000003"/>
    <n v="137.59817142857145"/>
    <n v="49"/>
    <x v="5"/>
    <n v="1"/>
  </r>
  <r>
    <x v="1"/>
    <n v="5540246190097"/>
    <n v="3104"/>
    <n v="77433.753599999996"/>
    <n v="24.946441237113401"/>
    <n v="12982"/>
    <x v="4"/>
    <n v="1"/>
  </r>
  <r>
    <x v="1"/>
    <n v="5540246190727"/>
    <n v="2332"/>
    <n v="26349.192000000003"/>
    <n v="11.298967409948544"/>
    <n v="696"/>
    <x v="0"/>
    <n v="1"/>
  </r>
  <r>
    <x v="1"/>
    <n v="5540246190743"/>
    <n v="279"/>
    <n v="2363.9040000000005"/>
    <n v="8.4727741935483891"/>
    <n v="669"/>
    <x v="3"/>
    <n v="1"/>
  </r>
  <r>
    <x v="1"/>
    <n v="5540246190831"/>
    <n v="1300"/>
    <n v="9775.9872000000014"/>
    <n v="7.5199901538461553"/>
    <n v="0"/>
    <x v="1"/>
    <n v="1"/>
  </r>
  <r>
    <x v="1"/>
    <n v="5540246190835"/>
    <n v="156"/>
    <n v="32857.228800000004"/>
    <n v="210.62326153846158"/>
    <n v="21"/>
    <x v="0"/>
    <n v="1"/>
  </r>
  <r>
    <x v="1"/>
    <n v="5540246191380"/>
    <n v="418"/>
    <n v="1975.104"/>
    <n v="4.7251291866028708"/>
    <n v="0"/>
    <x v="3"/>
    <n v="1"/>
  </r>
  <r>
    <x v="1"/>
    <n v="5540246191394"/>
    <n v="2436"/>
    <n v="13009.248000000001"/>
    <n v="5.3404137931034485"/>
    <n v="0"/>
    <x v="3"/>
    <n v="1"/>
  </r>
  <r>
    <x v="1"/>
    <n v="5540246191596"/>
    <n v="79"/>
    <n v="4403.4624000000003"/>
    <n v="55.740030379746841"/>
    <n v="179"/>
    <x v="0"/>
    <n v="1"/>
  </r>
  <r>
    <x v="1"/>
    <n v="5540246191718"/>
    <n v="748"/>
    <n v="2214.5184000000004"/>
    <n v="2.960586096256685"/>
    <n v="325"/>
    <x v="1"/>
    <n v="1"/>
  </r>
  <r>
    <x v="1"/>
    <n v="5540246191736"/>
    <n v="288"/>
    <n v="9304.7616000000016"/>
    <n v="32.308200000000006"/>
    <n v="70"/>
    <x v="3"/>
    <n v="1"/>
  </r>
  <r>
    <x v="1"/>
    <n v="5540246192102"/>
    <n v="5086"/>
    <n v="5568.0480000000007"/>
    <n v="1.0947793944160442"/>
    <n v="9125"/>
    <x v="3"/>
    <n v="1"/>
  </r>
  <r>
    <x v="1"/>
    <n v="5540246192209"/>
    <n v="3286"/>
    <n v="16516.224000000002"/>
    <n v="5.0262398052343285"/>
    <n v="3202"/>
    <x v="1"/>
    <n v="1"/>
  </r>
  <r>
    <x v="1"/>
    <n v="5540246192264"/>
    <n v="1058"/>
    <n v="15365.376000000002"/>
    <n v="14.523039697542535"/>
    <n v="1838"/>
    <x v="3"/>
    <n v="1"/>
  </r>
  <r>
    <x v="1"/>
    <n v="5540246192265"/>
    <n v="0"/>
    <n v="0"/>
    <s v=""/>
    <n v="1207"/>
    <x v="3"/>
    <n v="0"/>
  </r>
  <r>
    <x v="1"/>
    <n v="5540246192462"/>
    <n v="1337"/>
    <n v="9176.9328000000005"/>
    <n v="6.863824083769634"/>
    <n v="650"/>
    <x v="1"/>
    <n v="1"/>
  </r>
  <r>
    <x v="1"/>
    <n v="5540246192505"/>
    <n v="18375"/>
    <n v="26002.944"/>
    <n v="1.4151262040816326"/>
    <n v="2079"/>
    <x v="1"/>
    <n v="1"/>
  </r>
  <r>
    <x v="1"/>
    <n v="5540246192518"/>
    <n v="6933"/>
    <n v="45798.134400000003"/>
    <n v="6.6058177412375603"/>
    <n v="11025"/>
    <x v="1"/>
    <n v="1"/>
  </r>
  <r>
    <x v="1"/>
    <n v="5540246192571"/>
    <n v="794"/>
    <n v="2074.3344000000002"/>
    <n v="2.6125118387909323"/>
    <n v="376"/>
    <x v="1"/>
    <n v="1"/>
  </r>
  <r>
    <x v="1"/>
    <n v="5540246192594"/>
    <n v="808"/>
    <n v="5336.9280000000008"/>
    <n v="6.6051089108910901"/>
    <n v="195"/>
    <x v="1"/>
    <n v="1"/>
  </r>
  <r>
    <x v="1"/>
    <n v="5540246192824"/>
    <n v="251"/>
    <n v="1349.3088"/>
    <n v="5.3757322709163349"/>
    <n v="251"/>
    <x v="1"/>
    <n v="1"/>
  </r>
  <r>
    <x v="1"/>
    <n v="5540246192831"/>
    <n v="845"/>
    <n v="7485.0048000000006"/>
    <n v="8.8579938461538461"/>
    <n v="520"/>
    <x v="1"/>
    <n v="1"/>
  </r>
  <r>
    <x v="1"/>
    <n v="5540246192836"/>
    <n v="84"/>
    <n v="11558.2464"/>
    <n v="137.59817142857142"/>
    <n v="0"/>
    <x v="5"/>
    <n v="1"/>
  </r>
  <r>
    <x v="1"/>
    <n v="5540246192907"/>
    <n v="2423"/>
    <n v="67989.456000000006"/>
    <n v="28.060031366075115"/>
    <n v="1912"/>
    <x v="4"/>
    <n v="1"/>
  </r>
  <r>
    <x v="1"/>
    <n v="5540246193249"/>
    <n v="235"/>
    <n v="10275.336000000001"/>
    <n v="43.724834042553198"/>
    <n v="235"/>
    <x v="5"/>
    <n v="1"/>
  </r>
  <r>
    <x v="1"/>
    <n v="5540246193316"/>
    <n v="260"/>
    <n v="7867.2384000000002"/>
    <n v="30.258609230769231"/>
    <n v="256"/>
    <x v="0"/>
    <n v="1"/>
  </r>
  <r>
    <x v="1"/>
    <n v="5540246193409"/>
    <n v="96"/>
    <n v="4888.5119999999997"/>
    <n v="50.921999999999997"/>
    <n v="38"/>
    <x v="0"/>
    <n v="1"/>
  </r>
  <r>
    <x v="1"/>
    <n v="5540246193505"/>
    <n v="15869"/>
    <n v="12765.081600000001"/>
    <n v="0.80440365492469601"/>
    <n v="67188"/>
    <x v="0"/>
    <n v="1"/>
  </r>
  <r>
    <x v="1"/>
    <n v="5540246193566"/>
    <n v="9849"/>
    <n v="88024.320000000007"/>
    <n v="8.9373865367042349"/>
    <n v="9756"/>
    <x v="4"/>
    <n v="1"/>
  </r>
  <r>
    <x v="1"/>
    <n v="5540246193878"/>
    <n v="0"/>
    <n v="0"/>
    <s v=""/>
    <n v="0"/>
    <x v="4"/>
    <n v="0"/>
  </r>
  <r>
    <x v="1"/>
    <n v="5540246193999"/>
    <n v="9338"/>
    <n v="46652.025600000001"/>
    <n v="4.9959333476119081"/>
    <n v="8236"/>
    <x v="1"/>
    <n v="1"/>
  </r>
  <r>
    <x v="2"/>
    <n v="5540246170256"/>
    <n v="808"/>
    <n v="5427.1296000000002"/>
    <n v="6.7167445544554454"/>
    <n v="5214"/>
    <x v="0"/>
    <n v="1"/>
  </r>
  <r>
    <x v="2"/>
    <n v="5540246171759"/>
    <n v="4251"/>
    <n v="23347.008000000002"/>
    <n v="5.4921213832039522"/>
    <n v="2812"/>
    <x v="1"/>
    <n v="1"/>
  </r>
  <r>
    <x v="2"/>
    <n v="5540246171888"/>
    <n v="1216"/>
    <n v="20486.304"/>
    <n v="16.84728947368421"/>
    <n v="1200"/>
    <x v="0"/>
    <n v="1"/>
  </r>
  <r>
    <x v="2"/>
    <n v="5540246171933"/>
    <n v="446"/>
    <n v="286.97760000000005"/>
    <n v="0.64344753363228713"/>
    <n v="5513"/>
    <x v="3"/>
    <n v="1"/>
  </r>
  <r>
    <x v="2"/>
    <n v="5540246172539"/>
    <n v="40"/>
    <n v="820.75680000000011"/>
    <n v="20.518920000000001"/>
    <n v="33"/>
    <x v="3"/>
    <n v="1"/>
  </r>
  <r>
    <x v="2"/>
    <n v="5540246172669"/>
    <n v="168"/>
    <n v="2273.0976000000001"/>
    <n v="13.530342857142857"/>
    <n v="808"/>
    <x v="3"/>
    <n v="1"/>
  </r>
  <r>
    <x v="2"/>
    <n v="5540246172978"/>
    <n v="84"/>
    <n v="67.348799999999997"/>
    <n v="0.80177142857142858"/>
    <n v="11693"/>
    <x v="3"/>
    <n v="1"/>
  </r>
  <r>
    <x v="2"/>
    <n v="5540246173472"/>
    <n v="432"/>
    <n v="9963.648000000001"/>
    <n v="23.064000000000004"/>
    <n v="432"/>
    <x v="3"/>
    <n v="1"/>
  </r>
  <r>
    <x v="2"/>
    <n v="5540246173685"/>
    <n v="365"/>
    <n v="9196.9344000000001"/>
    <n v="25.197080547945205"/>
    <n v="177"/>
    <x v="5"/>
    <n v="1"/>
  </r>
  <r>
    <x v="2"/>
    <n v="5540246173686"/>
    <n v="404"/>
    <n v="10192.7808"/>
    <n v="25.229655445544555"/>
    <n v="207"/>
    <x v="5"/>
    <n v="1"/>
  </r>
  <r>
    <x v="2"/>
    <n v="5540246173906"/>
    <n v="1453"/>
    <n v="26989.113600000001"/>
    <n v="18.574751273227804"/>
    <n v="706"/>
    <x v="4"/>
    <n v="1"/>
  </r>
  <r>
    <x v="2"/>
    <n v="5540246174095"/>
    <n v="21"/>
    <n v="651.62880000000007"/>
    <n v="31.02994285714286"/>
    <n v="84"/>
    <x v="3"/>
    <n v="1"/>
  </r>
  <r>
    <x v="2"/>
    <n v="5540246174174"/>
    <n v="38"/>
    <n v="493.86239999999998"/>
    <n v="12.99637894736842"/>
    <n v="708"/>
    <x v="3"/>
    <n v="1"/>
  </r>
  <r>
    <x v="2"/>
    <n v="5540246175047"/>
    <n v="0"/>
    <n v="0"/>
    <s v=""/>
    <n v="724"/>
    <x v="3"/>
    <n v="0"/>
  </r>
  <r>
    <x v="2"/>
    <n v="5540246175049"/>
    <n v="98"/>
    <n v="1014.2496000000001"/>
    <n v="10.349485714285715"/>
    <n v="1963"/>
    <x v="3"/>
    <n v="1"/>
  </r>
  <r>
    <x v="2"/>
    <n v="5540246175050"/>
    <n v="348"/>
    <n v="4030.5600000000004"/>
    <n v="11.582068965517243"/>
    <n v="1880"/>
    <x v="3"/>
    <n v="1"/>
  </r>
  <r>
    <x v="2"/>
    <n v="5540246175372"/>
    <n v="2889"/>
    <n v="11294.640000000001"/>
    <n v="3.9095327102803741"/>
    <n v="174"/>
    <x v="0"/>
    <n v="1"/>
  </r>
  <r>
    <x v="2"/>
    <n v="5540246175461"/>
    <n v="6014"/>
    <n v="55427.328000000001"/>
    <n v="9.2163831060858001"/>
    <n v="502"/>
    <x v="1"/>
    <n v="1"/>
  </r>
  <r>
    <x v="2"/>
    <n v="5540246176294"/>
    <n v="75"/>
    <n v="68.42880000000001"/>
    <n v="0.91238400000000008"/>
    <n v="9615"/>
    <x v="3"/>
    <n v="1"/>
  </r>
  <r>
    <x v="2"/>
    <n v="5540246176295"/>
    <n v="3675"/>
    <n v="3387.2256000000002"/>
    <n v="0.92169404081632655"/>
    <n v="44359"/>
    <x v="3"/>
    <n v="1"/>
  </r>
  <r>
    <x v="2"/>
    <n v="5540246176699"/>
    <n v="0"/>
    <n v="0"/>
    <s v=""/>
    <n v="35288"/>
    <x v="3"/>
    <n v="0"/>
  </r>
  <r>
    <x v="2"/>
    <n v="5540246177132"/>
    <n v="9976"/>
    <n v="36594.720000000001"/>
    <n v="3.6682758620689655"/>
    <n v="17168"/>
    <x v="1"/>
    <n v="1"/>
  </r>
  <r>
    <x v="2"/>
    <n v="5540246177133"/>
    <n v="12273"/>
    <n v="44562.960000000006"/>
    <n v="3.6309753116597414"/>
    <n v="13433"/>
    <x v="1"/>
    <n v="1"/>
  </r>
  <r>
    <x v="2"/>
    <n v="5540246177376"/>
    <n v="230"/>
    <n v="9066.8160000000007"/>
    <n v="39.420939130434789"/>
    <n v="683"/>
    <x v="0"/>
    <n v="1"/>
  </r>
  <r>
    <x v="2"/>
    <n v="5540246180522"/>
    <n v="548"/>
    <n v="9583.4880000000012"/>
    <n v="17.488116788321172"/>
    <n v="1193"/>
    <x v="0"/>
    <n v="1"/>
  </r>
  <r>
    <x v="2"/>
    <n v="5540246181016"/>
    <n v="15507"/>
    <n v="126731.86560000002"/>
    <n v="8.1725585606500299"/>
    <n v="9772"/>
    <x v="4"/>
    <n v="1"/>
  </r>
  <r>
    <x v="2"/>
    <n v="5540246181061"/>
    <n v="32469"/>
    <n v="39479.356800000001"/>
    <n v="1.2159092303427885"/>
    <n v="46354"/>
    <x v="4"/>
    <n v="1"/>
  </r>
  <r>
    <x v="2"/>
    <n v="5540246182684"/>
    <n v="140"/>
    <n v="6985.4400000000005"/>
    <n v="49.896000000000001"/>
    <n v="161"/>
    <x v="0"/>
    <n v="1"/>
  </r>
  <r>
    <x v="2"/>
    <n v="5540246183130"/>
    <n v="5241"/>
    <n v="22191.710400000004"/>
    <n v="4.2342511734401835"/>
    <n v="5367"/>
    <x v="1"/>
    <n v="1"/>
  </r>
  <r>
    <x v="2"/>
    <n v="5540246183455"/>
    <n v="1764"/>
    <n v="13855.103999999999"/>
    <n v="7.8543673469387754"/>
    <n v="279"/>
    <x v="1"/>
    <n v="1"/>
  </r>
  <r>
    <x v="2"/>
    <n v="5540246183537"/>
    <n v="1782"/>
    <n v="2504.9088000000002"/>
    <n v="1.4056727272727274"/>
    <n v="2822"/>
    <x v="1"/>
    <n v="1"/>
  </r>
  <r>
    <x v="2"/>
    <n v="5540246183538"/>
    <n v="3286"/>
    <n v="4312.5695999999998"/>
    <n v="1.3124070602556299"/>
    <n v="2413"/>
    <x v="1"/>
    <n v="1"/>
  </r>
  <r>
    <x v="2"/>
    <n v="5540246183541"/>
    <n v="1996"/>
    <n v="17981.567999999999"/>
    <n v="9.0088016032064129"/>
    <n v="511"/>
    <x v="1"/>
    <n v="1"/>
  </r>
  <r>
    <x v="2"/>
    <n v="5540246183542"/>
    <n v="1253"/>
    <n v="3522.5280000000002"/>
    <n v="2.8112753391859537"/>
    <n v="0"/>
    <x v="1"/>
    <n v="1"/>
  </r>
  <r>
    <x v="2"/>
    <n v="5540246183547"/>
    <n v="12505"/>
    <n v="128532.09600000001"/>
    <n v="10.278456297481007"/>
    <n v="7390"/>
    <x v="4"/>
    <n v="1"/>
  </r>
  <r>
    <x v="2"/>
    <n v="5540246183552"/>
    <n v="541"/>
    <n v="996.49440000000004"/>
    <n v="1.8419489833641405"/>
    <n v="297"/>
    <x v="1"/>
    <n v="1"/>
  </r>
  <r>
    <x v="2"/>
    <n v="5540246183554"/>
    <n v="1546"/>
    <n v="11612.073600000002"/>
    <n v="7.511043725743856"/>
    <n v="0"/>
    <x v="1"/>
    <n v="1"/>
  </r>
  <r>
    <x v="2"/>
    <n v="5540246183555"/>
    <n v="1894"/>
    <n v="2531.0448000000001"/>
    <n v="1.3363488912354806"/>
    <n v="743"/>
    <x v="1"/>
    <n v="1"/>
  </r>
  <r>
    <x v="2"/>
    <n v="5540246183556"/>
    <n v="919"/>
    <n v="6894.2016000000012"/>
    <n v="7.5018515778019603"/>
    <n v="919"/>
    <x v="1"/>
    <n v="1"/>
  </r>
  <r>
    <x v="2"/>
    <n v="5540246183558"/>
    <n v="5267"/>
    <n v="29026.944"/>
    <n v="5.5110962597303965"/>
    <n v="3364"/>
    <x v="1"/>
    <n v="1"/>
  </r>
  <r>
    <x v="2"/>
    <n v="5540246183560"/>
    <n v="307"/>
    <n v="7470.1440000000011"/>
    <n v="24.332716612377855"/>
    <n v="93"/>
    <x v="1"/>
    <n v="1"/>
  </r>
  <r>
    <x v="2"/>
    <n v="5540246183562"/>
    <n v="10023"/>
    <n v="32285.952000000005"/>
    <n v="3.2211864711164329"/>
    <n v="4084"/>
    <x v="1"/>
    <n v="1"/>
  </r>
  <r>
    <x v="2"/>
    <n v="5540246183587"/>
    <n v="516"/>
    <n v="10846.742400000001"/>
    <n v="21.020818604651165"/>
    <n v="578"/>
    <x v="1"/>
    <n v="1"/>
  </r>
  <r>
    <x v="2"/>
    <n v="5540246183589"/>
    <n v="2622"/>
    <n v="34561.728000000003"/>
    <n v="13.181437070938216"/>
    <n v="1056"/>
    <x v="1"/>
    <n v="1"/>
  </r>
  <r>
    <x v="2"/>
    <n v="5540246183590"/>
    <n v="2318"/>
    <n v="32151.816000000003"/>
    <n v="13.870498705780847"/>
    <n v="0"/>
    <x v="1"/>
    <n v="1"/>
  </r>
  <r>
    <x v="2"/>
    <n v="5540246183844"/>
    <n v="226"/>
    <n v="6495.1200000000008"/>
    <n v="28.739469026548676"/>
    <n v="181"/>
    <x v="0"/>
    <n v="1"/>
  </r>
  <r>
    <x v="2"/>
    <n v="5540246184036"/>
    <n v="244"/>
    <n v="4173.12"/>
    <n v="17.102950819672131"/>
    <n v="119"/>
    <x v="0"/>
    <n v="1"/>
  </r>
  <r>
    <x v="2"/>
    <n v="5540246184617"/>
    <n v="12528"/>
    <n v="17729.280000000002"/>
    <n v="1.4151724137931037"/>
    <n v="12621"/>
    <x v="1"/>
    <n v="1"/>
  </r>
  <r>
    <x v="2"/>
    <n v="5540246185278"/>
    <n v="6840"/>
    <n v="6749.7408000000005"/>
    <n v="0.98680421052631584"/>
    <n v="24094"/>
    <x v="4"/>
    <n v="1"/>
  </r>
  <r>
    <x v="2"/>
    <n v="5540246185429"/>
    <n v="70"/>
    <n v="368.06400000000002"/>
    <n v="5.258057142857143"/>
    <n v="397"/>
    <x v="3"/>
    <n v="1"/>
  </r>
  <r>
    <x v="2"/>
    <n v="5540246185562"/>
    <n v="251"/>
    <n v="727.83360000000005"/>
    <n v="2.8997354581673309"/>
    <n v="126"/>
    <x v="3"/>
    <n v="1"/>
  </r>
  <r>
    <x v="2"/>
    <n v="5540246185627"/>
    <n v="5"/>
    <n v="2685.3120000000004"/>
    <n v="537.06240000000003"/>
    <n v="0"/>
    <x v="5"/>
    <n v="1"/>
  </r>
  <r>
    <x v="2"/>
    <n v="5540246186010"/>
    <n v="121"/>
    <n v="17771.270400000001"/>
    <n v="146.87000330578513"/>
    <n v="3"/>
    <x v="5"/>
    <n v="1"/>
  </r>
  <r>
    <x v="2"/>
    <n v="5540246186011"/>
    <n v="110"/>
    <n v="6208.9632000000001"/>
    <n v="56.445120000000003"/>
    <n v="3"/>
    <x v="5"/>
    <n v="1"/>
  </r>
  <r>
    <x v="2"/>
    <n v="5540246186017"/>
    <n v="77"/>
    <n v="8105.9616000000015"/>
    <n v="105.27222857142858"/>
    <n v="3"/>
    <x v="5"/>
    <n v="1"/>
  </r>
  <r>
    <x v="2"/>
    <n v="5540246186325"/>
    <n v="279"/>
    <n v="684.28800000000012"/>
    <n v="2.4526451612903228"/>
    <n v="307"/>
    <x v="3"/>
    <n v="1"/>
  </r>
  <r>
    <x v="2"/>
    <n v="5540246186351"/>
    <n v="1740"/>
    <n v="103129.20000000001"/>
    <n v="59.269655172413799"/>
    <n v="223"/>
    <x v="1"/>
    <n v="1"/>
  </r>
  <r>
    <x v="2"/>
    <n v="5540246186352"/>
    <n v="9675"/>
    <n v="101781.36"/>
    <n v="10.520037209302325"/>
    <n v="1474"/>
    <x v="1"/>
    <n v="1"/>
  </r>
  <r>
    <x v="2"/>
    <n v="5540246187882"/>
    <n v="70"/>
    <n v="2670.0191999999997"/>
    <n v="38.143131428571422"/>
    <n v="3"/>
    <x v="5"/>
    <n v="1"/>
  </r>
  <r>
    <x v="2"/>
    <n v="5540246187987"/>
    <n v="0"/>
    <n v="0"/>
    <s v=""/>
    <n v="21215"/>
    <x v="3"/>
    <n v="0"/>
  </r>
  <r>
    <x v="2"/>
    <n v="5540246187995"/>
    <n v="1866"/>
    <n v="163626.22080000001"/>
    <n v="87.688221221864964"/>
    <n v="418"/>
    <x v="5"/>
    <n v="1"/>
  </r>
  <r>
    <x v="2"/>
    <n v="5540246187996"/>
    <n v="335"/>
    <n v="15446.246400000002"/>
    <n v="46.10819820895523"/>
    <n v="7"/>
    <x v="5"/>
    <n v="1"/>
  </r>
  <r>
    <x v="2"/>
    <n v="5540246187997"/>
    <n v="253"/>
    <n v="12633.7104"/>
    <n v="49.935614229249012"/>
    <n v="38"/>
    <x v="5"/>
    <n v="1"/>
  </r>
  <r>
    <x v="2"/>
    <n v="5540246187998"/>
    <n v="474"/>
    <n v="24332.140800000001"/>
    <n v="51.333630379746836"/>
    <n v="223"/>
    <x v="5"/>
    <n v="1"/>
  </r>
  <r>
    <x v="2"/>
    <n v="5540246188047"/>
    <n v="314"/>
    <n v="38152.944000000003"/>
    <n v="121.50619108280256"/>
    <n v="21"/>
    <x v="5"/>
    <n v="1"/>
  </r>
  <r>
    <x v="2"/>
    <n v="5540246188175"/>
    <n v="84"/>
    <n v="2384.1215999999999"/>
    <n v="28.382400000000001"/>
    <n v="353"/>
    <x v="3"/>
    <n v="1"/>
  </r>
  <r>
    <x v="2"/>
    <n v="5540246188200"/>
    <n v="0"/>
    <n v="0"/>
    <s v=""/>
    <n v="10505"/>
    <x v="3"/>
    <n v="0"/>
  </r>
  <r>
    <x v="2"/>
    <n v="5540246188224"/>
    <n v="19024"/>
    <n v="22317.120000000003"/>
    <n v="1.1731034482758622"/>
    <n v="3944"/>
    <x v="4"/>
    <n v="1"/>
  </r>
  <r>
    <x v="2"/>
    <n v="5540246188512"/>
    <n v="351"/>
    <n v="48023.798400000007"/>
    <n v="136.81993846153847"/>
    <n v="5"/>
    <x v="5"/>
    <n v="1"/>
  </r>
  <r>
    <x v="2"/>
    <n v="5540246188583"/>
    <n v="5513"/>
    <n v="19738.296000000002"/>
    <n v="3.5803185198621446"/>
    <n v="7517"/>
    <x v="0"/>
    <n v="1"/>
  </r>
  <r>
    <x v="2"/>
    <n v="5540246188647"/>
    <n v="1798"/>
    <n v="26616.600000000002"/>
    <n v="14.80344827586207"/>
    <n v="93"/>
    <x v="1"/>
    <n v="1"/>
  </r>
  <r>
    <x v="2"/>
    <n v="5540246190092"/>
    <n v="228"/>
    <n v="31464.1152"/>
    <n v="138.00050526315789"/>
    <n v="31"/>
    <x v="5"/>
    <n v="1"/>
  </r>
  <r>
    <x v="2"/>
    <n v="5540246190097"/>
    <n v="1271"/>
    <n v="31824.489600000001"/>
    <n v="25.038937529504327"/>
    <n v="1256"/>
    <x v="4"/>
    <n v="1"/>
  </r>
  <r>
    <x v="2"/>
    <n v="5540246190727"/>
    <n v="1636"/>
    <n v="18483.768"/>
    <n v="11.298146699266503"/>
    <n v="534"/>
    <x v="0"/>
    <n v="1"/>
  </r>
  <r>
    <x v="2"/>
    <n v="5540246190743"/>
    <n v="195"/>
    <n v="1654.7328000000002"/>
    <n v="8.4858092307692328"/>
    <n v="696"/>
    <x v="3"/>
    <n v="1"/>
  </r>
  <r>
    <x v="2"/>
    <n v="5540246190831"/>
    <n v="1300"/>
    <n v="9775.9872000000014"/>
    <n v="7.5199901538461553"/>
    <n v="0"/>
    <x v="1"/>
    <n v="1"/>
  </r>
  <r>
    <x v="2"/>
    <n v="5540246190835"/>
    <n v="135"/>
    <n v="28443.571200000002"/>
    <n v="210.69312000000002"/>
    <n v="19"/>
    <x v="0"/>
    <n v="1"/>
  </r>
  <r>
    <x v="2"/>
    <n v="5540246191380"/>
    <n v="418"/>
    <n v="1975.104"/>
    <n v="4.7251291866028708"/>
    <n v="0"/>
    <x v="3"/>
    <n v="1"/>
  </r>
  <r>
    <x v="2"/>
    <n v="5540246191394"/>
    <n v="2436"/>
    <n v="13009.248000000001"/>
    <n v="5.3404137931034485"/>
    <n v="464"/>
    <x v="3"/>
    <n v="1"/>
  </r>
  <r>
    <x v="2"/>
    <n v="5540246191596"/>
    <n v="346"/>
    <n v="19297.526400000002"/>
    <n v="55.773197687861277"/>
    <n v="156"/>
    <x v="0"/>
    <n v="1"/>
  </r>
  <r>
    <x v="2"/>
    <n v="5540246191718"/>
    <n v="2761"/>
    <n v="8184.1536000000006"/>
    <n v="2.964199058312206"/>
    <n v="390"/>
    <x v="1"/>
    <n v="1"/>
  </r>
  <r>
    <x v="2"/>
    <n v="5540246191736"/>
    <n v="219"/>
    <n v="7053.6096000000007"/>
    <n v="32.208263013698634"/>
    <n v="174"/>
    <x v="3"/>
    <n v="1"/>
  </r>
  <r>
    <x v="2"/>
    <n v="5540246192102"/>
    <n v="5930"/>
    <n v="6492.6576000000005"/>
    <n v="1.0948832377740305"/>
    <n v="6501"/>
    <x v="3"/>
    <n v="1"/>
  </r>
  <r>
    <x v="2"/>
    <n v="5540246192148"/>
    <n v="0"/>
    <n v="0"/>
    <s v=""/>
    <n v="13920"/>
    <x v="1"/>
    <n v="0"/>
  </r>
  <r>
    <x v="2"/>
    <n v="5540246192209"/>
    <n v="1198"/>
    <n v="6018.6240000000007"/>
    <n v="5.0238931552587651"/>
    <n v="1448"/>
    <x v="1"/>
    <n v="1"/>
  </r>
  <r>
    <x v="2"/>
    <n v="5540246192264"/>
    <n v="854"/>
    <n v="12400.128000000001"/>
    <n v="14.520056206088993"/>
    <n v="1300"/>
    <x v="3"/>
    <n v="1"/>
  </r>
  <r>
    <x v="2"/>
    <n v="5540246192265"/>
    <n v="2376"/>
    <n v="31806.259200000004"/>
    <n v="13.386472727272729"/>
    <n v="873"/>
    <x v="3"/>
    <n v="1"/>
  </r>
  <r>
    <x v="2"/>
    <n v="5540246192462"/>
    <n v="1142"/>
    <n v="7944.9120000000003"/>
    <n v="6.9570157618213662"/>
    <n v="455"/>
    <x v="1"/>
    <n v="1"/>
  </r>
  <r>
    <x v="2"/>
    <n v="5540246192505"/>
    <n v="16259"/>
    <n v="23008.6656"/>
    <n v="1.415134116489329"/>
    <n v="9336"/>
    <x v="1"/>
    <n v="1"/>
  </r>
  <r>
    <x v="2"/>
    <n v="5540246192518"/>
    <n v="3286"/>
    <n v="22804.632000000001"/>
    <n v="6.9399367011564213"/>
    <n v="4130"/>
    <x v="1"/>
    <n v="1"/>
  </r>
  <r>
    <x v="2"/>
    <n v="5540246192571"/>
    <n v="1170"/>
    <n v="4180.3775999999998"/>
    <n v="3.5729723076923077"/>
    <n v="195"/>
    <x v="1"/>
    <n v="1"/>
  </r>
  <r>
    <x v="2"/>
    <n v="5540246192594"/>
    <n v="613"/>
    <n v="4048.7040000000006"/>
    <n v="6.6047373572593813"/>
    <n v="140"/>
    <x v="1"/>
    <n v="1"/>
  </r>
  <r>
    <x v="2"/>
    <n v="5540246192831"/>
    <n v="325"/>
    <n v="2878.848"/>
    <n v="8.8579938461538461"/>
    <n v="121"/>
    <x v="1"/>
    <n v="1"/>
  </r>
  <r>
    <x v="2"/>
    <n v="5540246192836"/>
    <n v="84"/>
    <n v="11558.2464"/>
    <n v="137.59817142857142"/>
    <n v="0"/>
    <x v="5"/>
    <n v="1"/>
  </r>
  <r>
    <x v="2"/>
    <n v="5540246192907"/>
    <n v="1402"/>
    <n v="39334.896000000001"/>
    <n v="28.056273894436519"/>
    <n v="1457"/>
    <x v="4"/>
    <n v="1"/>
  </r>
  <r>
    <x v="2"/>
    <n v="5540246193316"/>
    <n v="228"/>
    <n v="6883.8336000000008"/>
    <n v="30.192252631578953"/>
    <n v="279"/>
    <x v="0"/>
    <n v="1"/>
  </r>
  <r>
    <x v="2"/>
    <n v="5540246193409"/>
    <n v="123"/>
    <n v="6319.2960000000003"/>
    <n v="51.376390243902442"/>
    <n v="10"/>
    <x v="0"/>
    <n v="1"/>
  </r>
  <r>
    <x v="2"/>
    <n v="5540246193505"/>
    <n v="5104"/>
    <n v="4105.7280000000001"/>
    <n v="0.80441379310344829"/>
    <n v="743"/>
    <x v="0"/>
    <n v="1"/>
  </r>
  <r>
    <x v="2"/>
    <n v="5540246193566"/>
    <n v="93"/>
    <n v="829.44"/>
    <n v="8.9187096774193559"/>
    <n v="93"/>
    <x v="4"/>
    <n v="1"/>
  </r>
  <r>
    <x v="2"/>
    <n v="5540246193878"/>
    <n v="22272"/>
    <n v="157593.60000000001"/>
    <n v="7.0758620689655176"/>
    <n v="4803"/>
    <x v="4"/>
    <n v="1"/>
  </r>
  <r>
    <x v="2"/>
    <n v="5540246193999"/>
    <n v="1021"/>
    <n v="5099.8464000000004"/>
    <n v="4.9949523996082279"/>
    <n v="1021"/>
    <x v="1"/>
    <n v="1"/>
  </r>
  <r>
    <x v="2"/>
    <n v="5540246194467"/>
    <n v="0"/>
    <n v="0"/>
    <s v=""/>
    <n v="223"/>
    <x v="0"/>
    <n v="0"/>
  </r>
  <r>
    <x v="2"/>
    <n v="5540246194632"/>
    <n v="0"/>
    <n v="0"/>
    <s v=""/>
    <n v="3"/>
    <x v="0"/>
    <n v="0"/>
  </r>
  <r>
    <x v="3"/>
    <n v="5540246170256"/>
    <n v="1768"/>
    <n v="11883.542400000002"/>
    <n v="6.7214606334841642"/>
    <n v="5847"/>
    <x v="0"/>
    <n v="1"/>
  </r>
  <r>
    <x v="3"/>
    <n v="5540246171759"/>
    <n v="1940"/>
    <n v="10653.984"/>
    <n v="5.4917443298969078"/>
    <n v="4770"/>
    <x v="1"/>
    <n v="1"/>
  </r>
  <r>
    <x v="3"/>
    <n v="5540246171888"/>
    <n v="1193"/>
    <n v="20095.344000000001"/>
    <n v="16.844378876781224"/>
    <n v="1506"/>
    <x v="0"/>
    <n v="1"/>
  </r>
  <r>
    <x v="3"/>
    <n v="5540246171933"/>
    <n v="891"/>
    <n v="573.9552000000001"/>
    <n v="0.64416969696969706"/>
    <n v="8018"/>
    <x v="3"/>
    <n v="1"/>
  </r>
  <r>
    <x v="3"/>
    <n v="5540246172539"/>
    <n v="54"/>
    <n v="1110.4560000000001"/>
    <n v="20.564000000000004"/>
    <n v="116"/>
    <x v="3"/>
    <n v="1"/>
  </r>
  <r>
    <x v="3"/>
    <n v="5540246172669"/>
    <n v="195"/>
    <n v="2651.9184"/>
    <n v="13.599581538461539"/>
    <n v="1086"/>
    <x v="3"/>
    <n v="1"/>
  </r>
  <r>
    <x v="3"/>
    <n v="5540246172978"/>
    <n v="0"/>
    <n v="0"/>
    <s v=""/>
    <n v="14616"/>
    <x v="3"/>
    <n v="0"/>
  </r>
  <r>
    <x v="3"/>
    <n v="5540246173472"/>
    <n v="0"/>
    <n v="0"/>
    <s v=""/>
    <n v="864"/>
    <x v="3"/>
    <n v="0"/>
  </r>
  <r>
    <x v="3"/>
    <n v="5540246173685"/>
    <n v="188"/>
    <n v="4744.9151999999995"/>
    <n v="25.23891063829787"/>
    <n v="226"/>
    <x v="5"/>
    <n v="1"/>
  </r>
  <r>
    <x v="3"/>
    <n v="5540246173686"/>
    <n v="420"/>
    <n v="10770.148800000001"/>
    <n v="25.64321142857143"/>
    <n v="193"/>
    <x v="5"/>
    <n v="1"/>
  </r>
  <r>
    <x v="3"/>
    <n v="5540246173906"/>
    <n v="1972"/>
    <n v="36646.560000000005"/>
    <n v="18.583448275862072"/>
    <n v="1671"/>
    <x v="4"/>
    <n v="1"/>
  </r>
  <r>
    <x v="3"/>
    <n v="5540246174095"/>
    <n v="42"/>
    <n v="1303.2576000000001"/>
    <n v="31.02994285714286"/>
    <n v="112"/>
    <x v="3"/>
    <n v="1"/>
  </r>
  <r>
    <x v="3"/>
    <n v="5540246174174"/>
    <n v="103"/>
    <n v="1358.1216000000002"/>
    <n v="13.18564660194175"/>
    <n v="759"/>
    <x v="3"/>
    <n v="1"/>
  </r>
  <r>
    <x v="3"/>
    <n v="5540246175047"/>
    <n v="14"/>
    <n v="147.48480000000001"/>
    <n v="10.534628571428572"/>
    <n v="738"/>
    <x v="3"/>
    <n v="1"/>
  </r>
  <r>
    <x v="3"/>
    <n v="5540246175049"/>
    <n v="627"/>
    <n v="6520.1760000000004"/>
    <n v="10.399004784688996"/>
    <n v="2144"/>
    <x v="3"/>
    <n v="1"/>
  </r>
  <r>
    <x v="3"/>
    <n v="5540246175050"/>
    <n v="724"/>
    <n v="8383.5648000000001"/>
    <n v="11.579509392265194"/>
    <n v="1977"/>
    <x v="3"/>
    <n v="1"/>
  </r>
  <r>
    <x v="3"/>
    <n v="5540246175372"/>
    <n v="2715"/>
    <n v="10614.240000000002"/>
    <n v="3.9094806629834262"/>
    <n v="348"/>
    <x v="0"/>
    <n v="1"/>
  </r>
  <r>
    <x v="3"/>
    <n v="5540246175461"/>
    <n v="5513"/>
    <n v="50808.384000000005"/>
    <n v="9.2161044803192471"/>
    <n v="4511"/>
    <x v="1"/>
    <n v="1"/>
  </r>
  <r>
    <x v="3"/>
    <n v="5540246176294"/>
    <n v="1225"/>
    <n v="1129.0752000000002"/>
    <n v="0.92169404081632667"/>
    <n v="11136"/>
    <x v="3"/>
    <n v="1"/>
  </r>
  <r>
    <x v="3"/>
    <n v="5540246176295"/>
    <n v="7016"/>
    <n v="6466.5216000000009"/>
    <n v="0.92168209806157364"/>
    <n v="62933"/>
    <x v="3"/>
    <n v="1"/>
  </r>
  <r>
    <x v="3"/>
    <n v="5540246176699"/>
    <n v="0"/>
    <n v="0"/>
    <s v=""/>
    <n v="41969"/>
    <x v="3"/>
    <n v="0"/>
  </r>
  <r>
    <x v="3"/>
    <n v="5540246177133"/>
    <n v="8863"/>
    <n v="32179.680000000004"/>
    <n v="3.6307886720072213"/>
    <n v="17366"/>
    <x v="1"/>
    <n v="1"/>
  </r>
  <r>
    <x v="3"/>
    <n v="5540246177376"/>
    <n v="968"/>
    <n v="38190.527999999998"/>
    <n v="39.45302479338843"/>
    <n v="819"/>
    <x v="0"/>
    <n v="1"/>
  </r>
  <r>
    <x v="3"/>
    <n v="5540246180522"/>
    <n v="803"/>
    <n v="14050.368000000002"/>
    <n v="17.497344956413453"/>
    <n v="1444"/>
    <x v="0"/>
    <n v="1"/>
  </r>
  <r>
    <x v="3"/>
    <n v="5540246181016"/>
    <n v="16426"/>
    <n v="131426.32320000001"/>
    <n v="8.001115499817363"/>
    <n v="10357"/>
    <x v="4"/>
    <n v="1"/>
  </r>
  <r>
    <x v="3"/>
    <n v="5540246181061"/>
    <n v="43431"/>
    <n v="52808.371200000001"/>
    <n v="1.2159142363749396"/>
    <n v="63998"/>
    <x v="4"/>
    <n v="1"/>
  </r>
  <r>
    <x v="3"/>
    <n v="5540246182684"/>
    <n v="462"/>
    <n v="23168.376000000004"/>
    <n v="50.14800000000001"/>
    <n v="214"/>
    <x v="0"/>
    <n v="1"/>
  </r>
  <r>
    <x v="3"/>
    <n v="5540246183130"/>
    <n v="4490"/>
    <n v="19008.820800000001"/>
    <n v="4.2335903786191542"/>
    <n v="5534"/>
    <x v="1"/>
    <n v="1"/>
  </r>
  <r>
    <x v="3"/>
    <n v="5540246183455"/>
    <n v="1485"/>
    <n v="11667.456000000002"/>
    <n v="7.8568727272727283"/>
    <n v="418"/>
    <x v="1"/>
    <n v="1"/>
  </r>
  <r>
    <x v="3"/>
    <n v="5540246183537"/>
    <n v="2803"/>
    <n v="3940.0128"/>
    <n v="1.4056413842311808"/>
    <n v="3156"/>
    <x v="1"/>
    <n v="1"/>
  </r>
  <r>
    <x v="3"/>
    <n v="5540246183538"/>
    <n v="873"/>
    <n v="1145.1456000000001"/>
    <n v="1.3117360824742268"/>
    <n v="2877"/>
    <x v="1"/>
    <n v="1"/>
  </r>
  <r>
    <x v="3"/>
    <n v="5540246183541"/>
    <n v="1880"/>
    <n v="16936.128000000001"/>
    <n v="9.0085787234042556"/>
    <n v="975"/>
    <x v="1"/>
    <n v="1"/>
  </r>
  <r>
    <x v="3"/>
    <n v="5540246183542"/>
    <n v="2506"/>
    <n v="7045.0560000000005"/>
    <n v="2.8112753391859537"/>
    <n v="0"/>
    <x v="1"/>
    <n v="1"/>
  </r>
  <r>
    <x v="3"/>
    <n v="5540246183547"/>
    <n v="9570"/>
    <n v="98366.400000000009"/>
    <n v="10.278620689655174"/>
    <n v="12540"/>
    <x v="4"/>
    <n v="1"/>
  </r>
  <r>
    <x v="3"/>
    <n v="5540246183552"/>
    <n v="244"/>
    <n v="449.06400000000002"/>
    <n v="1.8404262295081968"/>
    <n v="260"/>
    <x v="1"/>
    <n v="1"/>
  </r>
  <r>
    <x v="3"/>
    <n v="5540246183554"/>
    <n v="1546"/>
    <n v="11612.073600000002"/>
    <n v="7.511043725743856"/>
    <n v="28"/>
    <x v="1"/>
    <n v="1"/>
  </r>
  <r>
    <x v="3"/>
    <n v="5540246183555"/>
    <n v="1151"/>
    <n v="1538.4816000000001"/>
    <n v="1.336647784535187"/>
    <n v="891"/>
    <x v="1"/>
    <n v="1"/>
  </r>
  <r>
    <x v="3"/>
    <n v="5540246183558"/>
    <n v="3202"/>
    <n v="17646.336000000003"/>
    <n v="5.511035602748283"/>
    <n v="4478"/>
    <x v="1"/>
    <n v="1"/>
  </r>
  <r>
    <x v="3"/>
    <n v="5540246183560"/>
    <n v="214"/>
    <n v="5206.4640000000009"/>
    <n v="24.329271028037386"/>
    <n v="168"/>
    <x v="1"/>
    <n v="1"/>
  </r>
  <r>
    <x v="3"/>
    <n v="5540246183562"/>
    <n v="5916"/>
    <n v="19057.68"/>
    <n v="3.2213793103448278"/>
    <n v="4826"/>
    <x v="1"/>
    <n v="1"/>
  </r>
  <r>
    <x v="3"/>
    <n v="5540246183587"/>
    <n v="439"/>
    <n v="9234.3888000000006"/>
    <n v="21.035054214123008"/>
    <n v="627"/>
    <x v="1"/>
    <n v="1"/>
  </r>
  <r>
    <x v="3"/>
    <n v="5540246183589"/>
    <n v="1520"/>
    <n v="20033.567999999999"/>
    <n v="13.17997894736842"/>
    <n v="441"/>
    <x v="1"/>
    <n v="1"/>
  </r>
  <r>
    <x v="3"/>
    <n v="5540246183590"/>
    <n v="2318"/>
    <n v="32151.816000000003"/>
    <n v="13.870498705780847"/>
    <n v="105"/>
    <x v="1"/>
    <n v="1"/>
  </r>
  <r>
    <x v="3"/>
    <n v="5540246183844"/>
    <n v="277"/>
    <n v="7968.2400000000007"/>
    <n v="28.766209386281592"/>
    <n v="202"/>
    <x v="0"/>
    <n v="1"/>
  </r>
  <r>
    <x v="3"/>
    <n v="5540246184036"/>
    <n v="126"/>
    <n v="2146.1760000000004"/>
    <n v="17.03314285714286"/>
    <n v="128"/>
    <x v="0"/>
    <n v="1"/>
  </r>
  <r>
    <x v="3"/>
    <n v="5540246185278"/>
    <n v="27513"/>
    <n v="27152.366400000003"/>
    <n v="0.98689224730127589"/>
    <n v="41658"/>
    <x v="4"/>
    <n v="1"/>
  </r>
  <r>
    <x v="3"/>
    <n v="5540246185429"/>
    <n v="70"/>
    <n v="368.06400000000002"/>
    <n v="5.258057142857143"/>
    <n v="474"/>
    <x v="3"/>
    <n v="1"/>
  </r>
  <r>
    <x v="3"/>
    <n v="5540246185562"/>
    <n v="126"/>
    <n v="363.91680000000002"/>
    <n v="2.8882285714285718"/>
    <n v="140"/>
    <x v="3"/>
    <n v="1"/>
  </r>
  <r>
    <x v="3"/>
    <n v="5540246186010"/>
    <n v="119"/>
    <n v="17429.515200000002"/>
    <n v="146.46651428571431"/>
    <n v="10"/>
    <x v="5"/>
    <n v="1"/>
  </r>
  <r>
    <x v="3"/>
    <n v="5540246186011"/>
    <n v="107"/>
    <n v="6076.8576000000003"/>
    <n v="56.793061682242993"/>
    <n v="3"/>
    <x v="5"/>
    <n v="1"/>
  </r>
  <r>
    <x v="3"/>
    <n v="5540246186017"/>
    <n v="75"/>
    <n v="7860.3264000000008"/>
    <n v="104.80435200000001"/>
    <n v="7"/>
    <x v="5"/>
    <n v="1"/>
  </r>
  <r>
    <x v="3"/>
    <n v="5540246186325"/>
    <n v="516"/>
    <n v="1265.9328000000003"/>
    <n v="2.4533581395348842"/>
    <n v="543"/>
    <x v="3"/>
    <n v="1"/>
  </r>
  <r>
    <x v="3"/>
    <n v="5540246186351"/>
    <n v="1518"/>
    <n v="89928.662400000001"/>
    <n v="59.241543083003954"/>
    <n v="133"/>
    <x v="1"/>
    <n v="1"/>
  </r>
  <r>
    <x v="3"/>
    <n v="5540246186352"/>
    <n v="8202"/>
    <n v="86282.28"/>
    <n v="10.51966349670812"/>
    <n v="1346"/>
    <x v="1"/>
    <n v="1"/>
  </r>
  <r>
    <x v="3"/>
    <n v="5540246187882"/>
    <n v="68"/>
    <n v="2581.0272000000004"/>
    <n v="37.95628235294118"/>
    <n v="21"/>
    <x v="5"/>
    <n v="1"/>
  </r>
  <r>
    <x v="3"/>
    <n v="5540246187987"/>
    <n v="1448"/>
    <n v="711.67680000000007"/>
    <n v="0.49148950276243097"/>
    <n v="29901"/>
    <x v="3"/>
    <n v="1"/>
  </r>
  <r>
    <x v="3"/>
    <n v="5540246187995"/>
    <n v="1448"/>
    <n v="126993.48480000001"/>
    <n v="87.702682872928179"/>
    <n v="645"/>
    <x v="5"/>
    <n v="1"/>
  </r>
  <r>
    <x v="3"/>
    <n v="5540246187996"/>
    <n v="328"/>
    <n v="15124.449600000002"/>
    <n v="46.111126829268301"/>
    <n v="12"/>
    <x v="5"/>
    <n v="1"/>
  </r>
  <r>
    <x v="3"/>
    <n v="5540246187997"/>
    <n v="216"/>
    <n v="10779.220800000001"/>
    <n v="49.903800000000004"/>
    <n v="56"/>
    <x v="5"/>
    <n v="1"/>
  </r>
  <r>
    <x v="3"/>
    <n v="5540246187998"/>
    <n v="253"/>
    <n v="13000.996800000001"/>
    <n v="51.387339130434789"/>
    <n v="221"/>
    <x v="5"/>
    <n v="1"/>
  </r>
  <r>
    <x v="3"/>
    <n v="5540246188047"/>
    <n v="293"/>
    <n v="35609.414400000001"/>
    <n v="121.53383754266213"/>
    <n v="24"/>
    <x v="5"/>
    <n v="1"/>
  </r>
  <r>
    <x v="3"/>
    <n v="5540246188175"/>
    <n v="93"/>
    <n v="2649.0240000000003"/>
    <n v="28.484129032258068"/>
    <n v="483"/>
    <x v="3"/>
    <n v="1"/>
  </r>
  <r>
    <x v="3"/>
    <n v="5540246188200"/>
    <n v="1040"/>
    <n v="1916.0064"/>
    <n v="1.8423138461538462"/>
    <n v="12844"/>
    <x v="3"/>
    <n v="1"/>
  </r>
  <r>
    <x v="3"/>
    <n v="5540246188224"/>
    <n v="15080"/>
    <n v="17690.400000000001"/>
    <n v="1.1731034482758622"/>
    <n v="11252"/>
    <x v="4"/>
    <n v="1"/>
  </r>
  <r>
    <x v="3"/>
    <n v="5540246188512"/>
    <n v="332"/>
    <n v="45479.491200000004"/>
    <n v="136.98641927710844"/>
    <n v="0"/>
    <x v="5"/>
    <n v="1"/>
  </r>
  <r>
    <x v="3"/>
    <n v="5540246188583"/>
    <n v="2450"/>
    <n v="8772.5808000000015"/>
    <n v="3.5806452244897966"/>
    <n v="4789"/>
    <x v="0"/>
    <n v="1"/>
  </r>
  <r>
    <x v="3"/>
    <n v="5540246188647"/>
    <n v="1706"/>
    <n v="25242.84"/>
    <n v="14.796506447831185"/>
    <n v="720"/>
    <x v="1"/>
    <n v="1"/>
  </r>
  <r>
    <x v="3"/>
    <n v="5540246190092"/>
    <n v="198"/>
    <n v="27290.304"/>
    <n v="137.82981818181818"/>
    <n v="40"/>
    <x v="5"/>
    <n v="1"/>
  </r>
  <r>
    <x v="3"/>
    <n v="5540246190727"/>
    <n v="1102"/>
    <n v="12453.609600000002"/>
    <n v="11.300916152450093"/>
    <n v="604"/>
    <x v="0"/>
    <n v="1"/>
  </r>
  <r>
    <x v="3"/>
    <n v="5540246190743"/>
    <n v="195"/>
    <n v="1654.7328000000002"/>
    <n v="8.4858092307692328"/>
    <n v="724"/>
    <x v="3"/>
    <n v="1"/>
  </r>
  <r>
    <x v="3"/>
    <n v="5540246190831"/>
    <n v="1300"/>
    <n v="9775.9872000000014"/>
    <n v="7.5199901538461553"/>
    <n v="0"/>
    <x v="1"/>
    <n v="1"/>
  </r>
  <r>
    <x v="3"/>
    <n v="5540246190835"/>
    <n v="116"/>
    <n v="24520.320000000003"/>
    <n v="211.38206896551728"/>
    <n v="3"/>
    <x v="0"/>
    <n v="1"/>
  </r>
  <r>
    <x v="3"/>
    <n v="5540246191380"/>
    <n v="418"/>
    <n v="1975.104"/>
    <n v="4.7251291866028708"/>
    <n v="418"/>
    <x v="3"/>
    <n v="1"/>
  </r>
  <r>
    <x v="3"/>
    <n v="5540246191394"/>
    <n v="1972"/>
    <n v="10531.296000000002"/>
    <n v="5.3404137931034494"/>
    <n v="0"/>
    <x v="3"/>
    <n v="1"/>
  </r>
  <r>
    <x v="3"/>
    <n v="5540246191596"/>
    <n v="191"/>
    <n v="10620.115200000002"/>
    <n v="55.602697382198961"/>
    <n v="154"/>
    <x v="0"/>
    <n v="1"/>
  </r>
  <r>
    <x v="3"/>
    <n v="5540246191718"/>
    <n v="2372"/>
    <n v="7028.7264000000005"/>
    <n v="2.9632067453625632"/>
    <n v="163"/>
    <x v="1"/>
    <n v="1"/>
  </r>
  <r>
    <x v="3"/>
    <n v="5540246191736"/>
    <n v="45"/>
    <n v="1425.7295999999999"/>
    <n v="31.682879999999997"/>
    <n v="0"/>
    <x v="3"/>
    <n v="1"/>
  </r>
  <r>
    <x v="3"/>
    <n v="5540246192102"/>
    <n v="5457"/>
    <n v="5974.4736000000003"/>
    <n v="1.0948274876305664"/>
    <n v="9216"/>
    <x v="3"/>
    <n v="1"/>
  </r>
  <r>
    <x v="3"/>
    <n v="5540246192148"/>
    <n v="5564"/>
    <n v="20231.8128"/>
    <n v="3.6361992810927388"/>
    <n v="36188"/>
    <x v="1"/>
    <n v="1"/>
  </r>
  <r>
    <x v="3"/>
    <n v="5540246192209"/>
    <n v="864"/>
    <n v="4339.0079999999998"/>
    <n v="5.0219999999999994"/>
    <n v="1866"/>
    <x v="1"/>
    <n v="1"/>
  </r>
  <r>
    <x v="3"/>
    <n v="5540246192264"/>
    <n v="1040"/>
    <n v="15095.808000000001"/>
    <n v="14.5152"/>
    <n v="1151"/>
    <x v="3"/>
    <n v="1"/>
  </r>
  <r>
    <x v="3"/>
    <n v="5540246192265"/>
    <n v="1801"/>
    <n v="24103.180799999998"/>
    <n v="13.383220877290393"/>
    <n v="780"/>
    <x v="3"/>
    <n v="1"/>
  </r>
  <r>
    <x v="3"/>
    <n v="5540246192462"/>
    <n v="687"/>
    <n v="4779.8640000000005"/>
    <n v="6.9575895196506554"/>
    <n v="539"/>
    <x v="1"/>
    <n v="1"/>
  </r>
  <r>
    <x v="3"/>
    <n v="5540246192505"/>
    <n v="6923"/>
    <n v="9797.0688000000009"/>
    <n v="1.4151478838653764"/>
    <n v="7035"/>
    <x v="1"/>
    <n v="1"/>
  </r>
  <r>
    <x v="3"/>
    <n v="5540246192518"/>
    <n v="6172"/>
    <n v="43218.403200000001"/>
    <n v="7.0023336357744652"/>
    <n v="836"/>
    <x v="1"/>
    <n v="1"/>
  </r>
  <r>
    <x v="3"/>
    <n v="5540246192571"/>
    <n v="975"/>
    <n v="3483.6480000000001"/>
    <n v="3.5729723076923077"/>
    <n v="516"/>
    <x v="1"/>
    <n v="1"/>
  </r>
  <r>
    <x v="3"/>
    <n v="5540246192594"/>
    <n v="474"/>
    <n v="3128.5440000000003"/>
    <n v="6.6003037974683547"/>
    <n v="158"/>
    <x v="1"/>
    <n v="1"/>
  </r>
  <r>
    <x v="3"/>
    <n v="5540246192831"/>
    <n v="724"/>
    <n v="6415.7183999999997"/>
    <n v="8.8614895027624314"/>
    <n v="335"/>
    <x v="1"/>
    <n v="1"/>
  </r>
  <r>
    <x v="3"/>
    <n v="5540246192836"/>
    <n v="61"/>
    <n v="8347.6224000000002"/>
    <n v="136.84626885245902"/>
    <n v="0"/>
    <x v="5"/>
    <n v="1"/>
  </r>
  <r>
    <x v="3"/>
    <n v="5540246192907"/>
    <n v="3508"/>
    <n v="98467.488000000012"/>
    <n v="28.069409350057015"/>
    <n v="1736"/>
    <x v="4"/>
    <n v="1"/>
  </r>
  <r>
    <x v="3"/>
    <n v="5540246193316"/>
    <n v="284"/>
    <n v="8569.6704000000009"/>
    <n v="30.17489577464789"/>
    <n v="351"/>
    <x v="0"/>
    <n v="1"/>
  </r>
  <r>
    <x v="3"/>
    <n v="5540246193409"/>
    <n v="114"/>
    <n v="5842.3680000000004"/>
    <n v="51.248842105263158"/>
    <n v="7"/>
    <x v="0"/>
    <n v="1"/>
  </r>
  <r>
    <x v="3"/>
    <n v="5540246193878"/>
    <n v="17470"/>
    <n v="123612.48000000001"/>
    <n v="7.0757000572409847"/>
    <n v="9118"/>
    <x v="4"/>
    <n v="1"/>
  </r>
  <r>
    <x v="3"/>
    <n v="5540246194330"/>
    <n v="0"/>
    <n v="0"/>
    <s v=""/>
    <n v="23405"/>
    <x v="1"/>
    <n v="0"/>
  </r>
  <r>
    <x v="3"/>
    <n v="5540246194467"/>
    <n v="17595"/>
    <n v="17724.700799999999"/>
    <n v="1.0073714578005115"/>
    <n v="1782"/>
    <x v="0"/>
    <n v="1"/>
  </r>
  <r>
    <x v="3"/>
    <n v="5540246194478"/>
    <n v="0"/>
    <n v="0"/>
    <s v=""/>
    <n v="0"/>
    <x v="5"/>
    <n v="0"/>
  </r>
  <r>
    <x v="3"/>
    <n v="5540246194632"/>
    <n v="1836"/>
    <n v="23701.161600000003"/>
    <n v="12.909129411764708"/>
    <n v="3650"/>
    <x v="0"/>
    <n v="1"/>
  </r>
  <r>
    <x v="3"/>
    <n v="5540246195096"/>
    <n v="0"/>
    <n v="0"/>
    <s v=""/>
    <n v="0"/>
    <x v="1"/>
    <n v="0"/>
  </r>
  <r>
    <x v="4"/>
    <n v="5540246170256"/>
    <n v="1740"/>
    <n v="11696.400000000001"/>
    <n v="6.7220689655172423"/>
    <n v="8267"/>
    <x v="0"/>
    <n v="1"/>
  </r>
  <r>
    <x v="4"/>
    <n v="5540246171759"/>
    <n v="2181"/>
    <n v="11979.36"/>
    <n v="5.492599724896837"/>
    <n v="5652"/>
    <x v="1"/>
    <n v="1"/>
  </r>
  <r>
    <x v="4"/>
    <n v="5540246171888"/>
    <n v="713"/>
    <n v="12002.472"/>
    <n v="16.833761570827487"/>
    <n v="1919"/>
    <x v="0"/>
    <n v="1"/>
  </r>
  <r>
    <x v="4"/>
    <n v="5540246171933"/>
    <n v="446"/>
    <n v="286.97760000000005"/>
    <n v="0.64344753363228713"/>
    <n v="9744"/>
    <x v="3"/>
    <n v="1"/>
  </r>
  <r>
    <x v="4"/>
    <n v="5540246172539"/>
    <n v="19"/>
    <n v="386.25119999999998"/>
    <n v="20.329010526315788"/>
    <n v="116"/>
    <x v="3"/>
    <n v="1"/>
  </r>
  <r>
    <x v="4"/>
    <n v="5540246172669"/>
    <n v="223"/>
    <n v="3030.7824000000005"/>
    <n v="13.590952466367716"/>
    <n v="1337"/>
    <x v="3"/>
    <n v="1"/>
  </r>
  <r>
    <x v="4"/>
    <n v="5540246172978"/>
    <n v="1253"/>
    <n v="1010.1024"/>
    <n v="0.80614716679968079"/>
    <n v="14282"/>
    <x v="3"/>
    <n v="1"/>
  </r>
  <r>
    <x v="4"/>
    <n v="5540246173472"/>
    <n v="265"/>
    <n v="6106.7520000000004"/>
    <n v="23.044347169811321"/>
    <n v="641"/>
    <x v="3"/>
    <n v="1"/>
  </r>
  <r>
    <x v="4"/>
    <n v="5540246173685"/>
    <n v="541"/>
    <n v="14098.881600000001"/>
    <n v="26.060779297597044"/>
    <n v="372"/>
    <x v="5"/>
    <n v="1"/>
  </r>
  <r>
    <x v="4"/>
    <n v="5540246173686"/>
    <n v="502"/>
    <n v="12973.176000000001"/>
    <n v="25.842980079681279"/>
    <n v="358"/>
    <x v="5"/>
    <n v="1"/>
  </r>
  <r>
    <x v="4"/>
    <n v="5540246173906"/>
    <n v="302"/>
    <n v="5604.7680000000009"/>
    <n v="18.558834437086094"/>
    <n v="1411"/>
    <x v="4"/>
    <n v="1"/>
  </r>
  <r>
    <x v="4"/>
    <n v="5540246174095"/>
    <n v="70"/>
    <n v="2172.096"/>
    <n v="31.029942857142856"/>
    <n v="168"/>
    <x v="3"/>
    <n v="1"/>
  </r>
  <r>
    <x v="4"/>
    <n v="5540246174174"/>
    <n v="82"/>
    <n v="1080.3456000000001"/>
    <n v="13.174946341463416"/>
    <n v="727"/>
    <x v="3"/>
    <n v="1"/>
  </r>
  <r>
    <x v="4"/>
    <n v="5540246175047"/>
    <n v="42"/>
    <n v="442.45440000000002"/>
    <n v="10.534628571428572"/>
    <n v="864"/>
    <x v="3"/>
    <n v="1"/>
  </r>
  <r>
    <x v="4"/>
    <n v="5540246175049"/>
    <n v="0"/>
    <n v="0"/>
    <s v=""/>
    <n v="3494"/>
    <x v="3"/>
    <n v="0"/>
  </r>
  <r>
    <x v="4"/>
    <n v="5540246175050"/>
    <n v="0"/>
    <n v="0"/>
    <s v=""/>
    <n v="3063"/>
    <x v="3"/>
    <n v="0"/>
  </r>
  <r>
    <x v="4"/>
    <n v="5540246175372"/>
    <n v="2367"/>
    <n v="9253.44"/>
    <n v="3.9093536121673007"/>
    <n v="418"/>
    <x v="0"/>
    <n v="1"/>
  </r>
  <r>
    <x v="4"/>
    <n v="5540246175461"/>
    <n v="1003"/>
    <n v="9237.8880000000008"/>
    <n v="9.2102572283150561"/>
    <n v="1003"/>
    <x v="1"/>
    <n v="1"/>
  </r>
  <r>
    <x v="4"/>
    <n v="5540246176294"/>
    <n v="3007"/>
    <n v="2771.3663999999999"/>
    <n v="0.92163831060857992"/>
    <n v="9726"/>
    <x v="3"/>
    <n v="1"/>
  </r>
  <r>
    <x v="4"/>
    <n v="5540246176295"/>
    <n v="11099"/>
    <n v="10230.105600000001"/>
    <n v="0.92171417244796838"/>
    <n v="86054"/>
    <x v="3"/>
    <n v="1"/>
  </r>
  <r>
    <x v="4"/>
    <n v="5540246176699"/>
    <n v="-1253"/>
    <n v="-559.87199999999996"/>
    <n v="0.44682521947326415"/>
    <n v="63893"/>
    <x v="3"/>
    <n v="0"/>
  </r>
  <r>
    <x v="4"/>
    <n v="5540246177133"/>
    <n v="8202"/>
    <n v="29778.84"/>
    <n v="3.6306803218727142"/>
    <n v="24291"/>
    <x v="1"/>
    <n v="1"/>
  </r>
  <r>
    <x v="4"/>
    <n v="5540246177376"/>
    <n v="149"/>
    <n v="5861.3760000000002"/>
    <n v="39.338093959731545"/>
    <n v="1126"/>
    <x v="0"/>
    <n v="1"/>
  </r>
  <r>
    <x v="4"/>
    <n v="5540246180522"/>
    <n v="274"/>
    <n v="4791.7440000000006"/>
    <n v="17.488116788321172"/>
    <n v="1764"/>
    <x v="0"/>
    <n v="1"/>
  </r>
  <r>
    <x v="4"/>
    <n v="5540246181016"/>
    <n v="6070"/>
    <n v="48560.90400000001"/>
    <n v="8.0001489291598045"/>
    <n v="16092"/>
    <x v="4"/>
    <n v="1"/>
  </r>
  <r>
    <x v="4"/>
    <n v="5540246181061"/>
    <n v="14616"/>
    <n v="17472.672000000002"/>
    <n v="1.195448275862069"/>
    <n v="69740"/>
    <x v="4"/>
    <n v="1"/>
  </r>
  <r>
    <x v="4"/>
    <n v="5540246182684"/>
    <n v="249"/>
    <n v="12457.368"/>
    <n v="50.029590361445784"/>
    <n v="402"/>
    <x v="0"/>
    <n v="1"/>
  </r>
  <r>
    <x v="4"/>
    <n v="5540246183130"/>
    <n v="2715"/>
    <n v="11493.705600000001"/>
    <n v="4.2334090607734813"/>
    <n v="8728"/>
    <x v="1"/>
    <n v="1"/>
  </r>
  <r>
    <x v="4"/>
    <n v="5540246183455"/>
    <n v="1091"/>
    <n v="8568.2880000000005"/>
    <n v="7.8536095325389557"/>
    <n v="534"/>
    <x v="1"/>
    <n v="1"/>
  </r>
  <r>
    <x v="4"/>
    <n v="5540246183537"/>
    <n v="3490"/>
    <n v="4905.4463999999998"/>
    <n v="1.4055720343839542"/>
    <n v="3842"/>
    <x v="1"/>
    <n v="1"/>
  </r>
  <r>
    <x v="4"/>
    <n v="5540246183538"/>
    <n v="1671"/>
    <n v="2192.8320000000003"/>
    <n v="1.3122872531418315"/>
    <n v="3508"/>
    <x v="1"/>
    <n v="1"/>
  </r>
  <r>
    <x v="4"/>
    <n v="5540246183541"/>
    <n v="905"/>
    <n v="8154.4319999999998"/>
    <n v="9.0104220994475135"/>
    <n v="1578"/>
    <x v="1"/>
    <n v="1"/>
  </r>
  <r>
    <x v="4"/>
    <n v="5540246183542"/>
    <n v="2506"/>
    <n v="7045.0560000000005"/>
    <n v="2.8112753391859537"/>
    <n v="24"/>
    <x v="1"/>
    <n v="1"/>
  </r>
  <r>
    <x v="4"/>
    <n v="5540246183547"/>
    <n v="4826"/>
    <n v="49600.512000000002"/>
    <n v="10.277768752590138"/>
    <n v="14825"/>
    <x v="4"/>
    <n v="1"/>
  </r>
  <r>
    <x v="4"/>
    <n v="5540246183552"/>
    <n v="2153"/>
    <n v="3968.8704000000002"/>
    <n v="1.8434140269391548"/>
    <n v="335"/>
    <x v="1"/>
    <n v="1"/>
  </r>
  <r>
    <x v="4"/>
    <n v="5540246183554"/>
    <n v="1518"/>
    <n v="11402.8128"/>
    <n v="7.5117343873517788"/>
    <n v="28"/>
    <x v="1"/>
    <n v="1"/>
  </r>
  <r>
    <x v="4"/>
    <n v="5540246183555"/>
    <n v="260"/>
    <n v="347.41440000000006"/>
    <n v="1.336209230769231"/>
    <n v="1300"/>
    <x v="1"/>
    <n v="1"/>
  </r>
  <r>
    <x v="4"/>
    <n v="5540246183558"/>
    <n v="1323"/>
    <n v="7288.7040000000006"/>
    <n v="5.5092244897959191"/>
    <n v="5972"/>
    <x v="1"/>
    <n v="1"/>
  </r>
  <r>
    <x v="4"/>
    <n v="5540246183560"/>
    <n v="270"/>
    <n v="6564.6720000000005"/>
    <n v="24.313600000000001"/>
    <n v="179"/>
    <x v="1"/>
    <n v="1"/>
  </r>
  <r>
    <x v="4"/>
    <n v="5540246183562"/>
    <n v="1091"/>
    <n v="3512.5920000000006"/>
    <n v="3.2196076993583871"/>
    <n v="580"/>
    <x v="1"/>
    <n v="1"/>
  </r>
  <r>
    <x v="4"/>
    <n v="5540246183587"/>
    <n v="300"/>
    <n v="6302.8368"/>
    <n v="21.009456"/>
    <n v="724"/>
    <x v="1"/>
    <n v="1"/>
  </r>
  <r>
    <x v="4"/>
    <n v="5540246183589"/>
    <n v="1729"/>
    <n v="22786.272000000004"/>
    <n v="13.178873337189129"/>
    <n v="778"/>
    <x v="1"/>
    <n v="1"/>
  </r>
  <r>
    <x v="4"/>
    <n v="5540246183590"/>
    <n v="2214"/>
    <n v="30703.536000000004"/>
    <n v="13.867902439024393"/>
    <n v="2200"/>
    <x v="1"/>
    <n v="1"/>
  </r>
  <r>
    <x v="4"/>
    <n v="5540246183844"/>
    <n v="214"/>
    <n v="6160.3200000000006"/>
    <n v="28.786542056074769"/>
    <n v="325"/>
    <x v="0"/>
    <n v="1"/>
  </r>
  <r>
    <x v="4"/>
    <n v="5540246184036"/>
    <n v="128"/>
    <n v="2185.92"/>
    <n v="17.077500000000001"/>
    <n v="195"/>
    <x v="0"/>
    <n v="1"/>
  </r>
  <r>
    <x v="4"/>
    <n v="5540246185278"/>
    <n v="30622"/>
    <n v="30220.430400000005"/>
    <n v="0.98688623865194969"/>
    <n v="64508"/>
    <x v="4"/>
    <n v="1"/>
  </r>
  <r>
    <x v="4"/>
    <n v="5540246185429"/>
    <n v="70"/>
    <n v="368.06400000000002"/>
    <n v="5.258057142857143"/>
    <n v="529"/>
    <x v="3"/>
    <n v="1"/>
  </r>
  <r>
    <x v="4"/>
    <n v="5540246185562"/>
    <n v="195"/>
    <n v="566.09280000000001"/>
    <n v="2.9030399999999998"/>
    <n v="376"/>
    <x v="3"/>
    <n v="1"/>
  </r>
  <r>
    <x v="4"/>
    <n v="5540246186010"/>
    <n v="110"/>
    <n v="16062.494400000001"/>
    <n v="146.02267636363638"/>
    <n v="12"/>
    <x v="5"/>
    <n v="1"/>
  </r>
  <r>
    <x v="4"/>
    <n v="5540246186011"/>
    <n v="105"/>
    <n v="5944.7520000000004"/>
    <n v="56.616685714285715"/>
    <n v="5"/>
    <x v="5"/>
    <n v="1"/>
  </r>
  <r>
    <x v="4"/>
    <n v="5540246186017"/>
    <n v="68"/>
    <n v="7123.4208000000008"/>
    <n v="104.75618823529413"/>
    <n v="7"/>
    <x v="5"/>
    <n v="1"/>
  </r>
  <r>
    <x v="4"/>
    <n v="5540246186325"/>
    <n v="112"/>
    <n v="273.71520000000004"/>
    <n v="2.4438857142857144"/>
    <n v="655"/>
    <x v="3"/>
    <n v="1"/>
  </r>
  <r>
    <x v="4"/>
    <n v="5540246186351"/>
    <n v="1386"/>
    <n v="82090.843200000003"/>
    <n v="59.228602597402599"/>
    <n v="140"/>
    <x v="1"/>
    <n v="1"/>
  </r>
  <r>
    <x v="4"/>
    <n v="5540246186352"/>
    <n v="6856"/>
    <n v="72125.64"/>
    <n v="10.520075845974329"/>
    <n v="1961"/>
    <x v="1"/>
    <n v="1"/>
  </r>
  <r>
    <x v="4"/>
    <n v="5540246187882"/>
    <n v="47"/>
    <n v="1780.0128000000002"/>
    <n v="37.872612765957449"/>
    <n v="5"/>
    <x v="5"/>
    <n v="1"/>
  </r>
  <r>
    <x v="4"/>
    <n v="5540246187987"/>
    <n v="3286"/>
    <n v="1614.9024000000002"/>
    <n v="0.49144930006086435"/>
    <n v="48943"/>
    <x v="3"/>
    <n v="1"/>
  </r>
  <r>
    <x v="4"/>
    <n v="5540246187995"/>
    <n v="3123"/>
    <n v="273931.45919999998"/>
    <n v="87.714204034582124"/>
    <n v="1000"/>
    <x v="5"/>
    <n v="1"/>
  </r>
  <r>
    <x v="4"/>
    <n v="5540246187996"/>
    <n v="316"/>
    <n v="14588.121600000002"/>
    <n v="46.164941772151906"/>
    <n v="21"/>
    <x v="5"/>
    <n v="1"/>
  </r>
  <r>
    <x v="4"/>
    <n v="5540246187997"/>
    <n v="161"/>
    <n v="7997.4864000000007"/>
    <n v="49.673828571428572"/>
    <n v="130"/>
    <x v="5"/>
    <n v="1"/>
  </r>
  <r>
    <x v="4"/>
    <n v="5540246187998"/>
    <n v="1425"/>
    <n v="73234.972800000003"/>
    <n v="51.392963368421057"/>
    <n v="469"/>
    <x v="5"/>
    <n v="1"/>
  </r>
  <r>
    <x v="4"/>
    <n v="5540246188047"/>
    <n v="270"/>
    <n v="32783.270400000001"/>
    <n v="121.41952000000001"/>
    <n v="35"/>
    <x v="5"/>
    <n v="1"/>
  </r>
  <r>
    <x v="4"/>
    <n v="5540246188175"/>
    <n v="65"/>
    <n v="1854.3168000000001"/>
    <n v="28.52795076923077"/>
    <n v="529"/>
    <x v="3"/>
    <n v="1"/>
  </r>
  <r>
    <x v="4"/>
    <n v="5540246188200"/>
    <n v="928"/>
    <n v="1710.72"/>
    <n v="1.8434482758620689"/>
    <n v="20194"/>
    <x v="3"/>
    <n v="1"/>
  </r>
  <r>
    <x v="4"/>
    <n v="5540246188224"/>
    <n v="15892"/>
    <n v="18642.960000000003"/>
    <n v="1.1731034482758622"/>
    <n v="19140"/>
    <x v="4"/>
    <n v="1"/>
  </r>
  <r>
    <x v="4"/>
    <n v="5540246188512"/>
    <n v="332"/>
    <n v="45479.491200000004"/>
    <n v="136.98641927710844"/>
    <n v="0"/>
    <x v="5"/>
    <n v="1"/>
  </r>
  <r>
    <x v="4"/>
    <n v="5540246188647"/>
    <n v="986"/>
    <n v="14596.2"/>
    <n v="14.80344827586207"/>
    <n v="604"/>
    <x v="1"/>
    <n v="1"/>
  </r>
  <r>
    <x v="4"/>
    <n v="5540246190092"/>
    <n v="158"/>
    <n v="21832.243200000001"/>
    <n v="138.17875443037974"/>
    <n v="40"/>
    <x v="5"/>
    <n v="1"/>
  </r>
  <r>
    <x v="4"/>
    <n v="5540246190727"/>
    <n v="511"/>
    <n v="5767.9776000000011"/>
    <n v="11.287627397260277"/>
    <n v="685"/>
    <x v="0"/>
    <n v="1"/>
  </r>
  <r>
    <x v="4"/>
    <n v="5540246190743"/>
    <n v="307"/>
    <n v="2600.2943999999998"/>
    <n v="8.4700143322475565"/>
    <n v="669"/>
    <x v="3"/>
    <n v="1"/>
  </r>
  <r>
    <x v="4"/>
    <n v="5540246190831"/>
    <n v="836"/>
    <n v="6284.5632000000005"/>
    <n v="7.5174200956937804"/>
    <n v="93"/>
    <x v="1"/>
    <n v="1"/>
  </r>
  <r>
    <x v="4"/>
    <n v="5540246190835"/>
    <n v="114"/>
    <n v="24029.9136"/>
    <n v="210.78871578947368"/>
    <n v="3"/>
    <x v="0"/>
    <n v="1"/>
  </r>
  <r>
    <x v="4"/>
    <n v="5540246191394"/>
    <n v="1972"/>
    <n v="10531.296000000002"/>
    <n v="5.3404137931034494"/>
    <n v="0"/>
    <x v="3"/>
    <n v="1"/>
  </r>
  <r>
    <x v="4"/>
    <n v="5540246191594"/>
    <n v="0"/>
    <n v="0"/>
    <s v=""/>
    <n v="696"/>
    <x v="3"/>
    <n v="0"/>
  </r>
  <r>
    <x v="4"/>
    <n v="5540246191596"/>
    <n v="38"/>
    <n v="2072.2175999999999"/>
    <n v="54.532042105263159"/>
    <n v="184"/>
    <x v="0"/>
    <n v="1"/>
  </r>
  <r>
    <x v="4"/>
    <n v="5540246191598"/>
    <n v="0"/>
    <n v="0"/>
    <s v=""/>
    <n v="1601"/>
    <x v="3"/>
    <n v="0"/>
  </r>
  <r>
    <x v="4"/>
    <n v="5540246191718"/>
    <n v="2209"/>
    <n v="6547.3055999999997"/>
    <n v="2.9639228610230872"/>
    <n v="260"/>
    <x v="1"/>
    <n v="1"/>
  </r>
  <r>
    <x v="4"/>
    <n v="5540246191736"/>
    <n v="409"/>
    <n v="13206.758400000001"/>
    <n v="32.290362836185821"/>
    <n v="140"/>
    <x v="3"/>
    <n v="1"/>
  </r>
  <r>
    <x v="4"/>
    <n v="5540246192102"/>
    <n v="2269"/>
    <n v="2619.4752000000003"/>
    <n v="1.1544624063464082"/>
    <n v="11206"/>
    <x v="3"/>
    <n v="1"/>
  </r>
  <r>
    <x v="4"/>
    <n v="5540246192148"/>
    <n v="17818"/>
    <n v="64795.852800000008"/>
    <n v="3.6365390503984738"/>
    <n v="56237"/>
    <x v="1"/>
    <n v="1"/>
  </r>
  <r>
    <x v="4"/>
    <n v="5540246192209"/>
    <n v="1225"/>
    <n v="6158.5919999999996"/>
    <n v="5.0274220408163259"/>
    <n v="2311"/>
    <x v="1"/>
    <n v="1"/>
  </r>
  <r>
    <x v="4"/>
    <n v="5540246192264"/>
    <n v="1374"/>
    <n v="19948.032000000003"/>
    <n v="14.518218340611355"/>
    <n v="1634"/>
    <x v="3"/>
    <n v="1"/>
  </r>
  <r>
    <x v="4"/>
    <n v="5540246192265"/>
    <n v="1318"/>
    <n v="17642.5344"/>
    <n v="13.385837936267071"/>
    <n v="928"/>
    <x v="3"/>
    <n v="1"/>
  </r>
  <r>
    <x v="4"/>
    <n v="5540246192462"/>
    <n v="594"/>
    <n v="4187.0304000000006"/>
    <n v="7.0488727272727285"/>
    <n v="789"/>
    <x v="1"/>
    <n v="1"/>
  </r>
  <r>
    <x v="4"/>
    <n v="5540246192518"/>
    <n v="7090"/>
    <n v="49692.009600000005"/>
    <n v="7.0087460648801132"/>
    <n v="5513"/>
    <x v="1"/>
    <n v="1"/>
  </r>
  <r>
    <x v="4"/>
    <n v="5540246192571"/>
    <n v="460"/>
    <n v="1642.2912000000001"/>
    <n v="3.5701982608695655"/>
    <n v="502"/>
    <x v="1"/>
    <n v="1"/>
  </r>
  <r>
    <x v="4"/>
    <n v="5540246192594"/>
    <n v="307"/>
    <n v="2024.3520000000003"/>
    <n v="6.5939804560260598"/>
    <n v="195"/>
    <x v="1"/>
    <n v="1"/>
  </r>
  <r>
    <x v="4"/>
    <n v="5540246192831"/>
    <n v="418"/>
    <n v="3701.3760000000002"/>
    <n v="8.8549665071770338"/>
    <n v="567"/>
    <x v="1"/>
    <n v="1"/>
  </r>
  <r>
    <x v="4"/>
    <n v="5540246192836"/>
    <n v="61"/>
    <n v="8347.6224000000002"/>
    <n v="136.84626885245902"/>
    <n v="0"/>
    <x v="5"/>
    <n v="1"/>
  </r>
  <r>
    <x v="4"/>
    <n v="5540246192907"/>
    <n v="4446"/>
    <n v="124777.58400000002"/>
    <n v="28.06513360323887"/>
    <n v="2952"/>
    <x v="4"/>
    <n v="1"/>
  </r>
  <r>
    <x v="4"/>
    <n v="5540246193316"/>
    <n v="267"/>
    <n v="8728.3008000000009"/>
    <n v="32.690265168539327"/>
    <n v="467"/>
    <x v="0"/>
    <n v="1"/>
  </r>
  <r>
    <x v="4"/>
    <n v="5540246193409"/>
    <n v="107"/>
    <n v="5484.6719999999996"/>
    <n v="51.2586168224299"/>
    <n v="7"/>
    <x v="0"/>
    <n v="1"/>
  </r>
  <r>
    <x v="4"/>
    <n v="5540246193878"/>
    <n v="8352"/>
    <n v="59097.600000000006"/>
    <n v="7.0758620689655176"/>
    <n v="9652"/>
    <x v="4"/>
    <n v="1"/>
  </r>
  <r>
    <x v="4"/>
    <n v="5540246194330"/>
    <n v="8687"/>
    <n v="12777.523200000001"/>
    <n v="1.4708786922988375"/>
    <n v="11248"/>
    <x v="1"/>
    <n v="1"/>
  </r>
  <r>
    <x v="4"/>
    <n v="5540246194467"/>
    <n v="33854"/>
    <n v="34103.246400000004"/>
    <n v="1.0073623914456196"/>
    <n v="57462"/>
    <x v="0"/>
    <n v="1"/>
  </r>
  <r>
    <x v="4"/>
    <n v="5540246194478"/>
    <n v="724"/>
    <n v="31499.020800000002"/>
    <n v="43.506934806629836"/>
    <n v="608"/>
    <x v="5"/>
    <n v="1"/>
  </r>
  <r>
    <x v="4"/>
    <n v="5540246194632"/>
    <n v="0"/>
    <n v="0"/>
    <s v=""/>
    <n v="8571"/>
    <x v="0"/>
    <n v="0"/>
  </r>
  <r>
    <x v="4"/>
    <n v="5540246194790"/>
    <n v="0"/>
    <n v="0"/>
    <s v=""/>
    <n v="710"/>
    <x v="1"/>
    <n v="0"/>
  </r>
  <r>
    <x v="4"/>
    <n v="5540246194947"/>
    <n v="0"/>
    <n v="0"/>
    <s v=""/>
    <n v="17"/>
    <x v="5"/>
    <n v="0"/>
  </r>
  <r>
    <x v="4"/>
    <n v="5540246195096"/>
    <n v="2005"/>
    <n v="11925.2736"/>
    <n v="5.9477673815461349"/>
    <n v="307"/>
    <x v="1"/>
    <n v="1"/>
  </r>
  <r>
    <x v="4"/>
    <n v="5540246195241"/>
    <n v="0"/>
    <n v="0"/>
    <s v=""/>
    <n v="1165"/>
    <x v="1"/>
    <n v="0"/>
  </r>
  <r>
    <x v="4"/>
    <n v="5540246195242"/>
    <n v="0"/>
    <n v="0"/>
    <s v=""/>
    <n v="1209"/>
    <x v="1"/>
    <n v="0"/>
  </r>
  <r>
    <x v="4"/>
    <n v="5540246195250"/>
    <n v="0"/>
    <n v="0"/>
    <s v=""/>
    <n v="553"/>
    <x v="0"/>
    <n v="0"/>
  </r>
  <r>
    <x v="4"/>
    <n v="5540246195539"/>
    <n v="0"/>
    <n v="0"/>
    <s v=""/>
    <n v="460"/>
    <x v="3"/>
    <n v="0"/>
  </r>
  <r>
    <x v="4"/>
    <n v="5540246195596"/>
    <n v="0"/>
    <n v="0"/>
    <s v=""/>
    <n v="52"/>
    <x v="0"/>
    <n v="0"/>
  </r>
  <r>
    <x v="4"/>
    <n v="5540246195653"/>
    <n v="0"/>
    <n v="0"/>
    <s v=""/>
    <n v="0"/>
    <x v="5"/>
    <n v="0"/>
  </r>
  <r>
    <x v="5"/>
    <n v="5540246170256"/>
    <n v="5253"/>
    <n v="35307.532800000001"/>
    <n v="6.7214035408338093"/>
    <n v="10146"/>
    <x v="0"/>
    <n v="1"/>
  </r>
  <r>
    <x v="5"/>
    <n v="5540246171759"/>
    <n v="5884"/>
    <n v="32318.784"/>
    <n v="5.492655336505778"/>
    <n v="6042"/>
    <x v="1"/>
    <n v="1"/>
  </r>
  <r>
    <x v="5"/>
    <n v="5540246171888"/>
    <n v="1782"/>
    <n v="30025.727999999999"/>
    <n v="16.849454545454545"/>
    <n v="2532"/>
    <x v="0"/>
    <n v="1"/>
  </r>
  <r>
    <x v="5"/>
    <n v="5540246171933"/>
    <n v="1894"/>
    <n v="1251.4176000000002"/>
    <n v="0.66072734952481538"/>
    <n v="8520"/>
    <x v="3"/>
    <n v="1"/>
  </r>
  <r>
    <x v="5"/>
    <n v="5540246172539"/>
    <n v="112"/>
    <n v="2425.2912000000001"/>
    <n v="21.654385714285716"/>
    <n v="154"/>
    <x v="3"/>
    <n v="1"/>
  </r>
  <r>
    <x v="5"/>
    <n v="5540246172669"/>
    <n v="557"/>
    <n v="7801.92"/>
    <n v="14.007037701974866"/>
    <n v="1420"/>
    <x v="3"/>
    <n v="1"/>
  </r>
  <r>
    <x v="5"/>
    <n v="5540246172978"/>
    <n v="0"/>
    <n v="0"/>
    <s v=""/>
    <n v="15285"/>
    <x v="3"/>
    <n v="0"/>
  </r>
  <r>
    <x v="5"/>
    <n v="5540246173472"/>
    <n v="181"/>
    <n v="4178.3040000000001"/>
    <n v="23.084552486187846"/>
    <n v="850"/>
    <x v="3"/>
    <n v="1"/>
  </r>
  <r>
    <x v="5"/>
    <n v="5540246173492"/>
    <n v="0"/>
    <n v="0"/>
    <s v=""/>
    <n v="0"/>
    <x v="4"/>
    <n v="0"/>
  </r>
  <r>
    <x v="5"/>
    <n v="5540246173685"/>
    <n v="170"/>
    <n v="4417.2431999999999"/>
    <n v="25.983783529411763"/>
    <n v="121"/>
    <x v="5"/>
    <n v="1"/>
  </r>
  <r>
    <x v="5"/>
    <n v="5540246173686"/>
    <n v="151"/>
    <n v="3903.9840000000004"/>
    <n v="25.85419867549669"/>
    <n v="0"/>
    <x v="5"/>
    <n v="1"/>
  </r>
  <r>
    <x v="5"/>
    <n v="5540246173906"/>
    <n v="1750"/>
    <n v="32507.654400000003"/>
    <n v="18.575802514285716"/>
    <n v="3016"/>
    <x v="4"/>
    <n v="1"/>
  </r>
  <r>
    <x v="5"/>
    <n v="5540246174095"/>
    <n v="77"/>
    <n v="2389.3056000000001"/>
    <n v="31.02994285714286"/>
    <n v="154"/>
    <x v="3"/>
    <n v="1"/>
  </r>
  <r>
    <x v="5"/>
    <n v="5540246174174"/>
    <n v="91"/>
    <n v="1251.8063999999999"/>
    <n v="13.756114285714284"/>
    <n v="666"/>
    <x v="3"/>
    <n v="1"/>
  </r>
  <r>
    <x v="5"/>
    <n v="5540246175047"/>
    <n v="432"/>
    <n v="4572.0288"/>
    <n v="10.583399999999999"/>
    <n v="877"/>
    <x v="3"/>
    <n v="1"/>
  </r>
  <r>
    <x v="5"/>
    <n v="5540246175049"/>
    <n v="683"/>
    <n v="7099.7472000000007"/>
    <n v="10.394944655929724"/>
    <n v="4274"/>
    <x v="3"/>
    <n v="1"/>
  </r>
  <r>
    <x v="5"/>
    <n v="5540246175050"/>
    <n v="557"/>
    <n v="6448.8960000000006"/>
    <n v="11.57791023339318"/>
    <n v="3383"/>
    <x v="3"/>
    <n v="1"/>
  </r>
  <r>
    <x v="5"/>
    <n v="5540246175372"/>
    <n v="1949"/>
    <n v="7620.4800000000005"/>
    <n v="3.9099435608004107"/>
    <n v="522"/>
    <x v="0"/>
    <n v="1"/>
  </r>
  <r>
    <x v="5"/>
    <n v="5540246176294"/>
    <n v="2265"/>
    <n v="2146.0896000000002"/>
    <n v="0.94750092715231804"/>
    <n v="12027"/>
    <x v="3"/>
    <n v="1"/>
  </r>
  <r>
    <x v="5"/>
    <n v="5540246176295"/>
    <n v="10060"/>
    <n v="9534.3263999999999"/>
    <n v="0.94774616302186876"/>
    <n v="90907"/>
    <x v="3"/>
    <n v="1"/>
  </r>
  <r>
    <x v="5"/>
    <n v="5540246176699"/>
    <n v="4594"/>
    <n v="2164.0608000000002"/>
    <n v="0.47106242925555075"/>
    <n v="65355"/>
    <x v="3"/>
    <n v="1"/>
  </r>
  <r>
    <x v="5"/>
    <n v="5540246177133"/>
    <n v="13422"/>
    <n v="48732.840000000004"/>
    <n v="3.6308180599016544"/>
    <n v="39510"/>
    <x v="1"/>
    <n v="1"/>
  </r>
  <r>
    <x v="5"/>
    <n v="5540246177376"/>
    <n v="1775"/>
    <n v="71096.184000000008"/>
    <n v="40.05418816901409"/>
    <n v="1328"/>
    <x v="0"/>
    <n v="1"/>
  </r>
  <r>
    <x v="5"/>
    <n v="5540246180522"/>
    <n v="1184"/>
    <n v="20710.080000000002"/>
    <n v="17.491621621621622"/>
    <n v="1963"/>
    <x v="0"/>
    <n v="1"/>
  </r>
  <r>
    <x v="5"/>
    <n v="5540246181016"/>
    <n v="9577"/>
    <n v="78233.212800000008"/>
    <n v="8.1688642372350433"/>
    <n v="22189"/>
    <x v="4"/>
    <n v="1"/>
  </r>
  <r>
    <x v="5"/>
    <n v="5540246181061"/>
    <n v="22342"/>
    <n v="26458.617600000001"/>
    <n v="1.18425465938591"/>
    <n v="85817"/>
    <x v="4"/>
    <n v="1"/>
  </r>
  <r>
    <x v="5"/>
    <n v="5540246182684"/>
    <n v="33"/>
    <n v="1629.9360000000001"/>
    <n v="49.392000000000003"/>
    <n v="553"/>
    <x v="0"/>
    <n v="1"/>
  </r>
  <r>
    <x v="5"/>
    <n v="5540246183130"/>
    <n v="6202"/>
    <n v="26258.688000000002"/>
    <n v="4.2339064817800711"/>
    <n v="8227"/>
    <x v="1"/>
    <n v="1"/>
  </r>
  <r>
    <x v="5"/>
    <n v="5540246183455"/>
    <n v="557"/>
    <n v="4375.2960000000003"/>
    <n v="7.8551095152603239"/>
    <n v="557"/>
    <x v="1"/>
    <n v="1"/>
  </r>
  <r>
    <x v="5"/>
    <n v="5540246183537"/>
    <n v="3490"/>
    <n v="4905.4463999999998"/>
    <n v="1.4055720343839542"/>
    <n v="3527"/>
    <x v="1"/>
    <n v="1"/>
  </r>
  <r>
    <x v="5"/>
    <n v="5540246183538"/>
    <n v="5550"/>
    <n v="8029.0655999999999"/>
    <n v="1.4466784864864866"/>
    <n v="4065"/>
    <x v="1"/>
    <n v="1"/>
  </r>
  <r>
    <x v="5"/>
    <n v="5540246183541"/>
    <n v="1276"/>
    <n v="11499.84"/>
    <n v="9.0124137931034483"/>
    <n v="1439"/>
    <x v="1"/>
    <n v="1"/>
  </r>
  <r>
    <x v="5"/>
    <n v="5540246183542"/>
    <n v="2483"/>
    <n v="6979.8240000000005"/>
    <n v="2.8110447039871125"/>
    <n v="511"/>
    <x v="1"/>
    <n v="1"/>
  </r>
  <r>
    <x v="5"/>
    <n v="5540246183547"/>
    <n v="7842"/>
    <n v="80600.831999999995"/>
    <n v="10.278096403978576"/>
    <n v="20242"/>
    <x v="4"/>
    <n v="1"/>
  </r>
  <r>
    <x v="5"/>
    <n v="5540246183552"/>
    <n v="1819"/>
    <n v="3353.0111999999999"/>
    <n v="1.8433266630016492"/>
    <n v="279"/>
    <x v="1"/>
    <n v="1"/>
  </r>
  <r>
    <x v="5"/>
    <n v="5540246183554"/>
    <n v="1490"/>
    <n v="11193.595200000002"/>
    <n v="7.5124800000000009"/>
    <n v="0"/>
    <x v="1"/>
    <n v="1"/>
  </r>
  <r>
    <x v="5"/>
    <n v="5540246183555"/>
    <n v="1133"/>
    <n v="1513.6416000000002"/>
    <n v="1.3359590467784643"/>
    <n v="1207"/>
    <x v="1"/>
    <n v="1"/>
  </r>
  <r>
    <x v="5"/>
    <n v="5540246183558"/>
    <n v="3146"/>
    <n v="17339.443200000002"/>
    <n v="5.5115839796567077"/>
    <n v="6752"/>
    <x v="1"/>
    <n v="1"/>
  </r>
  <r>
    <x v="5"/>
    <n v="5540246183560"/>
    <n v="314"/>
    <n v="7639.92"/>
    <n v="24.330955414012738"/>
    <n v="469"/>
    <x v="1"/>
    <n v="1"/>
  </r>
  <r>
    <x v="5"/>
    <n v="5540246183562"/>
    <n v="511"/>
    <n v="1644.1920000000002"/>
    <n v="3.2175968688845407"/>
    <n v="511"/>
    <x v="1"/>
    <n v="1"/>
  </r>
  <r>
    <x v="5"/>
    <n v="5540246183587"/>
    <n v="578"/>
    <n v="12165.9408"/>
    <n v="21.048340484429065"/>
    <n v="655"/>
    <x v="1"/>
    <n v="1"/>
  </r>
  <r>
    <x v="5"/>
    <n v="5540246183589"/>
    <n v="952"/>
    <n v="12540.096000000001"/>
    <n v="13.172369747899161"/>
    <n v="1369"/>
    <x v="1"/>
    <n v="1"/>
  </r>
  <r>
    <x v="5"/>
    <n v="5540246183844"/>
    <n v="307"/>
    <n v="8838.7200000000012"/>
    <n v="28.790618892508146"/>
    <n v="437"/>
    <x v="0"/>
    <n v="1"/>
  </r>
  <r>
    <x v="5"/>
    <n v="5540246184036"/>
    <n v="193"/>
    <n v="3298.7520000000004"/>
    <n v="17.091979274611401"/>
    <n v="202"/>
    <x v="0"/>
    <n v="1"/>
  </r>
  <r>
    <x v="5"/>
    <n v="5540246185278"/>
    <n v="0"/>
    <n v="0"/>
    <s v=""/>
    <n v="48498"/>
    <x v="4"/>
    <n v="0"/>
  </r>
  <r>
    <x v="5"/>
    <n v="5540246185429"/>
    <n v="168"/>
    <n v="883.35360000000003"/>
    <n v="5.258057142857143"/>
    <n v="265"/>
    <x v="3"/>
    <n v="1"/>
  </r>
  <r>
    <x v="5"/>
    <n v="5540246185562"/>
    <n v="140"/>
    <n v="404.35199999999998"/>
    <n v="2.8882285714285714"/>
    <n v="362"/>
    <x v="3"/>
    <n v="1"/>
  </r>
  <r>
    <x v="5"/>
    <n v="5540246186010"/>
    <n v="98"/>
    <n v="14353.7184"/>
    <n v="146.46651428571428"/>
    <n v="12"/>
    <x v="5"/>
    <n v="1"/>
  </r>
  <r>
    <x v="5"/>
    <n v="5540246186011"/>
    <n v="100"/>
    <n v="5680.5408000000007"/>
    <n v="56.805408000000007"/>
    <n v="21"/>
    <x v="5"/>
    <n v="1"/>
  </r>
  <r>
    <x v="5"/>
    <n v="5540246186017"/>
    <n v="58"/>
    <n v="6140.88"/>
    <n v="105.87724137931035"/>
    <n v="7"/>
    <x v="5"/>
    <n v="1"/>
  </r>
  <r>
    <x v="5"/>
    <n v="5540246186325"/>
    <n v="293"/>
    <n v="718.50239999999997"/>
    <n v="2.4522266211604093"/>
    <n v="669"/>
    <x v="3"/>
    <n v="1"/>
  </r>
  <r>
    <x v="5"/>
    <n v="5540246186351"/>
    <n v="1246"/>
    <n v="73840.507200000007"/>
    <n v="59.262044301765656"/>
    <n v="140"/>
    <x v="1"/>
    <n v="1"/>
  </r>
  <r>
    <x v="5"/>
    <n v="5540246186352"/>
    <n v="4896"/>
    <n v="51500.880000000005"/>
    <n v="10.518970588235295"/>
    <n v="1798"/>
    <x v="1"/>
    <n v="1"/>
  </r>
  <r>
    <x v="5"/>
    <n v="5540246187882"/>
    <n v="42"/>
    <n v="1602.0288"/>
    <n v="38.143542857142862"/>
    <n v="3"/>
    <x v="5"/>
    <n v="1"/>
  </r>
  <r>
    <x v="5"/>
    <n v="5540246187987"/>
    <n v="5067"/>
    <n v="2519.1215999999999"/>
    <n v="0.49716234458259323"/>
    <n v="56683"/>
    <x v="3"/>
    <n v="1"/>
  </r>
  <r>
    <x v="5"/>
    <n v="5540246187995"/>
    <n v="2123"/>
    <n v="186216.40800000002"/>
    <n v="87.713804992934541"/>
    <n v="1406"/>
    <x v="5"/>
    <n v="1"/>
  </r>
  <r>
    <x v="5"/>
    <n v="5540246187996"/>
    <n v="295"/>
    <n v="13622.7312"/>
    <n v="46.178749830508472"/>
    <n v="24"/>
    <x v="5"/>
    <n v="1"/>
  </r>
  <r>
    <x v="5"/>
    <n v="5540246187997"/>
    <n v="31"/>
    <n v="1506.7728000000002"/>
    <n v="48.605574193548392"/>
    <n v="121"/>
    <x v="5"/>
    <n v="1"/>
  </r>
  <r>
    <x v="5"/>
    <n v="5540246187998"/>
    <n v="966"/>
    <n v="49618.483200000002"/>
    <n v="51.364889440993792"/>
    <n v="467"/>
    <x v="5"/>
    <n v="1"/>
  </r>
  <r>
    <x v="5"/>
    <n v="5540246188047"/>
    <n v="235"/>
    <n v="28544.054400000001"/>
    <n v="121.46406127659574"/>
    <n v="35"/>
    <x v="5"/>
    <n v="1"/>
  </r>
  <r>
    <x v="5"/>
    <n v="5540246188175"/>
    <n v="130"/>
    <n v="3773.2175999999999"/>
    <n v="29.024750769230767"/>
    <n v="632"/>
    <x v="3"/>
    <n v="1"/>
  </r>
  <r>
    <x v="5"/>
    <n v="5540246188200"/>
    <n v="75"/>
    <n v="139.36320000000001"/>
    <n v="1.858176"/>
    <n v="18820"/>
    <x v="3"/>
    <n v="1"/>
  </r>
  <r>
    <x v="5"/>
    <n v="5540246188224"/>
    <n v="8816"/>
    <n v="10342.08"/>
    <n v="1.173103448275862"/>
    <n v="57072"/>
    <x v="4"/>
    <n v="1"/>
  </r>
  <r>
    <x v="5"/>
    <n v="5540246188512"/>
    <n v="335"/>
    <n v="45797.529600000009"/>
    <n v="136.70904358208958"/>
    <n v="12"/>
    <x v="5"/>
    <n v="1"/>
  </r>
  <r>
    <x v="5"/>
    <n v="5540246188647"/>
    <n v="383"/>
    <n v="5666.76"/>
    <n v="14.795718015665797"/>
    <n v="383"/>
    <x v="1"/>
    <n v="1"/>
  </r>
  <r>
    <x v="5"/>
    <n v="5540246190092"/>
    <n v="119"/>
    <n v="16374.182400000002"/>
    <n v="137.59817142857145"/>
    <n v="42"/>
    <x v="5"/>
    <n v="1"/>
  </r>
  <r>
    <x v="5"/>
    <n v="5540246190727"/>
    <n v="1706"/>
    <n v="19270.310400000002"/>
    <n v="11.295609847596719"/>
    <n v="673"/>
    <x v="0"/>
    <n v="1"/>
  </r>
  <r>
    <x v="5"/>
    <n v="5540246190743"/>
    <n v="335"/>
    <n v="2836.6848"/>
    <n v="8.4677158208955223"/>
    <n v="836"/>
    <x v="3"/>
    <n v="1"/>
  </r>
  <r>
    <x v="5"/>
    <n v="5540246190831"/>
    <n v="743"/>
    <n v="5586.2784000000001"/>
    <n v="7.5185442799461644"/>
    <n v="163"/>
    <x v="1"/>
    <n v="1"/>
  </r>
  <r>
    <x v="5"/>
    <n v="5540246190835"/>
    <n v="112"/>
    <n v="23539.5072"/>
    <n v="210.17417142857144"/>
    <n v="33"/>
    <x v="0"/>
    <n v="1"/>
  </r>
  <r>
    <x v="5"/>
    <n v="5540246191394"/>
    <n v="1972"/>
    <n v="10531.296000000002"/>
    <n v="5.3404137931034494"/>
    <n v="232"/>
    <x v="3"/>
    <n v="1"/>
  </r>
  <r>
    <x v="5"/>
    <n v="5540246191594"/>
    <n v="808"/>
    <n v="1449.2304000000001"/>
    <n v="1.7936019801980201"/>
    <n v="3815"/>
    <x v="3"/>
    <n v="1"/>
  </r>
  <r>
    <x v="5"/>
    <n v="5540246191596"/>
    <n v="209"/>
    <n v="11944.3248"/>
    <n v="57.14987942583732"/>
    <n v="177"/>
    <x v="0"/>
    <n v="1"/>
  </r>
  <r>
    <x v="5"/>
    <n v="5540246191598"/>
    <n v="0"/>
    <n v="0"/>
    <s v=""/>
    <n v="6404"/>
    <x v="3"/>
    <n v="0"/>
  </r>
  <r>
    <x v="5"/>
    <n v="5540246191718"/>
    <n v="1949"/>
    <n v="5777.0496000000003"/>
    <n v="2.9641095946639302"/>
    <n v="195"/>
    <x v="1"/>
    <n v="1"/>
  </r>
  <r>
    <x v="5"/>
    <n v="5540246191736"/>
    <n v="270"/>
    <n v="8704.4544000000005"/>
    <n v="32.238720000000001"/>
    <n v="21"/>
    <x v="3"/>
    <n v="1"/>
  </r>
  <r>
    <x v="5"/>
    <n v="5540246192102"/>
    <n v="6988"/>
    <n v="8496.7487999999994"/>
    <n v="1.2159056668574699"/>
    <n v="11735"/>
    <x v="3"/>
    <n v="1"/>
  </r>
  <r>
    <x v="5"/>
    <n v="5540246192148"/>
    <n v="7239"/>
    <n v="26323.315200000001"/>
    <n v="3.6363192706174887"/>
    <n v="68475"/>
    <x v="1"/>
    <n v="1"/>
  </r>
  <r>
    <x v="5"/>
    <n v="5540246192209"/>
    <n v="1142"/>
    <n v="5738.688000000001"/>
    <n v="5.0251208406304739"/>
    <n v="2993"/>
    <x v="1"/>
    <n v="1"/>
  </r>
  <r>
    <x v="5"/>
    <n v="5540246192264"/>
    <n v="1225"/>
    <n v="17791.488000000001"/>
    <n v="14.52366367346939"/>
    <n v="1225"/>
    <x v="3"/>
    <n v="1"/>
  </r>
  <r>
    <x v="5"/>
    <n v="5540246192265"/>
    <n v="687"/>
    <n v="9193.996799999999"/>
    <n v="13.382819213973798"/>
    <n v="819"/>
    <x v="3"/>
    <n v="1"/>
  </r>
  <r>
    <x v="5"/>
    <n v="5540246192462"/>
    <n v="251"/>
    <n v="1779.9264000000001"/>
    <n v="7.0913402390438245"/>
    <n v="743"/>
    <x v="1"/>
    <n v="1"/>
  </r>
  <r>
    <x v="5"/>
    <n v="5540246192518"/>
    <n v="3332"/>
    <n v="23374.872000000003"/>
    <n v="7.0152677070828338"/>
    <n v="13447"/>
    <x v="1"/>
    <n v="1"/>
  </r>
  <r>
    <x v="5"/>
    <n v="5540246192571"/>
    <n v="961"/>
    <n v="4070.5632000000001"/>
    <n v="4.2357577523413115"/>
    <n v="1685"/>
    <x v="1"/>
    <n v="1"/>
  </r>
  <r>
    <x v="5"/>
    <n v="5540246192594"/>
    <n v="112"/>
    <n v="736.12800000000004"/>
    <n v="6.572571428571429"/>
    <n v="214"/>
    <x v="1"/>
    <n v="1"/>
  </r>
  <r>
    <x v="5"/>
    <n v="5540246192831"/>
    <n v="372"/>
    <n v="3290.1120000000005"/>
    <n v="8.8443870967741951"/>
    <n v="696"/>
    <x v="1"/>
    <n v="1"/>
  </r>
  <r>
    <x v="5"/>
    <n v="5540246192907"/>
    <n v="1365"/>
    <n v="38292.912000000004"/>
    <n v="28.053415384615388"/>
    <n v="4529"/>
    <x v="4"/>
    <n v="1"/>
  </r>
  <r>
    <x v="5"/>
    <n v="5540246193316"/>
    <n v="469"/>
    <n v="15875.049600000002"/>
    <n v="33.848719829424311"/>
    <n v="539"/>
    <x v="0"/>
    <n v="1"/>
  </r>
  <r>
    <x v="5"/>
    <n v="5540246193409"/>
    <n v="100"/>
    <n v="5126.9760000000006"/>
    <n v="51.269760000000005"/>
    <n v="19"/>
    <x v="0"/>
    <n v="1"/>
  </r>
  <r>
    <x v="5"/>
    <n v="5540246193878"/>
    <n v="12842"/>
    <n v="90862.560000000012"/>
    <n v="7.075421273944869"/>
    <n v="9106"/>
    <x v="4"/>
    <n v="1"/>
  </r>
  <r>
    <x v="5"/>
    <n v="5540246194467"/>
    <n v="40536"/>
    <n v="40834.152000000002"/>
    <n v="1.0073552397868561"/>
    <n v="51226"/>
    <x v="0"/>
    <n v="1"/>
  </r>
  <r>
    <x v="5"/>
    <n v="5540246194478"/>
    <n v="1341"/>
    <n v="58353.955200000004"/>
    <n v="43.51525369127517"/>
    <n v="722"/>
    <x v="5"/>
    <n v="1"/>
  </r>
  <r>
    <x v="5"/>
    <n v="5540246194632"/>
    <n v="2140"/>
    <n v="27642.297600000002"/>
    <n v="12.916961495327104"/>
    <n v="10311"/>
    <x v="0"/>
    <n v="1"/>
  </r>
  <r>
    <x v="5"/>
    <n v="5540246194790"/>
    <n v="1984"/>
    <n v="22900.32"/>
    <n v="11.5425"/>
    <n v="2276"/>
    <x v="1"/>
    <n v="1"/>
  </r>
  <r>
    <x v="5"/>
    <n v="5540246194947"/>
    <n v="0"/>
    <n v="0"/>
    <s v=""/>
    <n v="24"/>
    <x v="5"/>
    <n v="0"/>
  </r>
  <r>
    <x v="5"/>
    <n v="5540246195096"/>
    <n v="1699"/>
    <n v="10103.3568"/>
    <n v="5.9466490876986464"/>
    <n v="140"/>
    <x v="1"/>
    <n v="1"/>
  </r>
  <r>
    <x v="5"/>
    <n v="5540246195195"/>
    <n v="0"/>
    <n v="0"/>
    <s v=""/>
    <n v="0"/>
    <x v="5"/>
    <n v="0"/>
  </r>
  <r>
    <x v="5"/>
    <n v="5540246195241"/>
    <n v="395"/>
    <n v="11787.12"/>
    <n v="29.84081012658228"/>
    <n v="720"/>
    <x v="1"/>
    <n v="1"/>
  </r>
  <r>
    <x v="5"/>
    <n v="5540246195242"/>
    <n v="996"/>
    <n v="34378.344000000005"/>
    <n v="34.516409638554222"/>
    <n v="720"/>
    <x v="1"/>
    <n v="1"/>
  </r>
  <r>
    <x v="5"/>
    <n v="5540246195250"/>
    <n v="242"/>
    <n v="9466.3296000000009"/>
    <n v="39.117064462809921"/>
    <n v="729"/>
    <x v="0"/>
    <n v="1"/>
  </r>
  <r>
    <x v="5"/>
    <n v="5540246195653"/>
    <n v="404"/>
    <n v="13815.8784"/>
    <n v="34.197718811881188"/>
    <n v="200"/>
    <x v="5"/>
    <n v="1"/>
  </r>
  <r>
    <x v="5"/>
    <n v="5540246195943"/>
    <n v="0"/>
    <n v="0"/>
    <s v=""/>
    <n v="232"/>
    <x v="3"/>
    <n v="0"/>
  </r>
  <r>
    <x v="5"/>
    <n v="5540246195944"/>
    <n v="0"/>
    <n v="0"/>
    <s v=""/>
    <n v="116"/>
    <x v="3"/>
    <n v="0"/>
  </r>
  <r>
    <x v="5"/>
    <n v="5540246196046"/>
    <n v="0"/>
    <n v="0"/>
    <s v=""/>
    <n v="89"/>
    <x v="0"/>
    <n v="0"/>
  </r>
  <r>
    <x v="5"/>
    <n v="5540246196092"/>
    <n v="0"/>
    <n v="0"/>
    <s v=""/>
    <n v="353"/>
    <x v="4"/>
    <n v="0"/>
  </r>
  <r>
    <x v="6"/>
    <n v="5540246170256"/>
    <n v="3951"/>
    <n v="26558.625600000003"/>
    <n v="6.7220009111617323"/>
    <n v="10366"/>
    <x v="0"/>
    <n v="1"/>
  </r>
  <r>
    <x v="6"/>
    <n v="5540246171759"/>
    <n v="5188"/>
    <n v="28495.584000000003"/>
    <n v="5.4925952197378569"/>
    <n v="6415"/>
    <x v="1"/>
    <n v="1"/>
  </r>
  <r>
    <x v="6"/>
    <n v="5540246171888"/>
    <n v="1293"/>
    <n v="21776.472000000002"/>
    <n v="16.841819025522042"/>
    <n v="2383"/>
    <x v="0"/>
    <n v="1"/>
  </r>
  <r>
    <x v="6"/>
    <n v="5540246171933"/>
    <n v="0"/>
    <n v="0"/>
    <s v=""/>
    <n v="13141"/>
    <x v="3"/>
    <n v="0"/>
  </r>
  <r>
    <x v="6"/>
    <n v="5540246172539"/>
    <n v="75"/>
    <n v="1621.8144000000002"/>
    <n v="21.624192000000004"/>
    <n v="158"/>
    <x v="3"/>
    <n v="1"/>
  </r>
  <r>
    <x v="6"/>
    <n v="5540246172669"/>
    <n v="251"/>
    <n v="3511.8144000000002"/>
    <n v="13.991292430278886"/>
    <n v="1337"/>
    <x v="3"/>
    <n v="1"/>
  </r>
  <r>
    <x v="6"/>
    <n v="5540246172978"/>
    <n v="335"/>
    <n v="269.35200000000003"/>
    <n v="0.8040358208955225"/>
    <n v="16120"/>
    <x v="3"/>
    <n v="1"/>
  </r>
  <r>
    <x v="6"/>
    <n v="5540246173472"/>
    <n v="307"/>
    <n v="7070.9760000000006"/>
    <n v="23.032495114006515"/>
    <n v="696"/>
    <x v="3"/>
    <n v="1"/>
  </r>
  <r>
    <x v="6"/>
    <n v="5540246173492"/>
    <n v="3675"/>
    <n v="57309.120000000003"/>
    <n v="15.59431836734694"/>
    <n v="1448"/>
    <x v="4"/>
    <n v="1"/>
  </r>
  <r>
    <x v="6"/>
    <n v="5540246173685"/>
    <n v="49"/>
    <n v="1270.7280000000001"/>
    <n v="25.933224489795919"/>
    <n v="49"/>
    <x v="5"/>
    <n v="1"/>
  </r>
  <r>
    <x v="6"/>
    <n v="5540246173686"/>
    <n v="151"/>
    <n v="3903.9840000000004"/>
    <n v="25.85419867549669"/>
    <n v="154"/>
    <x v="5"/>
    <n v="1"/>
  </r>
  <r>
    <x v="6"/>
    <n v="5540246173906"/>
    <n v="3429"/>
    <n v="67527.345600000001"/>
    <n v="19.693014173228345"/>
    <n v="2896"/>
    <x v="4"/>
    <n v="1"/>
  </r>
  <r>
    <x v="6"/>
    <n v="5540246174095"/>
    <n v="98"/>
    <n v="3040.9344000000001"/>
    <n v="31.029942857142856"/>
    <n v="181"/>
    <x v="3"/>
    <n v="1"/>
  </r>
  <r>
    <x v="6"/>
    <n v="5540246174174"/>
    <n v="137"/>
    <n v="1893.7584000000002"/>
    <n v="13.823054014598542"/>
    <n v="752"/>
    <x v="3"/>
    <n v="1"/>
  </r>
  <r>
    <x v="6"/>
    <n v="5540246175047"/>
    <n v="529"/>
    <n v="5604.4224000000004"/>
    <n v="10.594371266540643"/>
    <n v="947"/>
    <x v="3"/>
    <n v="1"/>
  </r>
  <r>
    <x v="6"/>
    <n v="5540246175049"/>
    <n v="947"/>
    <n v="9852.7103999999999"/>
    <n v="10.404129250263992"/>
    <n v="5095"/>
    <x v="3"/>
    <n v="1"/>
  </r>
  <r>
    <x v="6"/>
    <n v="5540246175050"/>
    <n v="1379"/>
    <n v="15961.017600000001"/>
    <n v="11.574341986947063"/>
    <n v="3494"/>
    <x v="3"/>
    <n v="1"/>
  </r>
  <r>
    <x v="6"/>
    <n v="5540246175372"/>
    <n v="1462"/>
    <n v="5715.3600000000006"/>
    <n v="3.9092749658002739"/>
    <n v="140"/>
    <x v="0"/>
    <n v="1"/>
  </r>
  <r>
    <x v="6"/>
    <n v="5540246176294"/>
    <n v="483"/>
    <n v="457.35840000000007"/>
    <n v="0.94691180124223617"/>
    <n v="10691"/>
    <x v="3"/>
    <n v="1"/>
  </r>
  <r>
    <x v="6"/>
    <n v="5540246176295"/>
    <n v="6905"/>
    <n v="6543.8496000000005"/>
    <n v="0.94769726285300515"/>
    <n v="89200"/>
    <x v="3"/>
    <n v="1"/>
  </r>
  <r>
    <x v="6"/>
    <n v="5540246176699"/>
    <n v="7517"/>
    <n v="3835.1232"/>
    <n v="0.51019332180391108"/>
    <n v="72245"/>
    <x v="3"/>
    <n v="1"/>
  </r>
  <r>
    <x v="6"/>
    <n v="5540246177133"/>
    <n v="10707"/>
    <n v="38876.76"/>
    <n v="3.6309666573269825"/>
    <n v="34313"/>
    <x v="1"/>
    <n v="1"/>
  </r>
  <r>
    <x v="6"/>
    <n v="5540246177376"/>
    <n v="1692"/>
    <n v="67936.276800000007"/>
    <n v="40.151463829787239"/>
    <n v="1167"/>
    <x v="0"/>
    <n v="1"/>
  </r>
  <r>
    <x v="6"/>
    <n v="5540246180522"/>
    <n v="1337"/>
    <n v="25241.500800000002"/>
    <n v="18.879207778608826"/>
    <n v="1722"/>
    <x v="0"/>
    <n v="1"/>
  </r>
  <r>
    <x v="6"/>
    <n v="5540246181016"/>
    <n v="16788"/>
    <n v="144075.11040000001"/>
    <n v="8.5820294496068623"/>
    <n v="24110"/>
    <x v="4"/>
    <n v="1"/>
  </r>
  <r>
    <x v="6"/>
    <n v="5540246181061"/>
    <n v="76839"/>
    <n v="108596.50560000002"/>
    <n v="1.4132993089446768"/>
    <n v="87905"/>
    <x v="4"/>
    <n v="1"/>
  </r>
  <r>
    <x v="6"/>
    <n v="5540246182684"/>
    <n v="455"/>
    <n v="22819.103999999999"/>
    <n v="50.151876923076919"/>
    <n v="557"/>
    <x v="0"/>
    <n v="1"/>
  </r>
  <r>
    <x v="6"/>
    <n v="5540246183130"/>
    <n v="5680"/>
    <n v="24048.36"/>
    <n v="4.2338661971830991"/>
    <n v="8666"/>
    <x v="1"/>
    <n v="1"/>
  </r>
  <r>
    <x v="6"/>
    <n v="5540246183455"/>
    <n v="1044"/>
    <n v="8353.3680000000004"/>
    <n v="8.0013103448275871"/>
    <n v="627"/>
    <x v="1"/>
    <n v="1"/>
  </r>
  <r>
    <x v="6"/>
    <n v="5540246183537"/>
    <n v="6478"/>
    <n v="9106.387200000001"/>
    <n v="1.4057405372028406"/>
    <n v="3731"/>
    <x v="1"/>
    <n v="1"/>
  </r>
  <r>
    <x v="6"/>
    <n v="5540246183538"/>
    <n v="5160"/>
    <n v="7686.1440000000011"/>
    <n v="1.4895627906976747"/>
    <n v="4288"/>
    <x v="1"/>
    <n v="1"/>
  </r>
  <r>
    <x v="6"/>
    <n v="5540246183541"/>
    <n v="766"/>
    <n v="6899.9040000000005"/>
    <n v="9.0077075718015678"/>
    <n v="1439"/>
    <x v="1"/>
    <n v="1"/>
  </r>
  <r>
    <x v="6"/>
    <n v="5540246183542"/>
    <n v="1972"/>
    <n v="5544.72"/>
    <n v="2.8117241379310345"/>
    <n v="859"/>
    <x v="1"/>
    <n v="1"/>
  </r>
  <r>
    <x v="6"/>
    <n v="5540246183547"/>
    <n v="0"/>
    <n v="0"/>
    <s v=""/>
    <n v="14814"/>
    <x v="4"/>
    <n v="0"/>
  </r>
  <r>
    <x v="6"/>
    <n v="5540246183552"/>
    <n v="1541"/>
    <n v="2839.7952"/>
    <n v="1.842826216742375"/>
    <n v="223"/>
    <x v="1"/>
    <n v="1"/>
  </r>
  <r>
    <x v="6"/>
    <n v="5540246183554"/>
    <n v="1490"/>
    <n v="11193.595200000002"/>
    <n v="7.5124800000000009"/>
    <n v="84"/>
    <x v="1"/>
    <n v="1"/>
  </r>
  <r>
    <x v="6"/>
    <n v="5540246183555"/>
    <n v="2098"/>
    <n v="2803.9824000000003"/>
    <n v="1.3365025738798857"/>
    <n v="1522"/>
    <x v="1"/>
    <n v="1"/>
  </r>
  <r>
    <x v="6"/>
    <n v="5540246183558"/>
    <n v="4190"/>
    <n v="23093.683200000003"/>
    <n v="5.5116189021479718"/>
    <n v="6496"/>
    <x v="1"/>
    <n v="1"/>
  </r>
  <r>
    <x v="6"/>
    <n v="5540246183560"/>
    <n v="290"/>
    <n v="7074.0000000000009"/>
    <n v="24.393103448275866"/>
    <n v="288"/>
    <x v="1"/>
    <n v="1"/>
  </r>
  <r>
    <x v="6"/>
    <n v="5540246183587"/>
    <n v="926"/>
    <n v="19494.820800000001"/>
    <n v="21.052722246220302"/>
    <n v="759"/>
    <x v="1"/>
    <n v="1"/>
  </r>
  <r>
    <x v="6"/>
    <n v="5540246183589"/>
    <n v="882"/>
    <n v="11622.528000000002"/>
    <n v="13.177469387755105"/>
    <n v="1764"/>
    <x v="1"/>
    <n v="1"/>
  </r>
  <r>
    <x v="6"/>
    <n v="5540246183844"/>
    <n v="471"/>
    <n v="13592.880000000001"/>
    <n v="28.859617834394907"/>
    <n v="455"/>
    <x v="0"/>
    <n v="1"/>
  </r>
  <r>
    <x v="6"/>
    <n v="5540246184036"/>
    <n v="72"/>
    <n v="1348.3152000000002"/>
    <n v="18.726600000000005"/>
    <n v="65"/>
    <x v="0"/>
    <n v="1"/>
  </r>
  <r>
    <x v="6"/>
    <n v="5540246185278"/>
    <n v="78498"/>
    <n v="109479.25440000001"/>
    <n v="1.3946757165787664"/>
    <n v="82073"/>
    <x v="4"/>
    <n v="1"/>
  </r>
  <r>
    <x v="6"/>
    <n v="5540246185429"/>
    <n v="56"/>
    <n v="294.45120000000003"/>
    <n v="5.258057142857143"/>
    <n v="307"/>
    <x v="3"/>
    <n v="1"/>
  </r>
  <r>
    <x v="6"/>
    <n v="5540246185562"/>
    <n v="265"/>
    <n v="768.26880000000006"/>
    <n v="2.8991275471698117"/>
    <n v="362"/>
    <x v="3"/>
    <n v="1"/>
  </r>
  <r>
    <x v="6"/>
    <n v="5540246186010"/>
    <n v="86"/>
    <n v="12644.942400000002"/>
    <n v="147.0342139534884"/>
    <n v="17"/>
    <x v="5"/>
    <n v="1"/>
  </r>
  <r>
    <x v="6"/>
    <n v="5540246186011"/>
    <n v="79"/>
    <n v="4491.5904"/>
    <n v="56.855574683544305"/>
    <n v="17"/>
    <x v="5"/>
    <n v="1"/>
  </r>
  <r>
    <x v="6"/>
    <n v="5540246186017"/>
    <n v="52"/>
    <n v="5403.974400000001"/>
    <n v="103.92258461538464"/>
    <n v="7"/>
    <x v="5"/>
    <n v="1"/>
  </r>
  <r>
    <x v="6"/>
    <n v="5540246186325"/>
    <n v="279"/>
    <n v="684.28800000000012"/>
    <n v="2.4526451612903228"/>
    <n v="655"/>
    <x v="3"/>
    <n v="1"/>
  </r>
  <r>
    <x v="6"/>
    <n v="5540246186351"/>
    <n v="1107"/>
    <n v="65590.171199999997"/>
    <n v="59.250380487804875"/>
    <n v="188"/>
    <x v="1"/>
    <n v="1"/>
  </r>
  <r>
    <x v="6"/>
    <n v="5540246186352"/>
    <n v="4037"/>
    <n v="42469.920000000006"/>
    <n v="10.520168441912313"/>
    <n v="1996"/>
    <x v="1"/>
    <n v="1"/>
  </r>
  <r>
    <x v="6"/>
    <n v="5540246187882"/>
    <n v="40"/>
    <n v="1512.9936000000002"/>
    <n v="37.824840000000009"/>
    <n v="7"/>
    <x v="5"/>
    <n v="1"/>
  </r>
  <r>
    <x v="6"/>
    <n v="5540246187987"/>
    <n v="2395"/>
    <n v="1190.3328000000001"/>
    <n v="0.49700743215031323"/>
    <n v="60859"/>
    <x v="3"/>
    <n v="1"/>
  </r>
  <r>
    <x v="6"/>
    <n v="5540246187995"/>
    <n v="1889"/>
    <n v="165661.37280000001"/>
    <n v="87.697921016410803"/>
    <n v="1469"/>
    <x v="5"/>
    <n v="1"/>
  </r>
  <r>
    <x v="6"/>
    <n v="5540246187996"/>
    <n v="272"/>
    <n v="12550.075200000001"/>
    <n v="46.139982352941182"/>
    <n v="24"/>
    <x v="5"/>
    <n v="1"/>
  </r>
  <r>
    <x v="6"/>
    <n v="5540246187997"/>
    <n v="286"/>
    <n v="14256.388800000002"/>
    <n v="49.847513286713294"/>
    <n v="128"/>
    <x v="5"/>
    <n v="1"/>
  </r>
  <r>
    <x v="6"/>
    <n v="5540246187998"/>
    <n v="1126"/>
    <n v="57848.472000000009"/>
    <n v="51.375197158081711"/>
    <n v="462"/>
    <x v="5"/>
    <n v="1"/>
  </r>
  <r>
    <x v="6"/>
    <n v="5540246188047"/>
    <n v="195"/>
    <n v="23739.6096"/>
    <n v="121.74158769230769"/>
    <n v="38"/>
    <x v="5"/>
    <n v="1"/>
  </r>
  <r>
    <x v="6"/>
    <n v="5540246188175"/>
    <n v="93"/>
    <n v="2697.7536000000005"/>
    <n v="29.008103225806458"/>
    <n v="632"/>
    <x v="3"/>
    <n v="1"/>
  </r>
  <r>
    <x v="6"/>
    <n v="5540246188200"/>
    <n v="2265"/>
    <n v="4250.0591999999997"/>
    <n v="1.8764058278145694"/>
    <n v="20194"/>
    <x v="3"/>
    <n v="1"/>
  </r>
  <r>
    <x v="6"/>
    <n v="5540246188512"/>
    <n v="323"/>
    <n v="44207.337600000006"/>
    <n v="136.86482229102168"/>
    <n v="0"/>
    <x v="5"/>
    <n v="1"/>
  </r>
  <r>
    <x v="6"/>
    <n v="5540246190092"/>
    <n v="307"/>
    <n v="40035.988800000006"/>
    <n v="130.41038697068407"/>
    <n v="35"/>
    <x v="5"/>
    <n v="1"/>
  </r>
  <r>
    <x v="6"/>
    <n v="5540246190727"/>
    <n v="1033"/>
    <n v="11667.067200000001"/>
    <n v="11.294353533397871"/>
    <n v="952"/>
    <x v="0"/>
    <n v="1"/>
  </r>
  <r>
    <x v="6"/>
    <n v="5540246190743"/>
    <n v="335"/>
    <n v="2836.6848"/>
    <n v="8.4677158208955223"/>
    <n v="543"/>
    <x v="3"/>
    <n v="1"/>
  </r>
  <r>
    <x v="6"/>
    <n v="5540246190831"/>
    <n v="580"/>
    <n v="4364.2800000000007"/>
    <n v="7.5246206896551735"/>
    <n v="0"/>
    <x v="1"/>
    <n v="1"/>
  </r>
  <r>
    <x v="6"/>
    <n v="5540246190835"/>
    <n v="79"/>
    <n v="16673.817600000002"/>
    <n v="211.06098227848105"/>
    <n v="28"/>
    <x v="0"/>
    <n v="1"/>
  </r>
  <r>
    <x v="6"/>
    <n v="5540246191394"/>
    <n v="1740"/>
    <n v="9292.32"/>
    <n v="5.3404137931034485"/>
    <n v="232"/>
    <x v="3"/>
    <n v="1"/>
  </r>
  <r>
    <x v="6"/>
    <n v="5540246191594"/>
    <n v="1504"/>
    <n v="2698.5744"/>
    <n v="1.7942648936170214"/>
    <n v="3007"/>
    <x v="3"/>
    <n v="1"/>
  </r>
  <r>
    <x v="6"/>
    <n v="5540246191596"/>
    <n v="330"/>
    <n v="20022.681600000004"/>
    <n v="60.674792727272738"/>
    <n v="184"/>
    <x v="0"/>
    <n v="1"/>
  </r>
  <r>
    <x v="6"/>
    <n v="5540246191598"/>
    <n v="1601"/>
    <n v="3061.2816000000003"/>
    <n v="1.9121059337913806"/>
    <n v="6404"/>
    <x v="3"/>
    <n v="1"/>
  </r>
  <r>
    <x v="6"/>
    <n v="5540246191718"/>
    <n v="1754"/>
    <n v="5199.3360000000002"/>
    <n v="2.9642736602052451"/>
    <n v="0"/>
    <x v="1"/>
    <n v="1"/>
  </r>
  <r>
    <x v="6"/>
    <n v="5540246191736"/>
    <n v="249"/>
    <n v="8029.1088"/>
    <n v="32.245416867469878"/>
    <n v="0"/>
    <x v="3"/>
    <n v="1"/>
  </r>
  <r>
    <x v="6"/>
    <n v="5540246192102"/>
    <n v="7237"/>
    <n v="8879.4144000000015"/>
    <n v="1.2269468564322235"/>
    <n v="11921"/>
    <x v="3"/>
    <n v="1"/>
  </r>
  <r>
    <x v="6"/>
    <n v="5540246192148"/>
    <n v="20045"/>
    <n v="72895.334399999992"/>
    <n v="3.6365844050885503"/>
    <n v="65703"/>
    <x v="1"/>
    <n v="1"/>
  </r>
  <r>
    <x v="6"/>
    <n v="5540246192209"/>
    <n v="2604"/>
    <n v="13087.008000000002"/>
    <n v="5.0257327188940097"/>
    <n v="3425"/>
    <x v="1"/>
    <n v="1"/>
  </r>
  <r>
    <x v="6"/>
    <n v="5540246192264"/>
    <n v="0"/>
    <n v="0"/>
    <s v=""/>
    <n v="0"/>
    <x v="3"/>
    <n v="0"/>
  </r>
  <r>
    <x v="6"/>
    <n v="5540246192265"/>
    <n v="0"/>
    <n v="0"/>
    <s v=""/>
    <n v="0"/>
    <x v="3"/>
    <n v="0"/>
  </r>
  <r>
    <x v="6"/>
    <n v="5540246192462"/>
    <n v="1068"/>
    <n v="7626.8736000000008"/>
    <n v="7.1412674157303382"/>
    <n v="632"/>
    <x v="1"/>
    <n v="1"/>
  </r>
  <r>
    <x v="6"/>
    <n v="5540246192518"/>
    <n v="1253"/>
    <n v="8799.3216000000011"/>
    <n v="7.0226030327214692"/>
    <n v="10942"/>
    <x v="1"/>
    <n v="1"/>
  </r>
  <r>
    <x v="6"/>
    <n v="5540246192571"/>
    <n v="2534"/>
    <n v="11293.560000000001"/>
    <n v="4.4568113654301502"/>
    <n v="1657"/>
    <x v="1"/>
    <n v="1"/>
  </r>
  <r>
    <x v="6"/>
    <n v="5540246192594"/>
    <n v="195"/>
    <n v="1398.5568000000001"/>
    <n v="7.1720861538461538"/>
    <n v="242"/>
    <x v="1"/>
    <n v="1"/>
  </r>
  <r>
    <x v="6"/>
    <n v="5540246192831"/>
    <n v="1235"/>
    <n v="10939.622400000002"/>
    <n v="8.8579938461538479"/>
    <n v="659"/>
    <x v="1"/>
    <n v="1"/>
  </r>
  <r>
    <x v="6"/>
    <n v="5540246192907"/>
    <n v="1300"/>
    <n v="36469.440000000002"/>
    <n v="28.053415384615388"/>
    <n v="3351"/>
    <x v="4"/>
    <n v="1"/>
  </r>
  <r>
    <x v="6"/>
    <n v="5540246193316"/>
    <n v="265"/>
    <n v="8992.6848000000009"/>
    <n v="33.934659622641512"/>
    <n v="516"/>
    <x v="0"/>
    <n v="1"/>
  </r>
  <r>
    <x v="6"/>
    <n v="5540246193409"/>
    <n v="82"/>
    <n v="4173.12"/>
    <n v="50.89170731707317"/>
    <n v="5"/>
    <x v="0"/>
    <n v="1"/>
  </r>
  <r>
    <x v="6"/>
    <n v="5540246193878"/>
    <n v="3736"/>
    <n v="26429.760000000002"/>
    <n v="7.0743468950749469"/>
    <n v="6682"/>
    <x v="4"/>
    <n v="1"/>
  </r>
  <r>
    <x v="6"/>
    <n v="5540246194467"/>
    <n v="61694"/>
    <n v="62148.686400000006"/>
    <n v="1.0073700262586314"/>
    <n v="55848"/>
    <x v="0"/>
    <n v="1"/>
  </r>
  <r>
    <x v="6"/>
    <n v="5540246194478"/>
    <n v="615"/>
    <n v="26753.976000000002"/>
    <n v="43.502400000000002"/>
    <n v="701"/>
    <x v="5"/>
    <n v="1"/>
  </r>
  <r>
    <x v="6"/>
    <n v="5540246194632"/>
    <n v="2963"/>
    <n v="38285.481599999999"/>
    <n v="12.921188525143435"/>
    <n v="10656"/>
    <x v="0"/>
    <n v="1"/>
  </r>
  <r>
    <x v="6"/>
    <n v="5540246194790"/>
    <n v="4970"/>
    <n v="57371.328000000001"/>
    <n v="11.543526760563381"/>
    <n v="1775"/>
    <x v="1"/>
    <n v="1"/>
  </r>
  <r>
    <x v="6"/>
    <n v="5540246194947"/>
    <n v="209"/>
    <n v="5579.2800000000007"/>
    <n v="26.695119617224883"/>
    <n v="142"/>
    <x v="5"/>
    <n v="1"/>
  </r>
  <r>
    <x v="6"/>
    <n v="5540246195096"/>
    <n v="1560"/>
    <n v="9275.2128000000012"/>
    <n v="5.9456492307692317"/>
    <n v="186"/>
    <x v="1"/>
    <n v="1"/>
  </r>
  <r>
    <x v="6"/>
    <n v="5540246195195"/>
    <n v="54"/>
    <n v="5010.7248000000009"/>
    <n v="92.791200000000018"/>
    <n v="0"/>
    <x v="5"/>
    <n v="1"/>
  </r>
  <r>
    <x v="6"/>
    <n v="5540246195241"/>
    <n v="1160"/>
    <n v="34668"/>
    <n v="29.886206896551723"/>
    <n v="743"/>
    <x v="1"/>
    <n v="1"/>
  </r>
  <r>
    <x v="6"/>
    <n v="5540246195242"/>
    <n v="1506"/>
    <n v="52569"/>
    <n v="34.906374501992033"/>
    <n v="696"/>
    <x v="1"/>
    <n v="1"/>
  </r>
  <r>
    <x v="6"/>
    <n v="5540246195250"/>
    <n v="516"/>
    <n v="20206.9728"/>
    <n v="39.160800000000002"/>
    <n v="613"/>
    <x v="0"/>
    <n v="1"/>
  </r>
  <r>
    <x v="6"/>
    <n v="5540246195653"/>
    <n v="205"/>
    <n v="6987.3408000000009"/>
    <n v="34.084589268292689"/>
    <n v="151"/>
    <x v="5"/>
    <n v="1"/>
  </r>
  <r>
    <x v="6"/>
    <n v="5540246195943"/>
    <n v="0"/>
    <n v="0"/>
    <s v=""/>
    <n v="1369"/>
    <x v="3"/>
    <n v="0"/>
  </r>
  <r>
    <x v="6"/>
    <n v="5540246195944"/>
    <n v="812"/>
    <n v="22271.760000000002"/>
    <n v="27.428275862068968"/>
    <n v="1137"/>
    <x v="3"/>
    <n v="1"/>
  </r>
  <r>
    <x v="6"/>
    <n v="5540246195999"/>
    <n v="0"/>
    <n v="0"/>
    <s v=""/>
    <n v="0"/>
    <x v="1"/>
    <n v="0"/>
  </r>
  <r>
    <x v="6"/>
    <n v="5540246196002"/>
    <n v="0"/>
    <n v="0"/>
    <s v=""/>
    <n v="0"/>
    <x v="3"/>
    <n v="0"/>
  </r>
  <r>
    <x v="6"/>
    <n v="5540246196046"/>
    <n v="239"/>
    <n v="4341.0384000000004"/>
    <n v="18.163340585774058"/>
    <n v="799"/>
    <x v="0"/>
    <n v="1"/>
  </r>
  <r>
    <x v="6"/>
    <n v="5540246196065"/>
    <n v="0"/>
    <n v="0"/>
    <s v=""/>
    <n v="0"/>
    <x v="0"/>
    <n v="0"/>
  </r>
  <r>
    <x v="6"/>
    <n v="5540246196092"/>
    <n v="1096"/>
    <n v="47254.752000000008"/>
    <n v="43.115649635036505"/>
    <n v="1244"/>
    <x v="4"/>
    <n v="1"/>
  </r>
  <r>
    <x v="6"/>
    <n v="5540246196148"/>
    <n v="0"/>
    <n v="0"/>
    <s v=""/>
    <n v="418"/>
    <x v="5"/>
    <n v="0"/>
  </r>
  <r>
    <x v="7"/>
    <n v="5540246170256"/>
    <n v="5390"/>
    <n v="38746.512000000002"/>
    <n v="7.1885922077922082"/>
    <n v="9691"/>
    <x v="0"/>
    <n v="1"/>
  </r>
  <r>
    <x v="7"/>
    <n v="5540246171759"/>
    <n v="5455"/>
    <n v="32439.268800000002"/>
    <n v="5.9467037213565543"/>
    <n v="7508"/>
    <x v="1"/>
    <n v="1"/>
  </r>
  <r>
    <x v="7"/>
    <n v="5540246171888"/>
    <n v="1641"/>
    <n v="29189.376000000004"/>
    <n v="17.787553930530166"/>
    <n v="2441"/>
    <x v="0"/>
    <n v="1"/>
  </r>
  <r>
    <x v="7"/>
    <n v="5540246171933"/>
    <n v="0"/>
    <n v="0"/>
    <s v=""/>
    <n v="12139"/>
    <x v="3"/>
    <n v="0"/>
  </r>
  <r>
    <x v="7"/>
    <n v="5540246172539"/>
    <n v="33"/>
    <n v="710.0784000000001"/>
    <n v="21.517527272727275"/>
    <n v="184"/>
    <x v="3"/>
    <n v="1"/>
  </r>
  <r>
    <x v="7"/>
    <n v="5540246172669"/>
    <n v="28"/>
    <n v="390.18239999999997"/>
    <n v="13.935085714285714"/>
    <n v="1657"/>
    <x v="3"/>
    <n v="1"/>
  </r>
  <r>
    <x v="7"/>
    <n v="5540246172978"/>
    <n v="1587"/>
    <n v="1279.4544000000001"/>
    <n v="0.80620945179584125"/>
    <n v="15452"/>
    <x v="3"/>
    <n v="1"/>
  </r>
  <r>
    <x v="7"/>
    <n v="5540246173472"/>
    <n v="446"/>
    <n v="10511.510399999999"/>
    <n v="23.568408968609862"/>
    <n v="933"/>
    <x v="3"/>
    <n v="1"/>
  </r>
  <r>
    <x v="7"/>
    <n v="5540246173492"/>
    <n v="2228"/>
    <n v="34732.800000000003"/>
    <n v="15.58922800718133"/>
    <n v="1337"/>
    <x v="4"/>
    <n v="1"/>
  </r>
  <r>
    <x v="7"/>
    <n v="5540246173906"/>
    <n v="3392"/>
    <n v="66808.972800000003"/>
    <n v="19.696041509433964"/>
    <n v="2562"/>
    <x v="4"/>
    <n v="1"/>
  </r>
  <r>
    <x v="7"/>
    <n v="5540246174095"/>
    <n v="56"/>
    <n v="1777.5936000000002"/>
    <n v="31.742742857142861"/>
    <n v="230"/>
    <x v="3"/>
    <n v="1"/>
  </r>
  <r>
    <x v="7"/>
    <n v="5540246174174"/>
    <n v="35"/>
    <n v="481.46400000000006"/>
    <n v="13.756114285714288"/>
    <n v="826"/>
    <x v="3"/>
    <n v="1"/>
  </r>
  <r>
    <x v="7"/>
    <n v="5540246175047"/>
    <n v="140"/>
    <n v="1503.3600000000001"/>
    <n v="10.738285714285714"/>
    <n v="1142"/>
    <x v="3"/>
    <n v="1"/>
  </r>
  <r>
    <x v="7"/>
    <n v="5540246175049"/>
    <n v="585"/>
    <n v="6237.9072000000006"/>
    <n v="10.663089230769232"/>
    <n v="5861"/>
    <x v="3"/>
    <n v="1"/>
  </r>
  <r>
    <x v="7"/>
    <n v="5540246175050"/>
    <n v="1086"/>
    <n v="12890.750400000001"/>
    <n v="11.869935911602211"/>
    <n v="4135"/>
    <x v="3"/>
    <n v="1"/>
  </r>
  <r>
    <x v="7"/>
    <n v="5540246176294"/>
    <n v="1300"/>
    <n v="1231.3728000000001"/>
    <n v="0.94720984615384618"/>
    <n v="10617"/>
    <x v="3"/>
    <n v="1"/>
  </r>
  <r>
    <x v="7"/>
    <n v="5540246176295"/>
    <n v="6200"/>
    <n v="5875.4160000000002"/>
    <n v="0.94764774193548384"/>
    <n v="87669"/>
    <x v="3"/>
    <n v="1"/>
  </r>
  <r>
    <x v="7"/>
    <n v="5540246176699"/>
    <n v="627"/>
    <n v="320.76000000000005"/>
    <n v="0.51157894736842113"/>
    <n v="80806"/>
    <x v="3"/>
    <n v="1"/>
  </r>
  <r>
    <x v="7"/>
    <n v="5540246177133"/>
    <n v="20846"/>
    <n v="86480.265600000013"/>
    <n v="4.1485304422910874"/>
    <n v="36817"/>
    <x v="1"/>
    <n v="1"/>
  </r>
  <r>
    <x v="7"/>
    <n v="5540246177376"/>
    <n v="1945"/>
    <n v="78166.512000000002"/>
    <n v="40.188438046272495"/>
    <n v="1017"/>
    <x v="0"/>
    <n v="1"/>
  </r>
  <r>
    <x v="7"/>
    <n v="5540246180522"/>
    <n v="729"/>
    <n v="14005.656000000001"/>
    <n v="19.212148148148149"/>
    <n v="1856"/>
    <x v="0"/>
    <n v="1"/>
  </r>
  <r>
    <x v="7"/>
    <n v="5540246181016"/>
    <n v="29427"/>
    <n v="256275.6624"/>
    <n v="8.7088613314303185"/>
    <n v="19656"/>
    <x v="4"/>
    <n v="1"/>
  </r>
  <r>
    <x v="7"/>
    <n v="5540246181061"/>
    <n v="80388"/>
    <n v="117954.14400000001"/>
    <n v="1.4673103448275864"/>
    <n v="84356"/>
    <x v="4"/>
    <n v="1"/>
  </r>
  <r>
    <x v="7"/>
    <n v="5540246182684"/>
    <n v="362"/>
    <n v="18162.144"/>
    <n v="50.17166850828729"/>
    <n v="601"/>
    <x v="0"/>
    <n v="1"/>
  </r>
  <r>
    <x v="7"/>
    <n v="5540246183130"/>
    <n v="4511"/>
    <n v="19097.251200000002"/>
    <n v="4.2334850809133231"/>
    <n v="9438"/>
    <x v="1"/>
    <n v="1"/>
  </r>
  <r>
    <x v="7"/>
    <n v="5540246183455"/>
    <n v="418"/>
    <n v="3341.3472000000002"/>
    <n v="7.9936535885167466"/>
    <n v="604"/>
    <x v="1"/>
    <n v="1"/>
  </r>
  <r>
    <x v="7"/>
    <n v="5540246183537"/>
    <n v="2747"/>
    <n v="3861.7344000000003"/>
    <n v="1.405800655260284"/>
    <n v="4251"/>
    <x v="1"/>
    <n v="1"/>
  </r>
  <r>
    <x v="7"/>
    <n v="5540246183538"/>
    <n v="4548"/>
    <n v="6858.4319999999998"/>
    <n v="1.5080105540897097"/>
    <n v="4808"/>
    <x v="1"/>
    <n v="1"/>
  </r>
  <r>
    <x v="7"/>
    <n v="5540246183541"/>
    <n v="2112"/>
    <n v="19027.007999999998"/>
    <n v="9.0089999999999986"/>
    <n v="1392"/>
    <x v="1"/>
    <n v="1"/>
  </r>
  <r>
    <x v="7"/>
    <n v="5540246183542"/>
    <n v="1114"/>
    <n v="3131.136"/>
    <n v="2.810714542190305"/>
    <n v="1114"/>
    <x v="1"/>
    <n v="1"/>
  </r>
  <r>
    <x v="7"/>
    <n v="5540246183547"/>
    <n v="9802"/>
    <n v="141270.48000000001"/>
    <n v="14.412413793103449"/>
    <n v="17505"/>
    <x v="4"/>
    <n v="1"/>
  </r>
  <r>
    <x v="7"/>
    <n v="5540246183552"/>
    <n v="1318"/>
    <n v="2429.2224000000006"/>
    <n v="1.8431125948406681"/>
    <n v="446"/>
    <x v="1"/>
    <n v="1"/>
  </r>
  <r>
    <x v="7"/>
    <n v="5540246183554"/>
    <n v="1406"/>
    <n v="10565.942400000002"/>
    <n v="7.5148950213371277"/>
    <n v="516"/>
    <x v="1"/>
    <n v="1"/>
  </r>
  <r>
    <x v="7"/>
    <n v="5540246183555"/>
    <n v="576"/>
    <n v="769.21920000000011"/>
    <n v="1.3354500000000002"/>
    <n v="1188"/>
    <x v="1"/>
    <n v="1"/>
  </r>
  <r>
    <x v="7"/>
    <n v="5540246183558"/>
    <n v="8051"/>
    <n v="46380.297600000005"/>
    <n v="5.7608120233511375"/>
    <n v="7401"/>
    <x v="1"/>
    <n v="1"/>
  </r>
  <r>
    <x v="7"/>
    <n v="5540246183560"/>
    <n v="448"/>
    <n v="10922.256000000001"/>
    <n v="24.380035714285718"/>
    <n v="481"/>
    <x v="1"/>
    <n v="1"/>
  </r>
  <r>
    <x v="7"/>
    <n v="5540246183587"/>
    <n v="1177"/>
    <n v="24771.614400000002"/>
    <n v="21.046401359388277"/>
    <n v="773"/>
    <x v="1"/>
    <n v="1"/>
  </r>
  <r>
    <x v="7"/>
    <n v="5540246183589"/>
    <n v="2355"/>
    <n v="31044.384000000002"/>
    <n v="13.182328662420383"/>
    <n v="1984"/>
    <x v="1"/>
    <n v="1"/>
  </r>
  <r>
    <x v="7"/>
    <n v="5540246183844"/>
    <n v="481"/>
    <n v="13860.720000000001"/>
    <n v="28.816465696465698"/>
    <n v="411"/>
    <x v="0"/>
    <n v="1"/>
  </r>
  <r>
    <x v="7"/>
    <n v="5540246185278"/>
    <n v="56114"/>
    <n v="78261.37920000001"/>
    <n v="1.3946854474819119"/>
    <n v="86114"/>
    <x v="4"/>
    <n v="1"/>
  </r>
  <r>
    <x v="7"/>
    <n v="5540246185429"/>
    <n v="168"/>
    <n v="883.35360000000003"/>
    <n v="5.258057142857143"/>
    <n v="321"/>
    <x v="3"/>
    <n v="1"/>
  </r>
  <r>
    <x v="7"/>
    <n v="5540246185562"/>
    <n v="168"/>
    <n v="485.22239999999999"/>
    <n v="2.8882285714285714"/>
    <n v="529"/>
    <x v="3"/>
    <n v="1"/>
  </r>
  <r>
    <x v="7"/>
    <n v="5540246186010"/>
    <n v="70"/>
    <n v="10252.656000000001"/>
    <n v="146.46651428571431"/>
    <n v="14"/>
    <x v="5"/>
    <n v="1"/>
  </r>
  <r>
    <x v="7"/>
    <n v="5540246186011"/>
    <n v="63"/>
    <n v="3566.8512000000001"/>
    <n v="56.616685714285715"/>
    <n v="12"/>
    <x v="5"/>
    <n v="1"/>
  </r>
  <r>
    <x v="7"/>
    <n v="5540246186017"/>
    <n v="45"/>
    <n v="4667.0688"/>
    <n v="103.71263999999999"/>
    <n v="10"/>
    <x v="5"/>
    <n v="1"/>
  </r>
  <r>
    <x v="7"/>
    <n v="5540246186325"/>
    <n v="181"/>
    <n v="444.78719999999998"/>
    <n v="2.4573878453038671"/>
    <n v="794"/>
    <x v="3"/>
    <n v="1"/>
  </r>
  <r>
    <x v="7"/>
    <n v="5540246186351"/>
    <n v="919"/>
    <n v="54452.217600000004"/>
    <n v="59.251596953210012"/>
    <n v="188"/>
    <x v="1"/>
    <n v="1"/>
  </r>
  <r>
    <x v="7"/>
    <n v="5540246186352"/>
    <n v="2123"/>
    <n v="22333.32"/>
    <n v="10.519698539802167"/>
    <n v="1914"/>
    <x v="1"/>
    <n v="1"/>
  </r>
  <r>
    <x v="7"/>
    <n v="5540246187882"/>
    <n v="195"/>
    <n v="7813.152"/>
    <n v="40.067446153846156"/>
    <n v="7"/>
    <x v="5"/>
    <n v="1"/>
  </r>
  <r>
    <x v="7"/>
    <n v="5540246187987"/>
    <n v="335"/>
    <n v="166.10400000000001"/>
    <n v="0.49583283582089555"/>
    <n v="59300"/>
    <x v="3"/>
    <n v="1"/>
  </r>
  <r>
    <x v="7"/>
    <n v="5540246187995"/>
    <n v="3084"/>
    <n v="270471.70080000005"/>
    <n v="87.701589105058389"/>
    <n v="1228"/>
    <x v="5"/>
    <n v="1"/>
  </r>
  <r>
    <x v="7"/>
    <n v="5540246187996"/>
    <n v="249"/>
    <n v="11477.4192"/>
    <n v="46.094053012048192"/>
    <n v="10"/>
    <x v="5"/>
    <n v="1"/>
  </r>
  <r>
    <x v="7"/>
    <n v="5540246187997"/>
    <n v="362"/>
    <n v="18081.2736"/>
    <n v="49.948269613259669"/>
    <n v="93"/>
    <x v="5"/>
    <n v="1"/>
  </r>
  <r>
    <x v="7"/>
    <n v="5540246187998"/>
    <n v="1891"/>
    <n v="97209.288000000015"/>
    <n v="51.406286620835544"/>
    <n v="432"/>
    <x v="5"/>
    <n v="1"/>
  </r>
  <r>
    <x v="7"/>
    <n v="5540246188047"/>
    <n v="158"/>
    <n v="19217.779200000004"/>
    <n v="121.63151392405067"/>
    <n v="31"/>
    <x v="5"/>
    <n v="1"/>
  </r>
  <r>
    <x v="7"/>
    <n v="5540246188175"/>
    <n v="19"/>
    <n v="539.5680000000001"/>
    <n v="28.398315789473688"/>
    <n v="956"/>
    <x v="3"/>
    <n v="1"/>
  </r>
  <r>
    <x v="7"/>
    <n v="5540246188200"/>
    <n v="632"/>
    <n v="1184.4576000000002"/>
    <n v="1.8741417721518989"/>
    <n v="16964"/>
    <x v="3"/>
    <n v="1"/>
  </r>
  <r>
    <x v="7"/>
    <n v="5540246188512"/>
    <n v="323"/>
    <n v="44207.337600000006"/>
    <n v="136.86482229102168"/>
    <n v="0"/>
    <x v="5"/>
    <n v="1"/>
  </r>
  <r>
    <x v="7"/>
    <n v="5540246190092"/>
    <n v="272"/>
    <n v="35486.424000000006"/>
    <n v="130.46479411764707"/>
    <n v="42"/>
    <x v="5"/>
    <n v="1"/>
  </r>
  <r>
    <x v="7"/>
    <n v="5540246190727"/>
    <n v="93"/>
    <n v="1048.7232000000001"/>
    <n v="11.276593548387098"/>
    <n v="720"/>
    <x v="0"/>
    <n v="1"/>
  </r>
  <r>
    <x v="7"/>
    <n v="5540246190743"/>
    <n v="209"/>
    <n v="1796.6448"/>
    <n v="8.5963866028708136"/>
    <n v="766"/>
    <x v="3"/>
    <n v="1"/>
  </r>
  <r>
    <x v="7"/>
    <n v="5540246190831"/>
    <n v="580"/>
    <n v="4364.2800000000007"/>
    <n v="7.5246206896551735"/>
    <n v="93"/>
    <x v="1"/>
    <n v="1"/>
  </r>
  <r>
    <x v="7"/>
    <n v="5540246190835"/>
    <n v="52"/>
    <n v="10788.9408"/>
    <n v="207.47963076923077"/>
    <n v="26"/>
    <x v="0"/>
    <n v="1"/>
  </r>
  <r>
    <x v="7"/>
    <n v="5540246191394"/>
    <n v="1508"/>
    <n v="8053.344000000001"/>
    <n v="5.3404137931034485"/>
    <n v="1508"/>
    <x v="3"/>
    <n v="1"/>
  </r>
  <r>
    <x v="7"/>
    <n v="5540246191594"/>
    <n v="2979"/>
    <n v="5347.2096000000001"/>
    <n v="1.7949679758308157"/>
    <n v="2979"/>
    <x v="3"/>
    <n v="1"/>
  </r>
  <r>
    <x v="7"/>
    <n v="5540246191596"/>
    <n v="147"/>
    <n v="8883.3024000000005"/>
    <n v="60.430628571428578"/>
    <n v="212"/>
    <x v="0"/>
    <n v="1"/>
  </r>
  <r>
    <x v="7"/>
    <n v="5540246191598"/>
    <n v="1476"/>
    <n v="2821.6943999999999"/>
    <n v="1.9117170731707316"/>
    <n v="4594"/>
    <x v="3"/>
    <n v="1"/>
  </r>
  <r>
    <x v="7"/>
    <n v="5540246191718"/>
    <n v="1754"/>
    <n v="5199.3360000000002"/>
    <n v="2.9642736602052451"/>
    <n v="293"/>
    <x v="1"/>
    <n v="1"/>
  </r>
  <r>
    <x v="7"/>
    <n v="5540246191736"/>
    <n v="898"/>
    <n v="29523.009600000001"/>
    <n v="32.876402672605792"/>
    <n v="82"/>
    <x v="3"/>
    <n v="1"/>
  </r>
  <r>
    <x v="7"/>
    <n v="5540246192102"/>
    <n v="3216"/>
    <n v="3951.7632000000003"/>
    <n v="1.228782089552239"/>
    <n v="12116"/>
    <x v="3"/>
    <n v="1"/>
  </r>
  <r>
    <x v="7"/>
    <n v="5540246192148"/>
    <n v="6682"/>
    <n v="27458.611199999999"/>
    <n v="4.1093401975456452"/>
    <n v="62919"/>
    <x v="1"/>
    <n v="1"/>
  </r>
  <r>
    <x v="7"/>
    <n v="5540246192209"/>
    <n v="3606"/>
    <n v="18615.916799999999"/>
    <n v="5.1624838602329453"/>
    <n v="3564"/>
    <x v="1"/>
    <n v="1"/>
  </r>
  <r>
    <x v="7"/>
    <n v="5540246192462"/>
    <n v="873"/>
    <n v="6235.7472000000007"/>
    <n v="7.1428948453608259"/>
    <n v="632"/>
    <x v="1"/>
    <n v="1"/>
  </r>
  <r>
    <x v="7"/>
    <n v="5540246192518"/>
    <n v="5012"/>
    <n v="38808.460800000008"/>
    <n v="7.743108699122109"/>
    <n v="10858"/>
    <x v="1"/>
    <n v="1"/>
  </r>
  <r>
    <x v="7"/>
    <n v="5540246192571"/>
    <n v="1991"/>
    <n v="8880.9264000000003"/>
    <n v="4.460535610246108"/>
    <n v="1573"/>
    <x v="1"/>
    <n v="1"/>
  </r>
  <r>
    <x v="7"/>
    <n v="5540246192594"/>
    <n v="251"/>
    <n v="1826.5824"/>
    <n v="7.277220717131474"/>
    <n v="901"/>
    <x v="1"/>
    <n v="1"/>
  </r>
  <r>
    <x v="7"/>
    <n v="5540246192831"/>
    <n v="576"/>
    <n v="5099.6736000000001"/>
    <n v="8.8536000000000001"/>
    <n v="780"/>
    <x v="1"/>
    <n v="1"/>
  </r>
  <r>
    <x v="7"/>
    <n v="5540246192907"/>
    <n v="2404"/>
    <n v="67468.464000000007"/>
    <n v="28.065084858569055"/>
    <n v="4659"/>
    <x v="4"/>
    <n v="1"/>
  </r>
  <r>
    <x v="7"/>
    <n v="5540246193316"/>
    <n v="864"/>
    <n v="29344.550400000004"/>
    <n v="33.963600000000007"/>
    <n v="594"/>
    <x v="0"/>
    <n v="1"/>
  </r>
  <r>
    <x v="7"/>
    <n v="5540246193409"/>
    <n v="77"/>
    <n v="3934.6559999999999"/>
    <n v="51.099428571428568"/>
    <n v="14"/>
    <x v="0"/>
    <n v="1"/>
  </r>
  <r>
    <x v="7"/>
    <n v="5540246193878"/>
    <n v="13804"/>
    <n v="97675.200000000012"/>
    <n v="7.0758620689655185"/>
    <n v="6682"/>
    <x v="4"/>
    <n v="1"/>
  </r>
  <r>
    <x v="7"/>
    <n v="5540246194467"/>
    <n v="64422"/>
    <n v="64897.156800000004"/>
    <n v="1.007375691533948"/>
    <n v="54901"/>
    <x v="0"/>
    <n v="1"/>
  </r>
  <r>
    <x v="7"/>
    <n v="5540246194478"/>
    <n v="14"/>
    <n v="605.75040000000001"/>
    <n v="43.267885714285718"/>
    <n v="17"/>
    <x v="5"/>
    <n v="1"/>
  </r>
  <r>
    <x v="7"/>
    <n v="5540246194632"/>
    <n v="1924"/>
    <n v="24854.083200000001"/>
    <n v="12.917922661122661"/>
    <n v="10009"/>
    <x v="0"/>
    <n v="1"/>
  </r>
  <r>
    <x v="7"/>
    <n v="5540246194790"/>
    <n v="3174"/>
    <n v="36640.512000000002"/>
    <n v="11.543954631379963"/>
    <n v="1671"/>
    <x v="1"/>
    <n v="1"/>
  </r>
  <r>
    <x v="7"/>
    <n v="5540246194947"/>
    <n v="68"/>
    <n v="1797.768"/>
    <n v="26.437764705882355"/>
    <n v="72"/>
    <x v="5"/>
    <n v="1"/>
  </r>
  <r>
    <x v="7"/>
    <n v="5540246195096"/>
    <n v="1374"/>
    <n v="8171.0208000000011"/>
    <n v="5.9468855895196517"/>
    <n v="103"/>
    <x v="1"/>
    <n v="1"/>
  </r>
  <r>
    <x v="7"/>
    <n v="5540246195195"/>
    <n v="54"/>
    <n v="5010.7248000000009"/>
    <n v="92.791200000000018"/>
    <n v="0"/>
    <x v="5"/>
    <n v="1"/>
  </r>
  <r>
    <x v="7"/>
    <n v="5540246195241"/>
    <n v="1184"/>
    <n v="36216.2016"/>
    <n v="30.588008108108109"/>
    <n v="604"/>
    <x v="1"/>
    <n v="1"/>
  </r>
  <r>
    <x v="7"/>
    <n v="5540246195242"/>
    <n v="1529"/>
    <n v="53666.539199999999"/>
    <n v="35.099110006540222"/>
    <n v="696"/>
    <x v="1"/>
    <n v="1"/>
  </r>
  <r>
    <x v="7"/>
    <n v="5540246195250"/>
    <n v="780"/>
    <n v="30583.526400000002"/>
    <n v="39.209649230769237"/>
    <n v="796"/>
    <x v="0"/>
    <n v="1"/>
  </r>
  <r>
    <x v="7"/>
    <n v="5540246195653"/>
    <n v="492"/>
    <n v="16833.139200000001"/>
    <n v="34.213697560975611"/>
    <n v="168"/>
    <x v="5"/>
    <n v="1"/>
  </r>
  <r>
    <x v="7"/>
    <n v="5540246195943"/>
    <n v="673"/>
    <n v="20019.743999999999"/>
    <n v="29.747019316493311"/>
    <n v="836"/>
    <x v="3"/>
    <n v="1"/>
  </r>
  <r>
    <x v="7"/>
    <n v="5540246195944"/>
    <n v="140"/>
    <n v="3818.0160000000001"/>
    <n v="27.271542857142858"/>
    <n v="232"/>
    <x v="3"/>
    <n v="1"/>
  </r>
  <r>
    <x v="7"/>
    <n v="5540246195999"/>
    <n v="5012"/>
    <n v="23906.5344"/>
    <n v="4.7698592178770953"/>
    <n v="244"/>
    <x v="1"/>
    <n v="1"/>
  </r>
  <r>
    <x v="7"/>
    <n v="5540246196002"/>
    <n v="845"/>
    <n v="40790.131200000003"/>
    <n v="48.272344615384618"/>
    <n v="26"/>
    <x v="3"/>
    <n v="1"/>
  </r>
  <r>
    <x v="7"/>
    <n v="5540246196046"/>
    <n v="919"/>
    <n v="16689.801600000003"/>
    <n v="18.160828726877043"/>
    <n v="785"/>
    <x v="0"/>
    <n v="1"/>
  </r>
  <r>
    <x v="7"/>
    <n v="5540246196065"/>
    <n v="891"/>
    <n v="20594.995200000001"/>
    <n v="23.11447272727273"/>
    <n v="116"/>
    <x v="0"/>
    <n v="1"/>
  </r>
  <r>
    <x v="7"/>
    <n v="5540246196092"/>
    <n v="1782"/>
    <n v="76889.088000000018"/>
    <n v="43.147636363636373"/>
    <n v="1225"/>
    <x v="4"/>
    <n v="1"/>
  </r>
  <r>
    <x v="7"/>
    <n v="5540246196148"/>
    <n v="362"/>
    <n v="16450.387200000001"/>
    <n v="45.443058563535914"/>
    <n v="666"/>
    <x v="5"/>
    <n v="1"/>
  </r>
  <r>
    <x v="7"/>
    <n v="5540246196466"/>
    <n v="0"/>
    <n v="0"/>
    <s v=""/>
    <n v="966"/>
    <x v="0"/>
    <n v="0"/>
  </r>
  <r>
    <x v="8"/>
    <n v="5540246170256"/>
    <n v="8503"/>
    <n v="61969.5792"/>
    <n v="7.2879665059390799"/>
    <n v="1332"/>
    <x v="0"/>
    <n v="1"/>
  </r>
  <r>
    <x v="8"/>
    <n v="5540246171759"/>
    <n v="2636"/>
    <n v="16366.5792"/>
    <n v="6.2088691957511379"/>
    <n v="854"/>
    <x v="1"/>
    <n v="1"/>
  </r>
  <r>
    <x v="8"/>
    <n v="5540246171888"/>
    <n v="1297"/>
    <n v="23644.094400000002"/>
    <n v="18.229833770239015"/>
    <n v="369"/>
    <x v="0"/>
    <n v="1"/>
  </r>
  <r>
    <x v="8"/>
    <n v="5540246171933"/>
    <n v="0"/>
    <n v="0"/>
    <s v=""/>
    <n v="2784"/>
    <x v="3"/>
    <n v="0"/>
  </r>
  <r>
    <x v="8"/>
    <n v="5540246172539"/>
    <n v="49"/>
    <n v="1065.2256000000002"/>
    <n v="21.739297959183677"/>
    <n v="21"/>
    <x v="3"/>
    <n v="1"/>
  </r>
  <r>
    <x v="8"/>
    <n v="5540246172669"/>
    <n v="265"/>
    <n v="3706.9056000000005"/>
    <n v="13.988323018867927"/>
    <n v="279"/>
    <x v="3"/>
    <n v="1"/>
  </r>
  <r>
    <x v="8"/>
    <n v="5540246172978"/>
    <n v="1170"/>
    <n v="942.75360000000001"/>
    <n v="0.80577230769230768"/>
    <n v="1671"/>
    <x v="3"/>
    <n v="1"/>
  </r>
  <r>
    <x v="8"/>
    <n v="5540246173472"/>
    <n v="348"/>
    <n v="8228.9519999999993"/>
    <n v="23.646413793103445"/>
    <n v="0"/>
    <x v="3"/>
    <n v="1"/>
  </r>
  <r>
    <x v="8"/>
    <n v="5540246173492"/>
    <n v="891"/>
    <n v="13893.12"/>
    <n v="15.592727272727274"/>
    <n v="0"/>
    <x v="4"/>
    <n v="1"/>
  </r>
  <r>
    <x v="8"/>
    <n v="5540246173906"/>
    <n v="2037"/>
    <n v="41111.8848"/>
    <n v="20.182564948453606"/>
    <n v="822"/>
    <x v="4"/>
    <n v="1"/>
  </r>
  <r>
    <x v="8"/>
    <n v="5540246174095"/>
    <n v="35"/>
    <n v="1128.9023999999999"/>
    <n v="32.254354285714285"/>
    <n v="7"/>
    <x v="3"/>
    <n v="1"/>
  </r>
  <r>
    <x v="8"/>
    <n v="5540246174174"/>
    <n v="91"/>
    <n v="1251.8063999999999"/>
    <n v="13.756114285714284"/>
    <n v="96"/>
    <x v="3"/>
    <n v="1"/>
  </r>
  <r>
    <x v="8"/>
    <n v="5540246175047"/>
    <n v="404"/>
    <n v="4374.7776000000003"/>
    <n v="10.828657425742575"/>
    <n v="84"/>
    <x v="3"/>
    <n v="1"/>
  </r>
  <r>
    <x v="8"/>
    <n v="5540246175049"/>
    <n v="140"/>
    <n v="1550.0160000000001"/>
    <n v="11.071542857142857"/>
    <n v="975"/>
    <x v="3"/>
    <n v="1"/>
  </r>
  <r>
    <x v="8"/>
    <n v="5540246175050"/>
    <n v="474"/>
    <n v="5789.1455999999998"/>
    <n v="12.213387341772151"/>
    <n v="516"/>
    <x v="3"/>
    <n v="1"/>
  </r>
  <r>
    <x v="8"/>
    <n v="5540246176294"/>
    <n v="409"/>
    <n v="386.98560000000003"/>
    <n v="0.94617506112469441"/>
    <n v="1411"/>
    <x v="3"/>
    <n v="1"/>
  </r>
  <r>
    <x v="8"/>
    <n v="5540246176295"/>
    <n v="11886"/>
    <n v="11264.8752"/>
    <n v="0.94774316002019188"/>
    <n v="11099"/>
    <x v="3"/>
    <n v="1"/>
  </r>
  <r>
    <x v="8"/>
    <n v="5540246176699"/>
    <n v="4803"/>
    <n v="2459.1600000000003"/>
    <n v="0.512004996876952"/>
    <n v="11484"/>
    <x v="3"/>
    <n v="1"/>
  </r>
  <r>
    <x v="8"/>
    <n v="5540246177133"/>
    <n v="12366"/>
    <n v="55791.028800000007"/>
    <n v="4.5116471615720526"/>
    <n v="5708"/>
    <x v="1"/>
    <n v="1"/>
  </r>
  <r>
    <x v="8"/>
    <n v="5540246177376"/>
    <n v="928"/>
    <n v="37310.976000000002"/>
    <n v="40.205793103448279"/>
    <n v="184"/>
    <x v="0"/>
    <n v="1"/>
  </r>
  <r>
    <x v="8"/>
    <n v="5540246180522"/>
    <n v="543"/>
    <n v="10564.689600000002"/>
    <n v="19.456150276243097"/>
    <n v="279"/>
    <x v="0"/>
    <n v="1"/>
  </r>
  <r>
    <x v="8"/>
    <n v="5540246181016"/>
    <n v="17456"/>
    <n v="152767.29600000003"/>
    <n v="8.7515637030247504"/>
    <n v="3536"/>
    <x v="4"/>
    <n v="1"/>
  </r>
  <r>
    <x v="8"/>
    <n v="5540246181061"/>
    <n v="13886"/>
    <n v="20477.3184"/>
    <n v="1.4746736569206396"/>
    <n v="13364"/>
    <x v="4"/>
    <n v="1"/>
  </r>
  <r>
    <x v="8"/>
    <n v="5540246182684"/>
    <n v="226"/>
    <n v="11293.128000000001"/>
    <n v="49.969592920353982"/>
    <n v="79"/>
    <x v="0"/>
    <n v="1"/>
  </r>
  <r>
    <x v="8"/>
    <n v="5540246183130"/>
    <n v="11986"/>
    <n v="50749.113600000004"/>
    <n v="4.2340325045886873"/>
    <n v="1379"/>
    <x v="1"/>
    <n v="1"/>
  </r>
  <r>
    <x v="8"/>
    <n v="5540246183455"/>
    <n v="859"/>
    <n v="6906.6864000000005"/>
    <n v="8.040379976717114"/>
    <n v="24"/>
    <x v="1"/>
    <n v="1"/>
  </r>
  <r>
    <x v="8"/>
    <n v="5540246183537"/>
    <n v="6200"/>
    <n v="8714.9951999999994"/>
    <n v="1.4056443870967741"/>
    <n v="650"/>
    <x v="1"/>
    <n v="1"/>
  </r>
  <r>
    <x v="8"/>
    <n v="5540246183538"/>
    <n v="3416"/>
    <n v="5188.9680000000008"/>
    <n v="1.5190187353629978"/>
    <n v="761"/>
    <x v="1"/>
    <n v="1"/>
  </r>
  <r>
    <x v="8"/>
    <n v="5540246183541"/>
    <n v="2413"/>
    <n v="25748.236800000002"/>
    <n v="10.670632739328637"/>
    <n v="372"/>
    <x v="1"/>
    <n v="1"/>
  </r>
  <r>
    <x v="8"/>
    <n v="5540246183547"/>
    <n v="1207"/>
    <n v="17387.136000000002"/>
    <n v="14.405249378624692"/>
    <n v="1207"/>
    <x v="4"/>
    <n v="1"/>
  </r>
  <r>
    <x v="8"/>
    <n v="5540246183552"/>
    <n v="873"/>
    <n v="1608.0768"/>
    <n v="1.8420123711340206"/>
    <n v="56"/>
    <x v="1"/>
    <n v="1"/>
  </r>
  <r>
    <x v="8"/>
    <n v="5540246183554"/>
    <n v="1782"/>
    <n v="13589.553600000001"/>
    <n v="7.6260121212121215"/>
    <n v="0"/>
    <x v="1"/>
    <n v="1"/>
  </r>
  <r>
    <x v="8"/>
    <n v="5540246183555"/>
    <n v="3750"/>
    <n v="5012.4528"/>
    <n v="1.33665408"/>
    <n v="260"/>
    <x v="1"/>
    <n v="1"/>
  </r>
  <r>
    <x v="8"/>
    <n v="5540246183558"/>
    <n v="7146"/>
    <n v="42218.668800000007"/>
    <n v="5.9080141057934519"/>
    <n v="1021"/>
    <x v="1"/>
    <n v="1"/>
  </r>
  <r>
    <x v="8"/>
    <n v="5540246183560"/>
    <n v="1082"/>
    <n v="24858.014400000004"/>
    <n v="22.97413530499076"/>
    <n v="75"/>
    <x v="1"/>
    <n v="1"/>
  </r>
  <r>
    <x v="8"/>
    <n v="5540246183587"/>
    <n v="905"/>
    <n v="19055.088"/>
    <n v="21.05534585635359"/>
    <n v="140"/>
    <x v="1"/>
    <n v="1"/>
  </r>
  <r>
    <x v="8"/>
    <n v="5540246183589"/>
    <n v="1021"/>
    <n v="13457.664000000001"/>
    <n v="13.180865817825662"/>
    <n v="430"/>
    <x v="1"/>
    <n v="1"/>
  </r>
  <r>
    <x v="8"/>
    <n v="5540246183844"/>
    <n v="256"/>
    <n v="7365.6"/>
    <n v="28.771875000000001"/>
    <n v="79"/>
    <x v="0"/>
    <n v="1"/>
  </r>
  <r>
    <x v="8"/>
    <n v="5540246185278"/>
    <n v="0"/>
    <n v="0"/>
    <s v=""/>
    <n v="14923"/>
    <x v="4"/>
    <n v="0"/>
  </r>
  <r>
    <x v="8"/>
    <n v="5540246185429"/>
    <n v="126"/>
    <n v="662.51520000000005"/>
    <n v="5.258057142857143"/>
    <n v="42"/>
    <x v="3"/>
    <n v="1"/>
  </r>
  <r>
    <x v="8"/>
    <n v="5540246185562"/>
    <n v="362"/>
    <n v="1051.3152000000002"/>
    <n v="2.9041856353591164"/>
    <n v="209"/>
    <x v="3"/>
    <n v="1"/>
  </r>
  <r>
    <x v="8"/>
    <n v="5540246186010"/>
    <n v="56"/>
    <n v="8202.1248000000014"/>
    <n v="146.46651428571431"/>
    <n v="5"/>
    <x v="5"/>
    <n v="1"/>
  </r>
  <r>
    <x v="8"/>
    <n v="5540246186011"/>
    <n v="52"/>
    <n v="2906.3232000000003"/>
    <n v="55.890830769230774"/>
    <n v="0"/>
    <x v="5"/>
    <n v="1"/>
  </r>
  <r>
    <x v="8"/>
    <n v="5540246186017"/>
    <n v="35"/>
    <n v="3684.5280000000002"/>
    <n v="105.27222857142858"/>
    <n v="3"/>
    <x v="5"/>
    <n v="1"/>
  </r>
  <r>
    <x v="8"/>
    <n v="5540246186325"/>
    <n v="362"/>
    <n v="889.57439999999997"/>
    <n v="2.4573878453038671"/>
    <n v="70"/>
    <x v="3"/>
    <n v="1"/>
  </r>
  <r>
    <x v="8"/>
    <n v="5540246186351"/>
    <n v="731"/>
    <n v="43314.264000000003"/>
    <n v="59.253439124487009"/>
    <n v="0"/>
    <x v="1"/>
    <n v="1"/>
  </r>
  <r>
    <x v="8"/>
    <n v="5540246186352"/>
    <n v="2088"/>
    <n v="21967.200000000001"/>
    <n v="10.520689655172415"/>
    <n v="256"/>
    <x v="1"/>
    <n v="1"/>
  </r>
  <r>
    <x v="8"/>
    <n v="5540246187882"/>
    <n v="188"/>
    <n v="7534.1232000000009"/>
    <n v="40.075123404255322"/>
    <n v="3"/>
    <x v="5"/>
    <n v="1"/>
  </r>
  <r>
    <x v="8"/>
    <n v="5540246187987"/>
    <n v="2339"/>
    <n v="1162.6848"/>
    <n v="0.49708627618640444"/>
    <n v="6905"/>
    <x v="3"/>
    <n v="1"/>
  </r>
  <r>
    <x v="8"/>
    <n v="5540246187995"/>
    <n v="3172"/>
    <n v="278205.27840000001"/>
    <n v="87.706582093316527"/>
    <n v="179"/>
    <x v="5"/>
    <n v="1"/>
  </r>
  <r>
    <x v="8"/>
    <n v="5540246187996"/>
    <n v="258"/>
    <n v="11906.481600000001"/>
    <n v="46.1491534883721"/>
    <n v="0"/>
    <x v="5"/>
    <n v="1"/>
  </r>
  <r>
    <x v="8"/>
    <n v="5540246187997"/>
    <n v="272"/>
    <n v="13560.955200000002"/>
    <n v="49.856452941176478"/>
    <n v="10"/>
    <x v="5"/>
    <n v="1"/>
  </r>
  <r>
    <x v="8"/>
    <n v="5540246187998"/>
    <n v="1467"/>
    <n v="75381.926400000011"/>
    <n v="51.385089570552154"/>
    <n v="61"/>
    <x v="5"/>
    <n v="1"/>
  </r>
  <r>
    <x v="8"/>
    <n v="5540246188047"/>
    <n v="128"/>
    <n v="15543.792000000001"/>
    <n v="121.43587500000001"/>
    <n v="7"/>
    <x v="5"/>
    <n v="1"/>
  </r>
  <r>
    <x v="8"/>
    <n v="5540246188175"/>
    <n v="168"/>
    <n v="4856.2848000000004"/>
    <n v="28.906457142857146"/>
    <n v="186"/>
    <x v="3"/>
    <n v="1"/>
  </r>
  <r>
    <x v="8"/>
    <n v="5540246188200"/>
    <n v="632"/>
    <n v="1184.4576000000002"/>
    <n v="1.8741417721518989"/>
    <n v="3490"/>
    <x v="3"/>
    <n v="1"/>
  </r>
  <r>
    <x v="8"/>
    <n v="5540246188512"/>
    <n v="323"/>
    <n v="44207.337600000006"/>
    <n v="136.86482229102168"/>
    <n v="0"/>
    <x v="5"/>
    <n v="1"/>
  </r>
  <r>
    <x v="8"/>
    <n v="5540246190092"/>
    <n v="230"/>
    <n v="30026.980800000001"/>
    <n v="130.55209043478263"/>
    <n v="0"/>
    <x v="5"/>
    <n v="1"/>
  </r>
  <r>
    <x v="8"/>
    <n v="5540246190727"/>
    <n v="1880"/>
    <n v="21236.644800000002"/>
    <n v="11.29608765957447"/>
    <n v="186"/>
    <x v="0"/>
    <n v="1"/>
  </r>
  <r>
    <x v="8"/>
    <n v="5540246190743"/>
    <n v="279"/>
    <n v="2417.8175999999999"/>
    <n v="8.6660129032258055"/>
    <n v="0"/>
    <x v="3"/>
    <n v="1"/>
  </r>
  <r>
    <x v="8"/>
    <n v="5540246190831"/>
    <n v="476"/>
    <n v="3578.7312000000002"/>
    <n v="7.5183428571428577"/>
    <n v="0"/>
    <x v="1"/>
    <n v="1"/>
  </r>
  <r>
    <x v="8"/>
    <n v="5540246190835"/>
    <n v="26"/>
    <n v="5394.4704000000002"/>
    <n v="207.47963076923077"/>
    <n v="12"/>
    <x v="0"/>
    <n v="1"/>
  </r>
  <r>
    <x v="8"/>
    <n v="5540246191594"/>
    <n v="0"/>
    <n v="0"/>
    <s v=""/>
    <n v="0"/>
    <x v="3"/>
    <n v="0"/>
  </r>
  <r>
    <x v="8"/>
    <n v="5540246191596"/>
    <n v="158"/>
    <n v="9728.1648000000005"/>
    <n v="61.57066329113924"/>
    <n v="72"/>
    <x v="0"/>
    <n v="1"/>
  </r>
  <r>
    <x v="8"/>
    <n v="5540246191598"/>
    <n v="84"/>
    <n v="159.71039999999999"/>
    <n v="1.9013142857142857"/>
    <n v="0"/>
    <x v="3"/>
    <n v="1"/>
  </r>
  <r>
    <x v="8"/>
    <n v="5540246191718"/>
    <n v="1462"/>
    <n v="4332.7872000000007"/>
    <n v="2.9636027359781125"/>
    <n v="0"/>
    <x v="1"/>
    <n v="1"/>
  </r>
  <r>
    <x v="8"/>
    <n v="5540246191736"/>
    <n v="817"/>
    <n v="26852.990400000002"/>
    <n v="32.867797307221544"/>
    <n v="0"/>
    <x v="3"/>
    <n v="1"/>
  </r>
  <r>
    <x v="8"/>
    <n v="5540246192102"/>
    <n v="9188"/>
    <n v="11290.752"/>
    <n v="1.2288585111014367"/>
    <n v="1128"/>
    <x v="3"/>
    <n v="1"/>
  </r>
  <r>
    <x v="8"/>
    <n v="5540246192148"/>
    <n v="20045"/>
    <n v="90288.691200000001"/>
    <n v="4.5042998852581695"/>
    <n v="7796"/>
    <x v="1"/>
    <n v="1"/>
  </r>
  <r>
    <x v="8"/>
    <n v="5540246192209"/>
    <n v="4497"/>
    <n v="23701.5936"/>
    <n v="5.2705344896597728"/>
    <n v="613"/>
    <x v="1"/>
    <n v="1"/>
  </r>
  <r>
    <x v="8"/>
    <n v="5540246192462"/>
    <n v="1133"/>
    <n v="8289.3024000000005"/>
    <n v="7.316242188879083"/>
    <n v="93"/>
    <x v="1"/>
    <n v="1"/>
  </r>
  <r>
    <x v="8"/>
    <n v="5540246192518"/>
    <n v="6933"/>
    <n v="54588.600000000006"/>
    <n v="7.8737343141497194"/>
    <n v="1671"/>
    <x v="1"/>
    <n v="1"/>
  </r>
  <r>
    <x v="8"/>
    <n v="5540246192571"/>
    <n v="2423"/>
    <n v="10819.699200000001"/>
    <n v="4.4654144449030131"/>
    <n v="460"/>
    <x v="1"/>
    <n v="1"/>
  </r>
  <r>
    <x v="8"/>
    <n v="5540246192594"/>
    <n v="1430"/>
    <n v="10870.675200000001"/>
    <n v="7.6018707692307705"/>
    <n v="93"/>
    <x v="1"/>
    <n v="1"/>
  </r>
  <r>
    <x v="8"/>
    <n v="5540246192831"/>
    <n v="826"/>
    <n v="7501.9823999999999"/>
    <n v="9.0823031476997578"/>
    <n v="65"/>
    <x v="1"/>
    <n v="1"/>
  </r>
  <r>
    <x v="8"/>
    <n v="5540246192907"/>
    <n v="6654"/>
    <n v="186775.63200000001"/>
    <n v="28.069677186654644"/>
    <n v="1968"/>
    <x v="4"/>
    <n v="1"/>
  </r>
  <r>
    <x v="8"/>
    <n v="5540246193316"/>
    <n v="270"/>
    <n v="9150.4511999999995"/>
    <n v="33.890560000000001"/>
    <n v="126"/>
    <x v="0"/>
    <n v="1"/>
  </r>
  <r>
    <x v="8"/>
    <n v="5540246193409"/>
    <n v="63"/>
    <n v="3219.2640000000006"/>
    <n v="51.099428571428582"/>
    <n v="3"/>
    <x v="0"/>
    <n v="1"/>
  </r>
  <r>
    <x v="8"/>
    <n v="5540246193878"/>
    <n v="29395"/>
    <n v="207990.72"/>
    <n v="7.0757176390542611"/>
    <n v="986"/>
    <x v="4"/>
    <n v="1"/>
  </r>
  <r>
    <x v="8"/>
    <n v="5540246194467"/>
    <n v="93209"/>
    <n v="93896.150400000013"/>
    <n v="1.0073721464665431"/>
    <n v="8909"/>
    <x v="0"/>
    <n v="1"/>
  </r>
  <r>
    <x v="8"/>
    <n v="5540246194632"/>
    <n v="2239"/>
    <n v="28931.472000000005"/>
    <n v="12.921604287628409"/>
    <n v="1569"/>
    <x v="0"/>
    <n v="1"/>
  </r>
  <r>
    <x v="8"/>
    <n v="5540246194790"/>
    <n v="1504"/>
    <n v="17356.031999999999"/>
    <n v="11.53991489361702"/>
    <n v="335"/>
    <x v="1"/>
    <n v="1"/>
  </r>
  <r>
    <x v="8"/>
    <n v="5540246194947"/>
    <n v="230"/>
    <n v="6137.2080000000005"/>
    <n v="26.683513043478264"/>
    <n v="19"/>
    <x v="5"/>
    <n v="1"/>
  </r>
  <r>
    <x v="8"/>
    <n v="5540246195096"/>
    <n v="1272"/>
    <n v="7563.7151999999996"/>
    <n v="5.9463169811320755"/>
    <n v="28"/>
    <x v="1"/>
    <n v="1"/>
  </r>
  <r>
    <x v="8"/>
    <n v="5540246195195"/>
    <n v="54"/>
    <n v="5010.7248000000009"/>
    <n v="92.791200000000018"/>
    <n v="0"/>
    <x v="5"/>
    <n v="1"/>
  </r>
  <r>
    <x v="8"/>
    <n v="5540246195241"/>
    <n v="580"/>
    <n v="17753.04"/>
    <n v="30.608689655172416"/>
    <n v="70"/>
    <x v="1"/>
    <n v="1"/>
  </r>
  <r>
    <x v="8"/>
    <n v="5540246195242"/>
    <n v="836"/>
    <n v="29317.075199999999"/>
    <n v="35.068271770334924"/>
    <n v="47"/>
    <x v="1"/>
    <n v="1"/>
  </r>
  <r>
    <x v="8"/>
    <n v="5540246195250"/>
    <n v="574"/>
    <n v="22482.532800000001"/>
    <n v="39.168175609756098"/>
    <n v="149"/>
    <x v="0"/>
    <n v="1"/>
  </r>
  <r>
    <x v="8"/>
    <n v="5540246195653"/>
    <n v="773"/>
    <n v="27466.430400000001"/>
    <n v="35.532251487710219"/>
    <n v="10"/>
    <x v="5"/>
    <n v="1"/>
  </r>
  <r>
    <x v="8"/>
    <n v="5540246195943"/>
    <n v="2622"/>
    <n v="78007.968000000008"/>
    <n v="29.751322654462246"/>
    <n v="163"/>
    <x v="3"/>
    <n v="1"/>
  </r>
  <r>
    <x v="8"/>
    <n v="5540246195944"/>
    <n v="2692"/>
    <n v="73814.975999999995"/>
    <n v="27.420124814264486"/>
    <n v="209"/>
    <x v="3"/>
    <n v="1"/>
  </r>
  <r>
    <x v="8"/>
    <n v="5540246195999"/>
    <n v="9779"/>
    <n v="50128.847999999998"/>
    <n v="5.1261732283464569"/>
    <n v="163"/>
    <x v="1"/>
    <n v="1"/>
  </r>
  <r>
    <x v="8"/>
    <n v="5540246196002"/>
    <n v="819"/>
    <n v="39557.462400000004"/>
    <n v="48.299709890109895"/>
    <n v="38"/>
    <x v="3"/>
    <n v="1"/>
  </r>
  <r>
    <x v="8"/>
    <n v="5540246196046"/>
    <n v="720"/>
    <n v="13065.235200000001"/>
    <n v="18.146160000000002"/>
    <n v="100"/>
    <x v="0"/>
    <n v="1"/>
  </r>
  <r>
    <x v="8"/>
    <n v="5540246196065"/>
    <n v="775"/>
    <n v="17913.355199999998"/>
    <n v="23.114006709677415"/>
    <n v="98"/>
    <x v="0"/>
    <n v="1"/>
  </r>
  <r>
    <x v="8"/>
    <n v="5540246196092"/>
    <n v="557"/>
    <n v="24027.84"/>
    <n v="43.137953321364449"/>
    <n v="56"/>
    <x v="4"/>
    <n v="1"/>
  </r>
  <r>
    <x v="8"/>
    <n v="5540246196148"/>
    <n v="659"/>
    <n v="27972.864000000001"/>
    <n v="42.447441578148712"/>
    <n v="82"/>
    <x v="5"/>
    <n v="1"/>
  </r>
  <r>
    <x v="8"/>
    <n v="5540246196466"/>
    <n v="817"/>
    <n v="4242.5856000000003"/>
    <n v="5.1928832313341493"/>
    <n v="223"/>
    <x v="0"/>
    <n v="1"/>
  </r>
  <r>
    <x v="8"/>
    <n v="5540246196800"/>
    <n v="0"/>
    <n v="0"/>
    <s v=""/>
    <n v="0"/>
    <x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2">
  <r>
    <n v="142634985"/>
    <n v="116"/>
    <x v="0"/>
    <n v="116"/>
  </r>
  <r>
    <n v="142635040"/>
    <n v="2320"/>
    <x v="1"/>
    <n v="2320"/>
  </r>
  <r>
    <n v="142645084"/>
    <n v="116"/>
    <x v="0"/>
    <n v="116"/>
  </r>
  <r>
    <n v="142645188"/>
    <n v="877"/>
    <x v="0"/>
    <n v="877"/>
  </r>
  <r>
    <n v="142645192"/>
    <n v="1783"/>
    <x v="0"/>
    <n v="1783"/>
  </r>
  <r>
    <n v="142655345"/>
    <n v="5099"/>
    <x v="0"/>
    <n v="5513"/>
  </r>
  <r>
    <n v="142655350"/>
    <n v="14848"/>
    <x v="0"/>
    <n v="15962"/>
  </r>
  <r>
    <n v="142655351"/>
    <n v="17818"/>
    <x v="0"/>
    <n v="19154"/>
  </r>
  <r>
    <n v="142665370"/>
    <n v="1207"/>
    <x v="0"/>
    <n v="1207"/>
  </r>
  <r>
    <n v="142665379"/>
    <n v="1337"/>
    <x v="0"/>
    <n v="1337"/>
  </r>
  <r>
    <n v="142665420"/>
    <n v="1782"/>
    <x v="0"/>
    <n v="1782"/>
  </r>
  <r>
    <n v="142665441"/>
    <n v="586"/>
    <x v="0"/>
    <n v="697"/>
  </r>
  <r>
    <n v="142665458"/>
    <n v="326"/>
    <x v="0"/>
    <n v="418"/>
  </r>
  <r>
    <n v="142665488"/>
    <n v="3555"/>
    <x v="0"/>
    <n v="3555"/>
  </r>
  <r>
    <n v="142665490"/>
    <n v="1244"/>
    <x v="0"/>
    <n v="1244"/>
  </r>
  <r>
    <n v="142665515"/>
    <n v="363"/>
    <x v="0"/>
    <n v="363"/>
  </r>
  <r>
    <n v="142665520"/>
    <n v="10543"/>
    <x v="0"/>
    <n v="10543"/>
  </r>
  <r>
    <n v="142675550"/>
    <n v="2784"/>
    <x v="0"/>
    <n v="2784"/>
  </r>
  <r>
    <n v="142675553"/>
    <n v="418"/>
    <x v="0"/>
    <n v="418"/>
  </r>
  <r>
    <n v="142675554"/>
    <n v="1199"/>
    <x v="0"/>
    <n v="1394"/>
  </r>
  <r>
    <n v="142675555"/>
    <n v="557"/>
    <x v="0"/>
    <n v="557"/>
  </r>
  <r>
    <n v="142675562"/>
    <n v="18338"/>
    <x v="0"/>
    <n v="18338"/>
  </r>
  <r>
    <n v="142675565"/>
    <n v="3324"/>
    <x v="0"/>
    <n v="3324"/>
  </r>
  <r>
    <n v="142675576"/>
    <n v="15035"/>
    <x v="0"/>
    <n v="15035"/>
  </r>
  <r>
    <n v="142675581"/>
    <n v="15313"/>
    <x v="0"/>
    <n v="15313"/>
  </r>
  <r>
    <n v="142675582"/>
    <n v="1464"/>
    <x v="0"/>
    <n v="1464"/>
  </r>
  <r>
    <n v="142675583"/>
    <n v="986"/>
    <x v="0"/>
    <n v="1207"/>
  </r>
  <r>
    <n v="142675585"/>
    <n v="4136"/>
    <x v="0"/>
    <n v="4136"/>
  </r>
  <r>
    <n v="142675587"/>
    <n v="1523"/>
    <x v="0"/>
    <n v="1523"/>
  </r>
  <r>
    <n v="142675589"/>
    <n v="1300"/>
    <x v="0"/>
    <n v="1300"/>
  </r>
  <r>
    <n v="142675596"/>
    <n v="4585"/>
    <x v="0"/>
    <n v="27506"/>
  </r>
  <r>
    <n v="142675607"/>
    <n v="891"/>
    <x v="0"/>
    <n v="882"/>
  </r>
  <r>
    <n v="142675618"/>
    <n v="9857"/>
    <x v="0"/>
    <n v="11045"/>
  </r>
  <r>
    <n v="142675619"/>
    <n v="2994"/>
    <x v="0"/>
    <n v="2994"/>
  </r>
  <r>
    <n v="142675638"/>
    <n v="27506"/>
    <x v="0"/>
    <n v="27506"/>
  </r>
  <r>
    <n v="142675650"/>
    <n v="1935"/>
    <x v="0"/>
    <n v="1935"/>
  </r>
  <r>
    <n v="142675652"/>
    <n v="5360"/>
    <x v="0"/>
    <n v="5360"/>
  </r>
  <r>
    <n v="142675653"/>
    <n v="5012"/>
    <x v="0"/>
    <n v="5012"/>
  </r>
  <r>
    <n v="142675668"/>
    <n v="5568"/>
    <x v="0"/>
    <n v="7796"/>
  </r>
  <r>
    <n v="142675671"/>
    <n v="18538"/>
    <x v="0"/>
    <n v="18538"/>
  </r>
  <r>
    <n v="142675679"/>
    <n v="93"/>
    <x v="0"/>
    <n v="93"/>
  </r>
  <r>
    <n v="142685687"/>
    <n v="3156"/>
    <x v="0"/>
    <n v="3156"/>
  </r>
  <r>
    <n v="142685688"/>
    <n v="14849"/>
    <x v="0"/>
    <n v="14849"/>
  </r>
  <r>
    <n v="142685691"/>
    <n v="5530"/>
    <x v="0"/>
    <n v="5530"/>
  </r>
  <r>
    <n v="142685692"/>
    <n v="446"/>
    <x v="0"/>
    <n v="446"/>
  </r>
  <r>
    <n v="142685693"/>
    <n v="6483"/>
    <x v="0"/>
    <n v="6419"/>
  </r>
  <r>
    <n v="142685694"/>
    <n v="349"/>
    <x v="0"/>
    <n v="349"/>
  </r>
  <r>
    <n v="142685699"/>
    <n v="335"/>
    <x v="0"/>
    <n v="335"/>
  </r>
  <r>
    <n v="142685700"/>
    <n v="47"/>
    <x v="0"/>
    <n v="47"/>
  </r>
  <r>
    <n v="142685701"/>
    <n v="47"/>
    <x v="0"/>
    <n v="47"/>
  </r>
  <r>
    <n v="142685702"/>
    <n v="877"/>
    <x v="0"/>
    <n v="877"/>
  </r>
  <r>
    <n v="142685705"/>
    <n v="1253"/>
    <x v="0"/>
    <n v="1337"/>
  </r>
  <r>
    <n v="142685710"/>
    <n v="1123"/>
    <x v="0"/>
    <n v="1123"/>
  </r>
  <r>
    <n v="142685712"/>
    <n v="284"/>
    <x v="0"/>
    <n v="325"/>
  </r>
  <r>
    <n v="142685714"/>
    <n v="18375"/>
    <x v="0"/>
    <n v="18338"/>
  </r>
  <r>
    <n v="142685722"/>
    <n v="279"/>
    <x v="2"/>
    <n v="502"/>
  </r>
  <r>
    <n v="142685732"/>
    <n v="1096"/>
    <x v="0"/>
    <n v="1764"/>
  </r>
  <r>
    <n v="142685733"/>
    <n v="11435"/>
    <x v="0"/>
    <n v="11435"/>
  </r>
  <r>
    <n v="142685736"/>
    <n v="1856"/>
    <x v="0"/>
    <n v="1856"/>
  </r>
  <r>
    <n v="142685739"/>
    <n v="1644"/>
    <x v="0"/>
    <n v="1811"/>
  </r>
  <r>
    <n v="142685740"/>
    <n v="1123"/>
    <x v="0"/>
    <n v="1123"/>
  </r>
  <r>
    <n v="142685759"/>
    <n v="1708"/>
    <x v="0"/>
    <n v="1764"/>
  </r>
  <r>
    <n v="142685777"/>
    <n v="22922"/>
    <x v="0"/>
    <n v="22922"/>
  </r>
  <r>
    <n v="142685780"/>
    <n v="2444"/>
    <x v="0"/>
    <n v="2444"/>
  </r>
  <r>
    <n v="142685783"/>
    <n v="3748"/>
    <x v="0"/>
    <n v="3787"/>
  </r>
  <r>
    <n v="142685793"/>
    <n v="116"/>
    <x v="2"/>
    <n v="116"/>
  </r>
  <r>
    <n v="142685797"/>
    <n v="836"/>
    <x v="0"/>
    <n v="836"/>
  </r>
  <r>
    <n v="142685798"/>
    <n v="4102"/>
    <x v="0"/>
    <n v="4102"/>
  </r>
  <r>
    <n v="142685802"/>
    <n v="20277"/>
    <x v="0"/>
    <n v="20277"/>
  </r>
  <r>
    <n v="142685807"/>
    <n v="2784"/>
    <x v="0"/>
    <n v="2784"/>
  </r>
  <r>
    <n v="142685811"/>
    <n v="1783"/>
    <x v="2"/>
    <n v="1783"/>
  </r>
  <r>
    <n v="142685812"/>
    <n v="1782"/>
    <x v="2"/>
    <n v="1782"/>
  </r>
  <r>
    <n v="142685814"/>
    <n v="47"/>
    <x v="0"/>
    <n v="47"/>
  </r>
  <r>
    <n v="142685817"/>
    <n v="1782"/>
    <x v="0"/>
    <n v="1783"/>
  </r>
  <r>
    <n v="142695834"/>
    <n v="1625"/>
    <x v="0"/>
    <n v="1625"/>
  </r>
  <r>
    <n v="142695835"/>
    <n v="6275"/>
    <x v="0"/>
    <n v="6497"/>
  </r>
  <r>
    <n v="142695837"/>
    <n v="4308"/>
    <x v="0"/>
    <n v="4308"/>
  </r>
  <r>
    <n v="142695839"/>
    <n v="11771"/>
    <x v="0"/>
    <n v="11771"/>
  </r>
  <r>
    <n v="142695842"/>
    <n v="140"/>
    <x v="0"/>
    <n v="140"/>
  </r>
  <r>
    <n v="142695845"/>
    <n v="5437"/>
    <x v="0"/>
    <n v="5367"/>
  </r>
  <r>
    <n v="142695848"/>
    <n v="891"/>
    <x v="2"/>
    <n v="891"/>
  </r>
  <r>
    <n v="142695856"/>
    <n v="2952"/>
    <x v="0"/>
    <n v="3602"/>
  </r>
  <r>
    <n v="142695857"/>
    <n v="3602"/>
    <x v="2"/>
    <n v="3602"/>
  </r>
  <r>
    <n v="142695858"/>
    <n v="2460"/>
    <x v="2"/>
    <n v="3694"/>
  </r>
  <r>
    <n v="142695865"/>
    <n v="836"/>
    <x v="0"/>
    <n v="1044"/>
  </r>
  <r>
    <n v="142695866"/>
    <n v="4827"/>
    <x v="0"/>
    <n v="4827"/>
  </r>
  <r>
    <n v="142695867"/>
    <n v="3341"/>
    <x v="0"/>
    <n v="3341"/>
  </r>
  <r>
    <n v="142695874"/>
    <n v="35636"/>
    <x v="0"/>
    <n v="35636"/>
  </r>
  <r>
    <n v="142695906"/>
    <n v="93"/>
    <x v="0"/>
    <n v="93"/>
  </r>
  <r>
    <n v="142695907"/>
    <n v="3899"/>
    <x v="0"/>
    <n v="3899"/>
  </r>
  <r>
    <n v="142695909"/>
    <n v="25440"/>
    <x v="0"/>
    <n v="25440"/>
  </r>
  <r>
    <n v="142695914"/>
    <n v="348"/>
    <x v="2"/>
    <n v="348"/>
  </r>
  <r>
    <n v="142695921"/>
    <n v="488"/>
    <x v="0"/>
    <n v="488"/>
  </r>
  <r>
    <n v="142695922"/>
    <n v="16891"/>
    <x v="0"/>
    <n v="16891"/>
  </r>
  <r>
    <n v="142695931"/>
    <n v="18779"/>
    <x v="2"/>
    <n v="18779"/>
  </r>
  <r>
    <n v="142695940"/>
    <n v="15675"/>
    <x v="2"/>
    <n v="15675"/>
  </r>
  <r>
    <n v="142695948"/>
    <n v="7425"/>
    <x v="0"/>
    <n v="7425"/>
  </r>
  <r>
    <n v="142695949"/>
    <n v="928"/>
    <x v="0"/>
    <n v="928"/>
  </r>
  <r>
    <n v="142695952"/>
    <n v="11136"/>
    <x v="2"/>
    <n v="11136"/>
  </r>
  <r>
    <n v="142695956"/>
    <n v="1533"/>
    <x v="0"/>
    <n v="1533"/>
  </r>
  <r>
    <n v="142695962"/>
    <n v="150"/>
    <x v="2"/>
    <n v="254"/>
  </r>
  <r>
    <n v="142695970"/>
    <n v="140"/>
    <x v="0"/>
    <n v="140"/>
  </r>
  <r>
    <n v="142695978"/>
    <n v="314"/>
    <x v="0"/>
    <n v="372"/>
  </r>
  <r>
    <n v="142695981"/>
    <n v="30049"/>
    <x v="0"/>
    <n v="30049"/>
  </r>
  <r>
    <n v="142706009"/>
    <n v="1392"/>
    <x v="1"/>
    <n v="1392"/>
  </r>
  <r>
    <n v="142706012"/>
    <n v="928"/>
    <x v="2"/>
    <n v="928"/>
  </r>
  <r>
    <n v="142706018"/>
    <n v="13365"/>
    <x v="0"/>
    <n v="13365"/>
  </r>
  <r>
    <n v="142706019"/>
    <n v="673"/>
    <x v="0"/>
    <n v="673"/>
  </r>
  <r>
    <n v="142706024"/>
    <n v="1671"/>
    <x v="0"/>
    <n v="1671"/>
  </r>
  <r>
    <n v="142706040"/>
    <n v="20463"/>
    <x v="0"/>
    <n v="20463"/>
  </r>
  <r>
    <n v="142706041"/>
    <n v="4176"/>
    <x v="0"/>
    <n v="4176"/>
  </r>
  <r>
    <n v="142706048"/>
    <n v="2909"/>
    <x v="0"/>
    <n v="2795"/>
  </r>
  <r>
    <n v="142706053"/>
    <n v="4455"/>
    <x v="0"/>
    <n v="4455"/>
  </r>
  <r>
    <n v="142706056"/>
    <n v="4683"/>
    <x v="0"/>
    <n v="4683"/>
  </r>
  <r>
    <n v="142706058"/>
    <n v="20881"/>
    <x v="0"/>
    <n v="20881"/>
  </r>
  <r>
    <n v="142706060"/>
    <n v="2784"/>
    <x v="0"/>
    <n v="2784"/>
  </r>
  <r>
    <n v="142706067"/>
    <n v="16891"/>
    <x v="0"/>
    <n v="16891"/>
  </r>
  <r>
    <n v="142706068"/>
    <n v="4084"/>
    <x v="0"/>
    <n v="4084"/>
  </r>
  <r>
    <n v="142706093"/>
    <n v="650"/>
    <x v="0"/>
    <n v="650"/>
  </r>
  <r>
    <n v="142706094"/>
    <n v="2785"/>
    <x v="0"/>
    <n v="2785"/>
  </r>
  <r>
    <n v="142706101"/>
    <n v="23490"/>
    <x v="0"/>
    <n v="23490"/>
  </r>
  <r>
    <n v="142706106"/>
    <n v="2172"/>
    <x v="0"/>
    <n v="2172"/>
  </r>
  <r>
    <n v="142706111"/>
    <n v="11090"/>
    <x v="0"/>
    <n v="11090"/>
  </r>
  <r>
    <n v="142716113"/>
    <n v="5769"/>
    <x v="2"/>
    <n v="5555"/>
  </r>
  <r>
    <n v="142716118"/>
    <n v="789"/>
    <x v="0"/>
    <n v="789"/>
  </r>
  <r>
    <n v="142716119"/>
    <n v="743"/>
    <x v="0"/>
    <n v="743"/>
  </r>
  <r>
    <n v="142716122"/>
    <n v="419"/>
    <x v="0"/>
    <n v="419"/>
  </r>
  <r>
    <n v="142716131"/>
    <n v="3898"/>
    <x v="2"/>
    <n v="3898"/>
  </r>
  <r>
    <n v="142716134"/>
    <n v="2413"/>
    <x v="2"/>
    <n v="2413"/>
  </r>
  <r>
    <n v="142716136"/>
    <n v="8909"/>
    <x v="3"/>
    <n v="14477"/>
  </r>
  <r>
    <n v="142716137"/>
    <n v="11136"/>
    <x v="2"/>
    <n v="11136"/>
  </r>
  <r>
    <n v="142716138"/>
    <n v="8457"/>
    <x v="2"/>
    <n v="8457"/>
  </r>
  <r>
    <n v="142716150"/>
    <n v="8394"/>
    <x v="0"/>
    <n v="8394"/>
  </r>
  <r>
    <n v="142716151"/>
    <n v="11137"/>
    <x v="0"/>
    <n v="11137"/>
  </r>
  <r>
    <n v="142716168"/>
    <n v="1783"/>
    <x v="2"/>
    <n v="1783"/>
  </r>
  <r>
    <n v="142716170"/>
    <n v="9652"/>
    <x v="0"/>
    <n v="9652"/>
  </r>
  <r>
    <n v="142716176"/>
    <n v="140"/>
    <x v="0"/>
    <n v="140"/>
  </r>
  <r>
    <n v="142716182"/>
    <n v="18932"/>
    <x v="2"/>
    <n v="21577"/>
  </r>
  <r>
    <n v="142716192"/>
    <n v="17758"/>
    <x v="2"/>
    <n v="17758"/>
  </r>
  <r>
    <n v="142716209"/>
    <n v="2228"/>
    <x v="0"/>
    <n v="2228"/>
  </r>
  <r>
    <n v="142716210"/>
    <n v="1044"/>
    <x v="0"/>
    <n v="1044"/>
  </r>
  <r>
    <n v="142716223"/>
    <n v="5012"/>
    <x v="0"/>
    <n v="5012"/>
  </r>
  <r>
    <n v="142716225"/>
    <n v="7797"/>
    <x v="2"/>
    <n v="7797"/>
  </r>
  <r>
    <n v="142716226"/>
    <n v="3434"/>
    <x v="2"/>
    <n v="3434"/>
  </r>
  <r>
    <n v="142716239"/>
    <n v="1742"/>
    <x v="2"/>
    <n v="1742"/>
  </r>
  <r>
    <n v="142716242"/>
    <n v="650"/>
    <x v="2"/>
    <n v="650"/>
  </r>
  <r>
    <n v="142716247"/>
    <n v="1495"/>
    <x v="2"/>
    <n v="1495"/>
  </r>
  <r>
    <n v="142716248"/>
    <n v="27080"/>
    <x v="2"/>
    <n v="27080"/>
  </r>
  <r>
    <n v="142716250"/>
    <n v="3898"/>
    <x v="2"/>
    <n v="3898"/>
  </r>
  <r>
    <n v="142716251"/>
    <n v="3898"/>
    <x v="2"/>
    <n v="3898"/>
  </r>
  <r>
    <n v="142726264"/>
    <n v="7797"/>
    <x v="2"/>
    <n v="7797"/>
  </r>
  <r>
    <n v="142726265"/>
    <n v="3156"/>
    <x v="2"/>
    <n v="3156"/>
  </r>
  <r>
    <n v="142726276"/>
    <n v="7234"/>
    <x v="2"/>
    <n v="7735"/>
  </r>
  <r>
    <n v="142726278"/>
    <n v="6349"/>
    <x v="2"/>
    <n v="6349"/>
  </r>
  <r>
    <n v="142726281"/>
    <n v="5422"/>
    <x v="2"/>
    <n v="5451"/>
  </r>
  <r>
    <n v="142726298"/>
    <n v="882"/>
    <x v="2"/>
    <n v="882"/>
  </r>
  <r>
    <n v="142726299"/>
    <n v="16428"/>
    <x v="2"/>
    <n v="16428"/>
  </r>
  <r>
    <n v="142726301"/>
    <n v="419"/>
    <x v="2"/>
    <n v="419"/>
  </r>
  <r>
    <n v="142726302"/>
    <n v="1671"/>
    <x v="2"/>
    <n v="1671"/>
  </r>
  <r>
    <n v="142726322"/>
    <n v="1485"/>
    <x v="2"/>
    <n v="1485"/>
  </r>
  <r>
    <n v="142726323"/>
    <n v="10025"/>
    <x v="2"/>
    <n v="10396"/>
  </r>
  <r>
    <n v="142726329"/>
    <n v="15312"/>
    <x v="2"/>
    <n v="15312"/>
  </r>
  <r>
    <n v="142726330"/>
    <n v="10468"/>
    <x v="2"/>
    <n v="10468"/>
  </r>
  <r>
    <n v="142726334"/>
    <n v="2088"/>
    <x v="2"/>
    <n v="2088"/>
  </r>
  <r>
    <n v="142726344"/>
    <n v="4176"/>
    <x v="2"/>
    <n v="4176"/>
  </r>
  <r>
    <n v="142726346"/>
    <n v="28213"/>
    <x v="2"/>
    <n v="29327"/>
  </r>
  <r>
    <n v="142726347"/>
    <n v="6311"/>
    <x v="2"/>
    <n v="6311"/>
  </r>
  <r>
    <n v="142726363"/>
    <n v="2228"/>
    <x v="2"/>
    <n v="2228"/>
  </r>
  <r>
    <n v="142726364"/>
    <n v="1409"/>
    <x v="2"/>
    <n v="1604"/>
  </r>
  <r>
    <n v="142726368"/>
    <n v="16055"/>
    <x v="2"/>
    <n v="16055"/>
  </r>
  <r>
    <n v="142726370"/>
    <n v="18933"/>
    <x v="2"/>
    <n v="19675"/>
  </r>
  <r>
    <n v="142726371"/>
    <n v="4641"/>
    <x v="2"/>
    <n v="4641"/>
  </r>
  <r>
    <n v="142736392"/>
    <n v="7426"/>
    <x v="2"/>
    <n v="8168"/>
  </r>
  <r>
    <n v="142736394"/>
    <n v="93"/>
    <x v="2"/>
    <n v="93"/>
  </r>
  <r>
    <n v="142736412"/>
    <n v="326"/>
    <x v="2"/>
    <n v="326"/>
  </r>
  <r>
    <n v="142736414"/>
    <n v="223"/>
    <x v="2"/>
    <n v="223"/>
  </r>
  <r>
    <n v="142736417"/>
    <n v="15498"/>
    <x v="2"/>
    <n v="15498"/>
  </r>
  <r>
    <n v="142736424"/>
    <n v="5940"/>
    <x v="2"/>
    <n v="5940"/>
  </r>
  <r>
    <n v="142736425"/>
    <n v="7601"/>
    <x v="2"/>
    <n v="7601"/>
  </r>
  <r>
    <n v="142736427"/>
    <n v="349"/>
    <x v="2"/>
    <n v="279"/>
  </r>
  <r>
    <n v="142736435"/>
    <n v="4455"/>
    <x v="2"/>
    <n v="4455"/>
  </r>
  <r>
    <n v="142736449"/>
    <n v="2228"/>
    <x v="2"/>
    <n v="2228"/>
  </r>
  <r>
    <n v="142736456"/>
    <n v="1782"/>
    <x v="3"/>
    <n v="1782"/>
  </r>
  <r>
    <n v="142736459"/>
    <n v="344"/>
    <x v="2"/>
    <n v="344"/>
  </r>
  <r>
    <n v="142736462"/>
    <n v="17563"/>
    <x v="2"/>
    <n v="19582"/>
  </r>
  <r>
    <n v="142736463"/>
    <n v="502"/>
    <x v="3"/>
    <n v="502"/>
  </r>
  <r>
    <n v="142736464"/>
    <n v="2559"/>
    <x v="2"/>
    <n v="2319"/>
  </r>
  <r>
    <n v="142736471"/>
    <n v="12993"/>
    <x v="2"/>
    <n v="12993"/>
  </r>
  <r>
    <n v="142736472"/>
    <n v="836"/>
    <x v="2"/>
    <n v="836"/>
  </r>
  <r>
    <n v="142736474"/>
    <n v="483"/>
    <x v="2"/>
    <n v="483"/>
  </r>
  <r>
    <n v="142736489"/>
    <n v="11842"/>
    <x v="2"/>
    <n v="11879"/>
  </r>
  <r>
    <n v="142736490"/>
    <n v="2947"/>
    <x v="2"/>
    <n v="2947"/>
  </r>
  <r>
    <n v="142736493"/>
    <n v="349"/>
    <x v="2"/>
    <n v="349"/>
  </r>
  <r>
    <n v="142736499"/>
    <n v="7871"/>
    <x v="2"/>
    <n v="7871"/>
  </r>
  <r>
    <n v="142736502"/>
    <n v="1420"/>
    <x v="3"/>
    <n v="1420"/>
  </r>
  <r>
    <n v="142746514"/>
    <n v="4269"/>
    <x v="2"/>
    <n v="4269"/>
  </r>
  <r>
    <n v="142746515"/>
    <n v="557"/>
    <x v="2"/>
    <n v="557"/>
  </r>
  <r>
    <n v="142746516"/>
    <n v="17262"/>
    <x v="2"/>
    <n v="17262"/>
  </r>
  <r>
    <n v="142746517"/>
    <n v="12528"/>
    <x v="2"/>
    <n v="12528"/>
  </r>
  <r>
    <n v="142746524"/>
    <n v="6661"/>
    <x v="2"/>
    <n v="6661"/>
  </r>
  <r>
    <n v="142746542"/>
    <n v="2228"/>
    <x v="2"/>
    <n v="2228"/>
  </r>
  <r>
    <n v="142746545"/>
    <n v="13922"/>
    <x v="2"/>
    <n v="13922"/>
  </r>
  <r>
    <n v="142746546"/>
    <n v="4176"/>
    <x v="2"/>
    <n v="4176"/>
  </r>
  <r>
    <n v="142746569"/>
    <n v="836"/>
    <x v="2"/>
    <n v="836"/>
  </r>
  <r>
    <n v="142746570"/>
    <n v="10395"/>
    <x v="2"/>
    <n v="10395"/>
  </r>
  <r>
    <n v="142746575"/>
    <n v="3648"/>
    <x v="3"/>
    <n v="3648"/>
  </r>
  <r>
    <n v="142746588"/>
    <n v="4919"/>
    <x v="2"/>
    <n v="4919"/>
  </r>
  <r>
    <n v="142746590"/>
    <n v="12622"/>
    <x v="2"/>
    <n v="12622"/>
  </r>
  <r>
    <n v="142746606"/>
    <n v="650"/>
    <x v="2"/>
    <n v="650"/>
  </r>
  <r>
    <n v="142746608"/>
    <n v="11416"/>
    <x v="2"/>
    <n v="11416"/>
  </r>
  <r>
    <n v="142746611"/>
    <n v="280"/>
    <x v="2"/>
    <n v="280"/>
  </r>
  <r>
    <n v="142746612"/>
    <n v="419"/>
    <x v="2"/>
    <n v="419"/>
  </r>
  <r>
    <n v="142756621"/>
    <n v="2088"/>
    <x v="2"/>
    <n v="2088"/>
  </r>
  <r>
    <n v="142756622"/>
    <n v="724"/>
    <x v="1"/>
    <n v="724"/>
  </r>
  <r>
    <n v="142756623"/>
    <n v="21067"/>
    <x v="2"/>
    <n v="21067"/>
  </r>
  <r>
    <n v="142756629"/>
    <n v="557"/>
    <x v="2"/>
    <n v="557"/>
  </r>
  <r>
    <n v="142756639"/>
    <n v="10172"/>
    <x v="2"/>
    <n v="10209"/>
  </r>
  <r>
    <n v="142756640"/>
    <n v="2738"/>
    <x v="2"/>
    <n v="2738"/>
  </r>
  <r>
    <n v="142756658"/>
    <n v="20789"/>
    <x v="2"/>
    <n v="20789"/>
  </r>
  <r>
    <n v="142756659"/>
    <n v="7888"/>
    <x v="2"/>
    <n v="7888"/>
  </r>
  <r>
    <n v="142756660"/>
    <n v="1743"/>
    <x v="3"/>
    <n v="1743"/>
  </r>
  <r>
    <n v="142756672"/>
    <n v="19118"/>
    <x v="2"/>
    <n v="19118"/>
  </r>
  <r>
    <n v="142756674"/>
    <n v="4432"/>
    <x v="2"/>
    <n v="4432"/>
  </r>
  <r>
    <n v="142756677"/>
    <n v="280"/>
    <x v="3"/>
    <n v="280"/>
  </r>
  <r>
    <n v="142756694"/>
    <n v="418"/>
    <x v="3"/>
    <n v="418"/>
  </r>
  <r>
    <n v="142756696"/>
    <n v="2414"/>
    <x v="3"/>
    <n v="2414"/>
  </r>
  <r>
    <n v="142766701"/>
    <n v="4664"/>
    <x v="3"/>
    <n v="4664"/>
  </r>
  <r>
    <n v="142766702"/>
    <n v="9653"/>
    <x v="3"/>
    <n v="9653"/>
  </r>
  <r>
    <n v="142766704"/>
    <n v="908"/>
    <x v="3"/>
    <n v="908"/>
  </r>
  <r>
    <n v="142766705"/>
    <n v="20348"/>
    <x v="3"/>
    <n v="23271"/>
  </r>
  <r>
    <n v="142766712"/>
    <n v="223"/>
    <x v="3"/>
    <n v="223"/>
  </r>
  <r>
    <n v="143246714"/>
    <n v="7519"/>
    <x v="3"/>
    <n v="7519"/>
  </r>
  <r>
    <n v="143246715"/>
    <n v="2924"/>
    <x v="3"/>
    <n v="2924"/>
  </r>
  <r>
    <n v="143246731"/>
    <n v="256"/>
    <x v="3"/>
    <n v="256"/>
  </r>
  <r>
    <n v="143246732"/>
    <n v="3250"/>
    <x v="3"/>
    <n v="3250"/>
  </r>
  <r>
    <n v="143246741"/>
    <n v="1964"/>
    <x v="3"/>
    <n v="2089"/>
  </r>
  <r>
    <n v="143246742"/>
    <n v="3694"/>
    <x v="3"/>
    <n v="3694"/>
  </r>
  <r>
    <n v="143246755"/>
    <n v="1184"/>
    <x v="3"/>
    <n v="1184"/>
  </r>
  <r>
    <n v="143246756"/>
    <n v="10117"/>
    <x v="3"/>
    <n v="10117"/>
  </r>
  <r>
    <n v="143246759"/>
    <n v="1532"/>
    <x v="3"/>
    <n v="1532"/>
  </r>
  <r>
    <n v="143246763"/>
    <n v="2228"/>
    <x v="3"/>
    <n v="2228"/>
  </r>
  <r>
    <n v="143246764"/>
    <n v="1782"/>
    <x v="3"/>
    <n v="1782"/>
  </r>
  <r>
    <n v="143246771"/>
    <n v="7459"/>
    <x v="3"/>
    <n v="7459"/>
  </r>
  <r>
    <n v="143246772"/>
    <n v="6682"/>
    <x v="3"/>
    <n v="6682"/>
  </r>
  <r>
    <n v="143246775"/>
    <n v="22876"/>
    <x v="3"/>
    <n v="22876"/>
  </r>
  <r>
    <n v="143246782"/>
    <n v="335"/>
    <x v="3"/>
    <n v="335"/>
  </r>
  <r>
    <n v="143246791"/>
    <n v="8502"/>
    <x v="3"/>
    <n v="8539"/>
  </r>
  <r>
    <n v="143246793"/>
    <n v="859"/>
    <x v="3"/>
    <n v="859"/>
  </r>
  <r>
    <n v="143246802"/>
    <n v="557"/>
    <x v="3"/>
    <n v="557"/>
  </r>
  <r>
    <n v="143246803"/>
    <n v="891"/>
    <x v="3"/>
    <n v="891"/>
  </r>
  <r>
    <n v="143246815"/>
    <n v="4270"/>
    <x v="3"/>
    <n v="4270"/>
  </r>
  <r>
    <n v="143246816"/>
    <n v="12734"/>
    <x v="3"/>
    <n v="12734"/>
  </r>
  <r>
    <n v="143246818"/>
    <n v="13141"/>
    <x v="3"/>
    <n v="13141"/>
  </r>
  <r>
    <n v="143246822"/>
    <n v="1742"/>
    <x v="3"/>
    <n v="1742"/>
  </r>
  <r>
    <n v="143246823"/>
    <n v="5012"/>
    <x v="3"/>
    <n v="5012"/>
  </r>
  <r>
    <n v="143246827"/>
    <n v="40647"/>
    <x v="3"/>
    <n v="40647"/>
  </r>
  <r>
    <n v="143256847"/>
    <n v="367"/>
    <x v="3"/>
    <n v="534"/>
  </r>
  <r>
    <n v="143256866"/>
    <n v="1692"/>
    <x v="3"/>
    <n v="1692"/>
  </r>
  <r>
    <n v="143256870"/>
    <n v="84"/>
    <x v="3"/>
    <n v="84"/>
  </r>
  <r>
    <n v="143256876"/>
    <n v="6572"/>
    <x v="3"/>
    <n v="6572"/>
  </r>
  <r>
    <n v="143256877"/>
    <n v="4803"/>
    <x v="3"/>
    <n v="4803"/>
  </r>
  <r>
    <n v="143256891"/>
    <n v="1225"/>
    <x v="4"/>
    <n v="1225"/>
  </r>
  <r>
    <n v="143256898"/>
    <n v="2414"/>
    <x v="3"/>
    <n v="2414"/>
  </r>
  <r>
    <n v="143256899"/>
    <n v="116"/>
    <x v="3"/>
    <n v="116"/>
  </r>
  <r>
    <n v="143256901"/>
    <n v="419"/>
    <x v="3"/>
    <n v="419"/>
  </r>
  <r>
    <n v="143256906"/>
    <n v="362"/>
    <x v="1"/>
    <n v="325"/>
  </r>
  <r>
    <n v="143256927"/>
    <n v="850"/>
    <x v="1"/>
    <n v="850"/>
  </r>
  <r>
    <n v="143256939"/>
    <n v="4803"/>
    <x v="3"/>
    <n v="4803"/>
  </r>
  <r>
    <n v="143256941"/>
    <n v="209"/>
    <x v="3"/>
    <n v="209"/>
  </r>
  <r>
    <n v="143266956"/>
    <n v="232"/>
    <x v="3"/>
    <n v="232"/>
  </r>
  <r>
    <n v="143266966"/>
    <n v="18098"/>
    <x v="3"/>
    <n v="18098"/>
  </r>
  <r>
    <n v="143266968"/>
    <n v="1838"/>
    <x v="3"/>
    <n v="1838"/>
  </r>
  <r>
    <n v="143266973"/>
    <n v="3713"/>
    <x v="3"/>
    <n v="3713"/>
  </r>
  <r>
    <n v="143266980"/>
    <n v="1300"/>
    <x v="3"/>
    <n v="1300"/>
  </r>
  <r>
    <n v="143266988"/>
    <n v="2715"/>
    <x v="3"/>
    <n v="2715"/>
  </r>
  <r>
    <n v="143266989"/>
    <n v="4455"/>
    <x v="3"/>
    <n v="4455"/>
  </r>
  <r>
    <n v="143267002"/>
    <n v="827"/>
    <x v="3"/>
    <n v="1184"/>
  </r>
  <r>
    <n v="143267004"/>
    <n v="929"/>
    <x v="3"/>
    <n v="929"/>
  </r>
  <r>
    <n v="143267009"/>
    <n v="2228"/>
    <x v="3"/>
    <n v="2228"/>
  </r>
  <r>
    <n v="143267010"/>
    <n v="2973"/>
    <x v="3"/>
    <n v="2980"/>
  </r>
  <r>
    <n v="143267030"/>
    <n v="651"/>
    <x v="3"/>
    <n v="651"/>
  </r>
  <r>
    <n v="143267031"/>
    <n v="2320"/>
    <x v="3"/>
    <n v="2320"/>
  </r>
  <r>
    <n v="143267033"/>
    <n v="488"/>
    <x v="3"/>
    <n v="488"/>
  </r>
  <r>
    <n v="143267039"/>
    <n v="13753"/>
    <x v="3"/>
    <n v="13753"/>
  </r>
  <r>
    <n v="143277052"/>
    <n v="3388"/>
    <x v="3"/>
    <n v="3388"/>
  </r>
  <r>
    <n v="143277053"/>
    <n v="1857"/>
    <x v="3"/>
    <n v="1857"/>
  </r>
  <r>
    <n v="143277067"/>
    <n v="1114"/>
    <x v="1"/>
    <n v="1114"/>
  </r>
  <r>
    <n v="143277074"/>
    <n v="372"/>
    <x v="3"/>
    <n v="372"/>
  </r>
  <r>
    <n v="143277075"/>
    <n v="418"/>
    <x v="3"/>
    <n v="418"/>
  </r>
  <r>
    <n v="143277088"/>
    <n v="5941"/>
    <x v="3"/>
    <n v="5941"/>
  </r>
  <r>
    <n v="143277089"/>
    <n v="3156"/>
    <x v="3"/>
    <n v="3156"/>
  </r>
  <r>
    <n v="143277090"/>
    <n v="32922"/>
    <x v="3"/>
    <n v="32922"/>
  </r>
  <r>
    <n v="143277091"/>
    <n v="3008"/>
    <x v="1"/>
    <n v="3008"/>
  </r>
  <r>
    <n v="143277097"/>
    <n v="130"/>
    <x v="1"/>
    <n v="130"/>
  </r>
  <r>
    <n v="143277109"/>
    <n v="3537"/>
    <x v="3"/>
    <n v="3537"/>
  </r>
  <r>
    <n v="143277110"/>
    <n v="11880"/>
    <x v="3"/>
    <n v="11880"/>
  </r>
  <r>
    <n v="143277123"/>
    <n v="2785"/>
    <x v="3"/>
    <n v="2785"/>
  </r>
  <r>
    <n v="143277124"/>
    <n v="3040"/>
    <x v="3"/>
    <n v="3040"/>
  </r>
  <r>
    <n v="143287132"/>
    <n v="1996"/>
    <x v="3"/>
    <n v="1996"/>
  </r>
  <r>
    <n v="143287133"/>
    <n v="1114"/>
    <x v="3"/>
    <n v="1114"/>
  </r>
  <r>
    <n v="143287136"/>
    <n v="70"/>
    <x v="1"/>
    <n v="70"/>
  </r>
  <r>
    <n v="143287152"/>
    <n v="1673"/>
    <x v="1"/>
    <n v="1673"/>
  </r>
  <r>
    <n v="143287159"/>
    <n v="2749"/>
    <x v="3"/>
    <n v="2749"/>
  </r>
  <r>
    <n v="143287163"/>
    <n v="1672"/>
    <x v="3"/>
    <n v="1672"/>
  </r>
  <r>
    <n v="143287169"/>
    <n v="1152"/>
    <x v="1"/>
    <n v="1152"/>
  </r>
  <r>
    <n v="143287172"/>
    <n v="891"/>
    <x v="1"/>
    <n v="891"/>
  </r>
  <r>
    <n v="143287173"/>
    <n v="669"/>
    <x v="1"/>
    <n v="669"/>
  </r>
  <r>
    <n v="143287181"/>
    <n v="5756"/>
    <x v="1"/>
    <n v="5756"/>
  </r>
  <r>
    <n v="143287185"/>
    <n v="1347"/>
    <x v="1"/>
    <n v="1347"/>
  </r>
  <r>
    <n v="143287208"/>
    <n v="10804"/>
    <x v="1"/>
    <n v="13180"/>
  </r>
  <r>
    <n v="143287212"/>
    <n v="5942"/>
    <x v="1"/>
    <n v="5942"/>
  </r>
  <r>
    <n v="143287213"/>
    <n v="1253"/>
    <x v="1"/>
    <n v="1253"/>
  </r>
  <r>
    <n v="143287214"/>
    <n v="3156"/>
    <x v="1"/>
    <n v="3156"/>
  </r>
  <r>
    <n v="143287219"/>
    <n v="70"/>
    <x v="1"/>
    <n v="70"/>
  </r>
  <r>
    <n v="143287220"/>
    <n v="7219"/>
    <x v="1"/>
    <n v="7219"/>
  </r>
  <r>
    <n v="143287222"/>
    <n v="5050"/>
    <x v="1"/>
    <n v="5050"/>
  </r>
  <r>
    <n v="143287223"/>
    <n v="1782"/>
    <x v="1"/>
    <n v="1782"/>
  </r>
  <r>
    <n v="143287228"/>
    <n v="2228"/>
    <x v="1"/>
    <n v="2228"/>
  </r>
  <r>
    <n v="143287229"/>
    <n v="3880"/>
    <x v="1"/>
    <n v="3880"/>
  </r>
  <r>
    <n v="143287248"/>
    <n v="2924"/>
    <x v="1"/>
    <n v="2924"/>
  </r>
  <r>
    <n v="143287249"/>
    <n v="195"/>
    <x v="1"/>
    <n v="195"/>
  </r>
  <r>
    <n v="143287252"/>
    <n v="9169"/>
    <x v="1"/>
    <n v="9169"/>
  </r>
  <r>
    <n v="143287255"/>
    <n v="26171"/>
    <x v="1"/>
    <n v="26171"/>
  </r>
  <r>
    <n v="143287262"/>
    <n v="743"/>
    <x v="1"/>
    <n v="743"/>
  </r>
  <r>
    <n v="143297271"/>
    <n v="5198"/>
    <x v="1"/>
    <n v="5198"/>
  </r>
  <r>
    <n v="143297272"/>
    <n v="4325"/>
    <x v="1"/>
    <n v="4325"/>
  </r>
  <r>
    <n v="143297273"/>
    <n v="1742"/>
    <x v="1"/>
    <n v="1742"/>
  </r>
  <r>
    <n v="143297289"/>
    <n v="12548"/>
    <x v="1"/>
    <n v="12622"/>
  </r>
  <r>
    <n v="143297291"/>
    <n v="3631"/>
    <x v="1"/>
    <n v="3631"/>
  </r>
  <r>
    <n v="143297303"/>
    <n v="3300"/>
    <x v="1"/>
    <n v="3300"/>
  </r>
  <r>
    <n v="143297306"/>
    <n v="335"/>
    <x v="1"/>
    <n v="335"/>
  </r>
  <r>
    <n v="143297322"/>
    <n v="8154"/>
    <x v="1"/>
    <n v="8154"/>
  </r>
  <r>
    <n v="143297326"/>
    <n v="17039"/>
    <x v="1"/>
    <n v="17076"/>
  </r>
  <r>
    <n v="143297348"/>
    <n v="14107"/>
    <x v="1"/>
    <n v="14107"/>
  </r>
  <r>
    <n v="143297349"/>
    <n v="4896"/>
    <x v="1"/>
    <n v="4896"/>
  </r>
  <r>
    <n v="143297351"/>
    <n v="1394"/>
    <x v="1"/>
    <n v="1394"/>
  </r>
  <r>
    <n v="143297353"/>
    <n v="280"/>
    <x v="1"/>
    <n v="280"/>
  </r>
  <r>
    <n v="143297362"/>
    <n v="4585"/>
    <x v="1"/>
    <n v="4585"/>
  </r>
  <r>
    <n v="143297375"/>
    <n v="3180"/>
    <x v="1"/>
    <n v="3180"/>
  </r>
  <r>
    <n v="143297376"/>
    <n v="6312"/>
    <x v="1"/>
    <n v="6312"/>
  </r>
  <r>
    <n v="143297384"/>
    <n v="7807"/>
    <x v="1"/>
    <n v="7807"/>
  </r>
  <r>
    <n v="143297385"/>
    <n v="32434"/>
    <x v="1"/>
    <n v="32434"/>
  </r>
  <r>
    <n v="143297387"/>
    <n v="2631"/>
    <x v="4"/>
    <n v="2631"/>
  </r>
  <r>
    <n v="143297394"/>
    <n v="836"/>
    <x v="1"/>
    <n v="836"/>
  </r>
  <r>
    <n v="143297395"/>
    <n v="1337"/>
    <x v="1"/>
    <n v="1420"/>
  </r>
  <r>
    <n v="143297398"/>
    <n v="17818"/>
    <x v="1"/>
    <n v="17818"/>
  </r>
  <r>
    <n v="143297399"/>
    <n v="149"/>
    <x v="1"/>
    <n v="149"/>
  </r>
  <r>
    <n v="143307413"/>
    <n v="3364"/>
    <x v="1"/>
    <n v="3364"/>
  </r>
  <r>
    <n v="143307414"/>
    <n v="557"/>
    <x v="1"/>
    <n v="557"/>
  </r>
  <r>
    <n v="143307424"/>
    <n v="2173"/>
    <x v="5"/>
    <n v="2173"/>
  </r>
  <r>
    <n v="143307434"/>
    <n v="4455"/>
    <x v="1"/>
    <n v="4455"/>
  </r>
  <r>
    <n v="143307435"/>
    <n v="4929"/>
    <x v="1"/>
    <n v="4929"/>
  </r>
  <r>
    <n v="143307439"/>
    <n v="1207"/>
    <x v="1"/>
    <n v="1207"/>
  </r>
  <r>
    <n v="143307440"/>
    <n v="14141"/>
    <x v="4"/>
    <n v="6682"/>
  </r>
  <r>
    <n v="143307441"/>
    <n v="30625"/>
    <x v="1"/>
    <n v="30625"/>
  </r>
  <r>
    <n v="143307442"/>
    <n v="836"/>
    <x v="1"/>
    <n v="836"/>
  </r>
  <r>
    <n v="143307449"/>
    <n v="6776"/>
    <x v="1"/>
    <n v="6776"/>
  </r>
  <r>
    <n v="143307451"/>
    <n v="4131"/>
    <x v="1"/>
    <n v="4131"/>
  </r>
  <r>
    <n v="143307461"/>
    <n v="891"/>
    <x v="1"/>
    <n v="891"/>
  </r>
  <r>
    <n v="143307474"/>
    <n v="439"/>
    <x v="4"/>
    <n v="439"/>
  </r>
  <r>
    <n v="143307475"/>
    <n v="5013"/>
    <x v="1"/>
    <n v="5013"/>
  </r>
  <r>
    <n v="143307480"/>
    <n v="12201"/>
    <x v="1"/>
    <n v="12201"/>
  </r>
  <r>
    <n v="143307481"/>
    <n v="3351"/>
    <x v="1"/>
    <n v="3351"/>
  </r>
  <r>
    <n v="143307486"/>
    <n v="836"/>
    <x v="1"/>
    <n v="836"/>
  </r>
  <r>
    <n v="143307487"/>
    <n v="3412"/>
    <x v="1"/>
    <n v="3412"/>
  </r>
  <r>
    <n v="143307489"/>
    <n v="140"/>
    <x v="1"/>
    <n v="140"/>
  </r>
  <r>
    <n v="143307490"/>
    <n v="280"/>
    <x v="1"/>
    <n v="280"/>
  </r>
  <r>
    <n v="143307494"/>
    <n v="4585"/>
    <x v="1"/>
    <n v="4585"/>
  </r>
  <r>
    <n v="143307502"/>
    <n v="3341"/>
    <x v="1"/>
    <n v="3341"/>
  </r>
  <r>
    <n v="143307513"/>
    <n v="1114"/>
    <x v="1"/>
    <n v="1114"/>
  </r>
  <r>
    <n v="143307514"/>
    <n v="1950"/>
    <x v="1"/>
    <n v="1950"/>
  </r>
  <r>
    <n v="143307519"/>
    <n v="5012"/>
    <x v="1"/>
    <n v="1253"/>
  </r>
  <r>
    <n v="143307521"/>
    <n v="3718"/>
    <x v="1"/>
    <n v="3718"/>
  </r>
  <r>
    <n v="143307522"/>
    <n v="32574"/>
    <x v="1"/>
    <n v="32574"/>
  </r>
  <r>
    <n v="143307525"/>
    <n v="1003"/>
    <x v="1"/>
    <n v="1003"/>
  </r>
  <r>
    <n v="143307527"/>
    <n v="5198"/>
    <x v="1"/>
    <n v="5198"/>
  </r>
  <r>
    <n v="143307530"/>
    <n v="140"/>
    <x v="1"/>
    <n v="140"/>
  </r>
  <r>
    <n v="143317554"/>
    <n v="16334"/>
    <x v="1"/>
    <n v="16334"/>
  </r>
  <r>
    <n v="143317555"/>
    <n v="3156"/>
    <x v="1"/>
    <n v="3156"/>
  </r>
  <r>
    <n v="143317561"/>
    <n v="1532"/>
    <x v="1"/>
    <n v="1532"/>
  </r>
  <r>
    <n v="143317576"/>
    <n v="8353"/>
    <x v="1"/>
    <n v="8353"/>
  </r>
  <r>
    <n v="143317577"/>
    <n v="3251"/>
    <x v="1"/>
    <n v="3459"/>
  </r>
  <r>
    <n v="143317587"/>
    <n v="1300"/>
    <x v="1"/>
    <n v="1300"/>
  </r>
  <r>
    <n v="143317588"/>
    <n v="4363"/>
    <x v="1"/>
    <n v="4363"/>
  </r>
  <r>
    <n v="143317598"/>
    <n v="140"/>
    <x v="1"/>
    <n v="140"/>
  </r>
  <r>
    <n v="143317609"/>
    <n v="3713"/>
    <x v="1"/>
    <n v="3713"/>
  </r>
  <r>
    <n v="143317610"/>
    <n v="325"/>
    <x v="1"/>
    <n v="325"/>
  </r>
  <r>
    <n v="143317615"/>
    <n v="210"/>
    <x v="1"/>
    <n v="210"/>
  </r>
  <r>
    <n v="143317631"/>
    <n v="832"/>
    <x v="6"/>
    <n v="832"/>
  </r>
  <r>
    <n v="143317638"/>
    <n v="8581"/>
    <x v="1"/>
    <n v="8581"/>
  </r>
  <r>
    <n v="143317639"/>
    <n v="1114"/>
    <x v="1"/>
    <n v="1114"/>
  </r>
  <r>
    <n v="143317642"/>
    <n v="1951"/>
    <x v="1"/>
    <n v="1951"/>
  </r>
  <r>
    <n v="143327658"/>
    <n v="7332"/>
    <x v="1"/>
    <n v="7332"/>
  </r>
  <r>
    <n v="143327660"/>
    <n v="5940"/>
    <x v="1"/>
    <n v="5940"/>
  </r>
  <r>
    <n v="143327661"/>
    <n v="335"/>
    <x v="1"/>
    <n v="335"/>
  </r>
  <r>
    <n v="143327671"/>
    <n v="1337"/>
    <x v="4"/>
    <n v="1337"/>
  </r>
  <r>
    <n v="143327673"/>
    <n v="205"/>
    <x v="4"/>
    <n v="205"/>
  </r>
  <r>
    <n v="143327674"/>
    <n v="36332"/>
    <x v="4"/>
    <n v="36332"/>
  </r>
  <r>
    <n v="143327687"/>
    <n v="502"/>
    <x v="4"/>
    <n v="502"/>
  </r>
  <r>
    <n v="143327691"/>
    <n v="12250"/>
    <x v="1"/>
    <n v="12250"/>
  </r>
  <r>
    <n v="143327693"/>
    <n v="232"/>
    <x v="1"/>
    <n v="232"/>
  </r>
  <r>
    <n v="143327698"/>
    <n v="1486"/>
    <x v="1"/>
    <n v="1486"/>
  </r>
  <r>
    <n v="143327702"/>
    <n v="8893"/>
    <x v="4"/>
    <n v="8893"/>
  </r>
  <r>
    <n v="143327703"/>
    <n v="6980"/>
    <x v="4"/>
    <n v="6980"/>
  </r>
  <r>
    <n v="143327712"/>
    <n v="335"/>
    <x v="1"/>
    <n v="335"/>
  </r>
  <r>
    <n v="143327718"/>
    <n v="14849"/>
    <x v="1"/>
    <n v="14849"/>
  </r>
  <r>
    <n v="143327720"/>
    <n v="14775"/>
    <x v="1"/>
    <n v="14775"/>
  </r>
  <r>
    <n v="143327723"/>
    <n v="2160"/>
    <x v="4"/>
    <n v="2160"/>
  </r>
  <r>
    <n v="143327727"/>
    <n v="335"/>
    <x v="1"/>
    <n v="335"/>
  </r>
  <r>
    <n v="143327728"/>
    <n v="1674"/>
    <x v="4"/>
    <n v="1876"/>
  </r>
  <r>
    <n v="143327736"/>
    <n v="186"/>
    <x v="4"/>
    <n v="186"/>
  </r>
  <r>
    <n v="143327747"/>
    <n v="2228"/>
    <x v="4"/>
    <n v="2228"/>
  </r>
  <r>
    <n v="143327748"/>
    <n v="6717"/>
    <x v="4"/>
    <n v="6705"/>
  </r>
  <r>
    <n v="143327751"/>
    <n v="502"/>
    <x v="4"/>
    <n v="502"/>
  </r>
  <r>
    <n v="143327755"/>
    <n v="1755"/>
    <x v="4"/>
    <n v="1755"/>
  </r>
  <r>
    <n v="143327756"/>
    <n v="23526"/>
    <x v="4"/>
    <n v="23526"/>
  </r>
  <r>
    <n v="143327757"/>
    <n v="4299"/>
    <x v="4"/>
    <n v="4366"/>
  </r>
  <r>
    <n v="143327759"/>
    <n v="7648"/>
    <x v="4"/>
    <n v="7648"/>
  </r>
  <r>
    <n v="143327763"/>
    <n v="817"/>
    <x v="1"/>
    <n v="817"/>
  </r>
  <r>
    <n v="143327779"/>
    <n v="1671"/>
    <x v="4"/>
    <n v="1671"/>
  </r>
  <r>
    <n v="143327780"/>
    <n v="6728"/>
    <x v="4"/>
    <n v="6728"/>
  </r>
  <r>
    <n v="143327782"/>
    <n v="2229"/>
    <x v="4"/>
    <n v="2229"/>
  </r>
  <r>
    <n v="143327784"/>
    <n v="420"/>
    <x v="4"/>
    <n v="420"/>
  </r>
  <r>
    <n v="143327798"/>
    <n v="720"/>
    <x v="4"/>
    <n v="743"/>
  </r>
  <r>
    <n v="143327801"/>
    <n v="335"/>
    <x v="4"/>
    <n v="335"/>
  </r>
  <r>
    <n v="143327802"/>
    <n v="891"/>
    <x v="4"/>
    <n v="891"/>
  </r>
  <r>
    <n v="143327823"/>
    <n v="418"/>
    <x v="4"/>
    <n v="464"/>
  </r>
  <r>
    <n v="143337830"/>
    <n v="2762"/>
    <x v="4"/>
    <n v="2762"/>
  </r>
  <r>
    <n v="143337831"/>
    <n v="2414"/>
    <x v="4"/>
    <n v="2414"/>
  </r>
  <r>
    <n v="143337850"/>
    <n v="17818"/>
    <x v="4"/>
    <n v="17818"/>
  </r>
  <r>
    <n v="143337851"/>
    <n v="18190"/>
    <x v="4"/>
    <n v="18190"/>
  </r>
  <r>
    <n v="143337856"/>
    <n v="3694"/>
    <x v="4"/>
    <n v="3694"/>
  </r>
  <r>
    <n v="143337872"/>
    <n v="492"/>
    <x v="4"/>
    <n v="1420"/>
  </r>
  <r>
    <n v="143337873"/>
    <n v="18793"/>
    <x v="4"/>
    <n v="18793"/>
  </r>
  <r>
    <n v="143337886"/>
    <n v="3992"/>
    <x v="4"/>
    <n v="3992"/>
  </r>
  <r>
    <n v="143337915"/>
    <n v="877"/>
    <x v="4"/>
    <n v="877"/>
  </r>
  <r>
    <n v="143337920"/>
    <n v="1546"/>
    <x v="4"/>
    <n v="1839"/>
  </r>
  <r>
    <n v="143337926"/>
    <n v="8022"/>
    <x v="4"/>
    <n v="8022"/>
  </r>
  <r>
    <n v="143337929"/>
    <n v="3203"/>
    <x v="4"/>
    <n v="3203"/>
  </r>
  <r>
    <n v="143337931"/>
    <n v="5940"/>
    <x v="4"/>
    <n v="5940"/>
  </r>
  <r>
    <n v="143337954"/>
    <n v="2320"/>
    <x v="4"/>
    <n v="2320"/>
  </r>
  <r>
    <n v="143337955"/>
    <n v="9467"/>
    <x v="4"/>
    <n v="9467"/>
  </r>
  <r>
    <n v="143337959"/>
    <n v="1207"/>
    <x v="4"/>
    <n v="1207"/>
  </r>
  <r>
    <n v="143337964"/>
    <n v="28556"/>
    <x v="4"/>
    <n v="28556"/>
  </r>
  <r>
    <n v="143337991"/>
    <n v="557"/>
    <x v="4"/>
    <n v="557"/>
  </r>
  <r>
    <n v="143337995"/>
    <n v="1128"/>
    <x v="4"/>
    <n v="1128"/>
  </r>
  <r>
    <n v="143337996"/>
    <n v="308"/>
    <x v="4"/>
    <n v="308"/>
  </r>
  <r>
    <n v="143337997"/>
    <n v="488"/>
    <x v="4"/>
    <n v="488"/>
  </r>
  <r>
    <n v="143338003"/>
    <n v="4381"/>
    <x v="4"/>
    <n v="4381"/>
  </r>
  <r>
    <n v="143348010"/>
    <n v="12289"/>
    <x v="4"/>
    <n v="12994"/>
  </r>
  <r>
    <n v="143348014"/>
    <n v="1420"/>
    <x v="4"/>
    <n v="1420"/>
  </r>
  <r>
    <n v="143348022"/>
    <n v="2172"/>
    <x v="4"/>
    <n v="2172"/>
  </r>
  <r>
    <n v="143348023"/>
    <n v="279"/>
    <x v="4"/>
    <n v="279"/>
  </r>
  <r>
    <n v="143348031"/>
    <n v="34290"/>
    <x v="4"/>
    <n v="34522"/>
  </r>
  <r>
    <n v="143348032"/>
    <n v="502"/>
    <x v="4"/>
    <n v="502"/>
  </r>
  <r>
    <n v="143348037"/>
    <n v="3602"/>
    <x v="4"/>
    <n v="3602"/>
  </r>
  <r>
    <n v="143348038"/>
    <n v="335"/>
    <x v="4"/>
    <n v="335"/>
  </r>
  <r>
    <n v="143348039"/>
    <n v="891"/>
    <x v="4"/>
    <n v="891"/>
  </r>
  <r>
    <n v="143348065"/>
    <n v="6079"/>
    <x v="4"/>
    <n v="6079"/>
  </r>
  <r>
    <n v="143348067"/>
    <n v="8651"/>
    <x v="4"/>
    <n v="10766"/>
  </r>
  <r>
    <n v="143348080"/>
    <n v="404"/>
    <x v="4"/>
    <n v="418"/>
  </r>
  <r>
    <n v="143348104"/>
    <n v="17912"/>
    <x v="4"/>
    <n v="17912"/>
  </r>
  <r>
    <n v="143348105"/>
    <n v="2294"/>
    <x v="4"/>
    <n v="2461"/>
  </r>
  <r>
    <n v="143348107"/>
    <n v="1116"/>
    <x v="4"/>
    <n v="1116"/>
  </r>
  <r>
    <n v="143348110"/>
    <n v="1485"/>
    <x v="4"/>
    <n v="1485"/>
  </r>
  <r>
    <n v="143348122"/>
    <n v="3713"/>
    <x v="4"/>
    <n v="3713"/>
  </r>
  <r>
    <n v="143348124"/>
    <n v="6097"/>
    <x v="4"/>
    <n v="6097"/>
  </r>
  <r>
    <n v="143348129"/>
    <n v="280"/>
    <x v="4"/>
    <n v="280"/>
  </r>
  <r>
    <n v="143348133"/>
    <n v="8762"/>
    <x v="4"/>
    <n v="8762"/>
  </r>
  <r>
    <n v="143348138"/>
    <n v="1198"/>
    <x v="4"/>
    <n v="1421"/>
  </r>
  <r>
    <n v="143348139"/>
    <n v="28955"/>
    <x v="4"/>
    <n v="28955"/>
  </r>
  <r>
    <n v="143348147"/>
    <n v="395"/>
    <x v="4"/>
    <n v="325"/>
  </r>
  <r>
    <n v="143348149"/>
    <n v="2088"/>
    <x v="4"/>
    <n v="2088"/>
  </r>
  <r>
    <n v="143348170"/>
    <n v="1504"/>
    <x v="4"/>
    <n v="1504"/>
  </r>
  <r>
    <n v="143358173"/>
    <n v="7798"/>
    <x v="4"/>
    <n v="7798"/>
  </r>
  <r>
    <n v="143358174"/>
    <n v="1998"/>
    <x v="4"/>
    <n v="5338"/>
  </r>
  <r>
    <n v="143358180"/>
    <n v="52"/>
    <x v="4"/>
    <n v="52"/>
  </r>
  <r>
    <n v="143358185"/>
    <n v="1601"/>
    <x v="4"/>
    <n v="1601"/>
  </r>
  <r>
    <n v="143358189"/>
    <n v="4103"/>
    <x v="4"/>
    <n v="4219"/>
  </r>
  <r>
    <n v="143358193"/>
    <n v="2599"/>
    <x v="5"/>
    <n v="2971"/>
  </r>
  <r>
    <n v="143358194"/>
    <n v="326"/>
    <x v="4"/>
    <n v="326"/>
  </r>
  <r>
    <n v="143358203"/>
    <n v="4524"/>
    <x v="4"/>
    <n v="4524"/>
  </r>
  <r>
    <n v="143358204"/>
    <n v="16335"/>
    <x v="4"/>
    <n v="16335"/>
  </r>
  <r>
    <n v="143358212"/>
    <n v="891"/>
    <x v="5"/>
    <n v="891"/>
  </r>
  <r>
    <n v="143358214"/>
    <n v="1338"/>
    <x v="4"/>
    <n v="1338"/>
  </r>
  <r>
    <n v="143358220"/>
    <n v="6682"/>
    <x v="5"/>
    <n v="6682"/>
  </r>
  <r>
    <n v="143358223"/>
    <n v="5513"/>
    <x v="4"/>
    <n v="5513"/>
  </r>
  <r>
    <n v="143358224"/>
    <n v="4826"/>
    <x v="4"/>
    <n v="4826"/>
  </r>
  <r>
    <n v="143358235"/>
    <n v="54"/>
    <x v="4"/>
    <n v="56"/>
  </r>
  <r>
    <n v="143358240"/>
    <n v="6496"/>
    <x v="4"/>
    <n v="8584"/>
  </r>
  <r>
    <n v="143358241"/>
    <n v="10303"/>
    <x v="4"/>
    <n v="10303"/>
  </r>
  <r>
    <n v="143358248"/>
    <n v="1337"/>
    <x v="4"/>
    <n v="1421"/>
  </r>
  <r>
    <n v="143358249"/>
    <n v="2460"/>
    <x v="4"/>
    <n v="2284"/>
  </r>
  <r>
    <n v="143358260"/>
    <n v="1185"/>
    <x v="4"/>
    <n v="1185"/>
  </r>
  <r>
    <n v="143358270"/>
    <n v="743"/>
    <x v="4"/>
    <n v="743"/>
  </r>
  <r>
    <n v="143358271"/>
    <n v="743"/>
    <x v="4"/>
    <n v="743"/>
  </r>
  <r>
    <n v="143358274"/>
    <n v="404"/>
    <x v="4"/>
    <n v="446"/>
  </r>
  <r>
    <n v="143358278"/>
    <n v="17861"/>
    <x v="4"/>
    <n v="19949"/>
  </r>
  <r>
    <n v="143358280"/>
    <n v="14107"/>
    <x v="4"/>
    <n v="14107"/>
  </r>
  <r>
    <n v="143358291"/>
    <n v="29721"/>
    <x v="4"/>
    <n v="29721"/>
  </r>
  <r>
    <n v="143358293"/>
    <n v="37167"/>
    <x v="4"/>
    <n v="37167"/>
  </r>
  <r>
    <n v="143358304"/>
    <n v="5198"/>
    <x v="4"/>
    <n v="5198"/>
  </r>
  <r>
    <n v="143358305"/>
    <n v="975"/>
    <x v="4"/>
    <n v="975"/>
  </r>
  <r>
    <n v="143358306"/>
    <n v="587"/>
    <x v="4"/>
    <n v="587"/>
  </r>
  <r>
    <n v="143358315"/>
    <n v="98"/>
    <x v="5"/>
    <n v="98"/>
  </r>
  <r>
    <n v="143368339"/>
    <n v="1449"/>
    <x v="4"/>
    <n v="1486"/>
  </r>
  <r>
    <n v="143368342"/>
    <n v="836"/>
    <x v="4"/>
    <n v="836"/>
  </r>
  <r>
    <n v="143368355"/>
    <n v="21522"/>
    <x v="5"/>
    <n v="21522"/>
  </r>
  <r>
    <n v="143368361"/>
    <n v="1170"/>
    <x v="5"/>
    <n v="1170"/>
  </r>
  <r>
    <n v="143368362"/>
    <n v="3948"/>
    <x v="5"/>
    <n v="4240"/>
  </r>
  <r>
    <n v="143368366"/>
    <n v="13180"/>
    <x v="4"/>
    <n v="13180"/>
  </r>
  <r>
    <n v="143368370"/>
    <n v="4176"/>
    <x v="4"/>
    <n v="4176"/>
  </r>
  <r>
    <n v="143368373"/>
    <n v="2228"/>
    <x v="4"/>
    <n v="2228"/>
  </r>
  <r>
    <n v="143368381"/>
    <n v="650"/>
    <x v="6"/>
    <n v="650"/>
  </r>
  <r>
    <n v="143368382"/>
    <n v="9876"/>
    <x v="5"/>
    <n v="10062"/>
  </r>
  <r>
    <n v="143368383"/>
    <n v="8303"/>
    <x v="5"/>
    <n v="8921"/>
  </r>
  <r>
    <n v="143368384"/>
    <n v="33409"/>
    <x v="4"/>
    <n v="33409"/>
  </r>
  <r>
    <n v="143368385"/>
    <n v="3659"/>
    <x v="5"/>
    <n v="3694"/>
  </r>
  <r>
    <n v="143368411"/>
    <n v="3110"/>
    <x v="4"/>
    <n v="3110"/>
  </r>
  <r>
    <n v="143368413"/>
    <n v="10284"/>
    <x v="4"/>
    <n v="13736"/>
  </r>
  <r>
    <n v="143368426"/>
    <n v="10617"/>
    <x v="5"/>
    <n v="10617"/>
  </r>
  <r>
    <n v="143368427"/>
    <n v="4455"/>
    <x v="5"/>
    <n v="16704"/>
  </r>
  <r>
    <n v="143368430"/>
    <n v="335"/>
    <x v="5"/>
    <n v="335"/>
  </r>
  <r>
    <n v="143368436"/>
    <n v="237"/>
    <x v="5"/>
    <n v="232"/>
  </r>
  <r>
    <n v="143368449"/>
    <n v="5681"/>
    <x v="4"/>
    <n v="6127"/>
  </r>
  <r>
    <n v="143368454"/>
    <n v="11693"/>
    <x v="4"/>
    <n v="11693"/>
  </r>
  <r>
    <n v="143368458"/>
    <n v="1048"/>
    <x v="5"/>
    <n v="1048"/>
  </r>
  <r>
    <n v="143368464"/>
    <n v="37863"/>
    <x v="5"/>
    <n v="37863"/>
  </r>
  <r>
    <n v="143368465"/>
    <n v="1818"/>
    <x v="5"/>
    <n v="1818"/>
  </r>
  <r>
    <n v="143368473"/>
    <n v="3602"/>
    <x v="5"/>
    <n v="3602"/>
  </r>
  <r>
    <n v="143368475"/>
    <n v="27238"/>
    <x v="5"/>
    <n v="27238"/>
  </r>
  <r>
    <n v="143368476"/>
    <n v="1031"/>
    <x v="5"/>
    <n v="1505"/>
  </r>
  <r>
    <n v="143368487"/>
    <n v="2043"/>
    <x v="4"/>
    <n v="2043"/>
  </r>
  <r>
    <n v="143368492"/>
    <n v="224"/>
    <x v="4"/>
    <n v="224"/>
  </r>
  <r>
    <n v="143368503"/>
    <n v="1504"/>
    <x v="5"/>
    <n v="1504"/>
  </r>
  <r>
    <n v="143378508"/>
    <n v="3713"/>
    <x v="5"/>
    <n v="3713"/>
  </r>
  <r>
    <n v="143378509"/>
    <n v="4176"/>
    <x v="5"/>
    <n v="4176"/>
  </r>
  <r>
    <n v="143378513"/>
    <n v="1114"/>
    <x v="5"/>
    <n v="1114"/>
  </r>
  <r>
    <n v="143378514"/>
    <n v="488"/>
    <x v="5"/>
    <n v="743"/>
  </r>
  <r>
    <n v="143378515"/>
    <n v="743"/>
    <x v="5"/>
    <n v="743"/>
  </r>
  <r>
    <n v="143378516"/>
    <n v="280"/>
    <x v="5"/>
    <n v="280"/>
  </r>
  <r>
    <n v="143378519"/>
    <n v="39534"/>
    <x v="5"/>
    <n v="39534"/>
  </r>
  <r>
    <n v="143378523"/>
    <n v="3783"/>
    <x v="5"/>
    <n v="3783"/>
  </r>
  <r>
    <n v="143378524"/>
    <n v="2933"/>
    <x v="5"/>
    <n v="3300"/>
  </r>
  <r>
    <n v="143378525"/>
    <n v="1601"/>
    <x v="5"/>
    <n v="1601"/>
  </r>
  <r>
    <n v="143378531"/>
    <n v="7425"/>
    <x v="5"/>
    <n v="7425"/>
  </r>
  <r>
    <n v="143378533"/>
    <n v="279"/>
    <x v="5"/>
    <n v="279"/>
  </r>
  <r>
    <n v="143378561"/>
    <n v="82"/>
    <x v="5"/>
    <n v="130"/>
  </r>
  <r>
    <n v="143378571"/>
    <n v="8167"/>
    <x v="5"/>
    <n v="8167"/>
  </r>
  <r>
    <n v="143378572"/>
    <n v="2436"/>
    <x v="5"/>
    <n v="2436"/>
  </r>
  <r>
    <n v="143378574"/>
    <n v="2091"/>
    <x v="5"/>
    <n v="2091"/>
  </r>
  <r>
    <n v="143378614"/>
    <n v="12102"/>
    <x v="5"/>
    <n v="17076"/>
  </r>
  <r>
    <n v="143378616"/>
    <n v="13220"/>
    <x v="5"/>
    <n v="13220"/>
  </r>
  <r>
    <n v="143378617"/>
    <n v="3105"/>
    <x v="5"/>
    <n v="3105"/>
  </r>
  <r>
    <n v="143378621"/>
    <n v="418"/>
    <x v="5"/>
    <n v="418"/>
  </r>
  <r>
    <n v="143378622"/>
    <n v="2509"/>
    <x v="5"/>
    <n v="2509"/>
  </r>
  <r>
    <n v="143378653"/>
    <n v="10544"/>
    <x v="5"/>
    <n v="11138"/>
  </r>
  <r>
    <n v="143378669"/>
    <n v="232"/>
    <x v="5"/>
    <n v="232"/>
  </r>
  <r>
    <n v="143388679"/>
    <n v="10858"/>
    <x v="5"/>
    <n v="10858"/>
  </r>
  <r>
    <n v="143388680"/>
    <n v="7240"/>
    <x v="5"/>
    <n v="7240"/>
  </r>
  <r>
    <n v="143388681"/>
    <n v="1601"/>
    <x v="5"/>
    <n v="1601"/>
  </r>
  <r>
    <n v="143388689"/>
    <n v="1086"/>
    <x v="5"/>
    <n v="1086"/>
  </r>
  <r>
    <n v="143388694"/>
    <n v="42805"/>
    <x v="5"/>
    <n v="42805"/>
  </r>
  <r>
    <n v="143388701"/>
    <n v="140"/>
    <x v="5"/>
    <n v="140"/>
  </r>
  <r>
    <n v="143388709"/>
    <n v="14478"/>
    <x v="5"/>
    <n v="14478"/>
  </r>
  <r>
    <n v="143388710"/>
    <n v="488"/>
    <x v="5"/>
    <n v="488"/>
  </r>
  <r>
    <n v="143388712"/>
    <n v="1504"/>
    <x v="5"/>
    <n v="1504"/>
  </r>
  <r>
    <n v="143388713"/>
    <n v="1672"/>
    <x v="5"/>
    <n v="1672"/>
  </r>
  <r>
    <n v="143388723"/>
    <n v="4095"/>
    <x v="5"/>
    <n v="4345"/>
  </r>
  <r>
    <n v="143388726"/>
    <n v="1225"/>
    <x v="5"/>
    <n v="1225"/>
  </r>
  <r>
    <n v="143388727"/>
    <n v="1253"/>
    <x v="5"/>
    <n v="1253"/>
  </r>
  <r>
    <n v="143388728"/>
    <n v="297"/>
    <x v="5"/>
    <n v="297"/>
  </r>
  <r>
    <n v="143388739"/>
    <n v="669"/>
    <x v="5"/>
    <n v="669"/>
  </r>
  <r>
    <n v="143388744"/>
    <n v="1338"/>
    <x v="5"/>
    <n v="1338"/>
  </r>
  <r>
    <n v="143388748"/>
    <n v="13067"/>
    <x v="5"/>
    <n v="13067"/>
  </r>
  <r>
    <n v="143388753"/>
    <n v="1810"/>
    <x v="5"/>
    <n v="3620"/>
  </r>
  <r>
    <n v="143388760"/>
    <n v="23982"/>
    <x v="5"/>
    <n v="26357"/>
  </r>
  <r>
    <n v="143388762"/>
    <n v="11387"/>
    <x v="5"/>
    <n v="11387"/>
  </r>
  <r>
    <n v="143388800"/>
    <n v="3602"/>
    <x v="5"/>
    <n v="3602"/>
  </r>
  <r>
    <n v="143388802"/>
    <n v="8539"/>
    <x v="5"/>
    <n v="8539"/>
  </r>
  <r>
    <n v="143388803"/>
    <n v="12678"/>
    <x v="5"/>
    <n v="12678"/>
  </r>
  <r>
    <n v="143388806"/>
    <n v="3066"/>
    <x v="5"/>
    <n v="3066"/>
  </r>
  <r>
    <n v="143388818"/>
    <n v="1160"/>
    <x v="5"/>
    <n v="1856"/>
  </r>
  <r>
    <n v="143388819"/>
    <n v="1648"/>
    <x v="6"/>
    <n v="1648"/>
  </r>
  <r>
    <n v="143388821"/>
    <n v="13331"/>
    <x v="5"/>
    <n v="13331"/>
  </r>
  <r>
    <n v="143388822"/>
    <n v="335"/>
    <x v="6"/>
    <n v="335"/>
  </r>
  <r>
    <n v="143388827"/>
    <n v="24987"/>
    <x v="5"/>
    <n v="24987"/>
  </r>
  <r>
    <n v="143388828"/>
    <n v="1337"/>
    <x v="5"/>
    <n v="1671"/>
  </r>
  <r>
    <n v="143388837"/>
    <n v="8763"/>
    <x v="5"/>
    <n v="8763"/>
  </r>
  <r>
    <n v="143388848"/>
    <n v="1903"/>
    <x v="5"/>
    <n v="1903"/>
  </r>
  <r>
    <n v="143388850"/>
    <n v="5569"/>
    <x v="5"/>
    <n v="5569"/>
  </r>
  <r>
    <n v="143388857"/>
    <n v="502"/>
    <x v="5"/>
    <n v="502"/>
  </r>
  <r>
    <n v="143388865"/>
    <n v="168"/>
    <x v="5"/>
    <n v="168"/>
  </r>
  <r>
    <n v="143388867"/>
    <n v="2784"/>
    <x v="6"/>
    <n v="3132"/>
  </r>
  <r>
    <n v="143388869"/>
    <n v="20046"/>
    <x v="5"/>
    <n v="20046"/>
  </r>
  <r>
    <n v="143388870"/>
    <n v="45936"/>
    <x v="5"/>
    <n v="45936"/>
  </r>
  <r>
    <n v="143398885"/>
    <n v="10557"/>
    <x v="5"/>
    <n v="10557"/>
  </r>
  <r>
    <n v="143398886"/>
    <n v="1601"/>
    <x v="5"/>
    <n v="1601"/>
  </r>
  <r>
    <n v="143398888"/>
    <n v="8168"/>
    <x v="5"/>
    <n v="8168"/>
  </r>
  <r>
    <n v="143398898"/>
    <n v="11136"/>
    <x v="5"/>
    <n v="11136"/>
  </r>
  <r>
    <n v="143398901"/>
    <n v="15109"/>
    <x v="5"/>
    <n v="15146"/>
  </r>
  <r>
    <n v="143398902"/>
    <n v="743"/>
    <x v="5"/>
    <n v="743"/>
  </r>
  <r>
    <n v="143398914"/>
    <n v="10024"/>
    <x v="5"/>
    <n v="10024"/>
  </r>
  <r>
    <n v="143398915"/>
    <n v="140"/>
    <x v="5"/>
    <n v="140"/>
  </r>
  <r>
    <n v="143398937"/>
    <n v="1504"/>
    <x v="5"/>
    <n v="1587"/>
  </r>
  <r>
    <n v="143398938"/>
    <n v="24881"/>
    <x v="5"/>
    <n v="32676"/>
  </r>
  <r>
    <n v="143398953"/>
    <n v="3602"/>
    <x v="5"/>
    <n v="3602"/>
  </r>
  <r>
    <n v="143398960"/>
    <n v="2906"/>
    <x v="5"/>
    <n v="2906"/>
  </r>
  <r>
    <n v="143398980"/>
    <n v="3713"/>
    <x v="5"/>
    <n v="3713"/>
  </r>
  <r>
    <n v="143398981"/>
    <n v="186"/>
    <x v="5"/>
    <n v="186"/>
  </r>
  <r>
    <n v="143398989"/>
    <n v="845"/>
    <x v="6"/>
    <n v="845"/>
  </r>
  <r>
    <n v="143399001"/>
    <n v="1087"/>
    <x v="5"/>
    <n v="1087"/>
  </r>
  <r>
    <n v="143399002"/>
    <n v="1942"/>
    <x v="5"/>
    <n v="2757"/>
  </r>
  <r>
    <n v="143399003"/>
    <n v="827"/>
    <x v="5"/>
    <n v="1003"/>
  </r>
  <r>
    <n v="143399013"/>
    <n v="9188"/>
    <x v="5"/>
    <n v="9188"/>
  </r>
  <r>
    <n v="143399014"/>
    <n v="10023"/>
    <x v="5"/>
    <n v="10023"/>
  </r>
  <r>
    <n v="143399018"/>
    <n v="280"/>
    <x v="5"/>
    <n v="280"/>
  </r>
  <r>
    <n v="143399033"/>
    <n v="7517"/>
    <x v="6"/>
    <n v="7517"/>
  </r>
  <r>
    <n v="143399042"/>
    <n v="10217"/>
    <x v="5"/>
    <n v="10217"/>
  </r>
  <r>
    <n v="143399043"/>
    <n v="38141"/>
    <x v="5"/>
    <n v="38141"/>
  </r>
  <r>
    <n v="143399044"/>
    <n v="16408"/>
    <x v="5"/>
    <n v="16408"/>
  </r>
  <r>
    <n v="143399048"/>
    <n v="1504"/>
    <x v="5"/>
    <n v="1504"/>
  </r>
  <r>
    <n v="143399049"/>
    <n v="279"/>
    <x v="5"/>
    <n v="279"/>
  </r>
  <r>
    <n v="143409059"/>
    <n v="4640"/>
    <x v="5"/>
    <n v="4640"/>
  </r>
  <r>
    <n v="143409061"/>
    <n v="1485"/>
    <x v="5"/>
    <n v="1485"/>
  </r>
  <r>
    <n v="143409062"/>
    <n v="446"/>
    <x v="6"/>
    <n v="446"/>
  </r>
  <r>
    <n v="143409072"/>
    <n v="9188"/>
    <x v="5"/>
    <n v="9188"/>
  </r>
  <r>
    <n v="143409082"/>
    <n v="30068"/>
    <x v="5"/>
    <n v="30068"/>
  </r>
  <r>
    <n v="143409095"/>
    <n v="328"/>
    <x v="5"/>
    <n v="418"/>
  </r>
  <r>
    <n v="143409121"/>
    <n v="1601"/>
    <x v="5"/>
    <n v="1601"/>
  </r>
  <r>
    <n v="143409134"/>
    <n v="6099"/>
    <x v="6"/>
    <n v="6099"/>
  </r>
  <r>
    <n v="143409136"/>
    <n v="45936"/>
    <x v="6"/>
    <n v="45936"/>
  </r>
  <r>
    <n v="143409137"/>
    <n v="17958"/>
    <x v="6"/>
    <n v="17958"/>
  </r>
  <r>
    <n v="143409140"/>
    <n v="9728"/>
    <x v="6"/>
    <n v="9728"/>
  </r>
  <r>
    <n v="143409142"/>
    <n v="1949"/>
    <x v="6"/>
    <n v="1949"/>
  </r>
  <r>
    <n v="143409154"/>
    <n v="1114"/>
    <x v="5"/>
    <n v="1114"/>
  </r>
  <r>
    <n v="143409155"/>
    <n v="42327"/>
    <x v="6"/>
    <n v="42327"/>
  </r>
  <r>
    <n v="143409164"/>
    <n v="780"/>
    <x v="6"/>
    <n v="780"/>
  </r>
  <r>
    <n v="143409166"/>
    <n v="14812"/>
    <x v="5"/>
    <n v="19303"/>
  </r>
  <r>
    <n v="143409167"/>
    <n v="6181"/>
    <x v="5"/>
    <n v="6181"/>
  </r>
  <r>
    <n v="143409168"/>
    <n v="140"/>
    <x v="5"/>
    <n v="140"/>
  </r>
  <r>
    <n v="143409176"/>
    <n v="1665"/>
    <x v="6"/>
    <n v="1672"/>
  </r>
  <r>
    <n v="143409186"/>
    <n v="3602"/>
    <x v="6"/>
    <n v="3602"/>
  </r>
  <r>
    <n v="143409188"/>
    <n v="4566"/>
    <x v="5"/>
    <n v="4566"/>
  </r>
  <r>
    <n v="143409204"/>
    <n v="3365"/>
    <x v="6"/>
    <n v="3365"/>
  </r>
  <r>
    <n v="143409205"/>
    <n v="3620"/>
    <x v="7"/>
    <n v="3620"/>
  </r>
  <r>
    <n v="143409209"/>
    <n v="6914"/>
    <x v="5"/>
    <n v="6914"/>
  </r>
  <r>
    <n v="143409211"/>
    <n v="7054"/>
    <x v="5"/>
    <n v="8910"/>
  </r>
  <r>
    <n v="143409216"/>
    <n v="975"/>
    <x v="5"/>
    <n v="975"/>
  </r>
  <r>
    <n v="143409224"/>
    <n v="4826"/>
    <x v="5"/>
    <n v="4826"/>
  </r>
  <r>
    <n v="143409235"/>
    <n v="11136"/>
    <x v="6"/>
    <n v="11136"/>
  </r>
  <r>
    <n v="143409237"/>
    <n v="891"/>
    <x v="6"/>
    <n v="891"/>
  </r>
  <r>
    <n v="143409250"/>
    <n v="4176"/>
    <x v="5"/>
    <n v="4176"/>
  </r>
  <r>
    <n v="143409251"/>
    <n v="5941"/>
    <x v="5"/>
    <n v="5941"/>
  </r>
  <r>
    <n v="143409269"/>
    <n v="3620"/>
    <x v="5"/>
    <n v="3620"/>
  </r>
  <r>
    <n v="143419283"/>
    <n v="232"/>
    <x v="5"/>
    <n v="232"/>
  </r>
  <r>
    <n v="143419284"/>
    <n v="10023"/>
    <x v="5"/>
    <n v="10023"/>
  </r>
  <r>
    <n v="143419285"/>
    <n v="1504"/>
    <x v="5"/>
    <n v="1504"/>
  </r>
  <r>
    <n v="143419300"/>
    <n v="11136"/>
    <x v="6"/>
    <n v="11136"/>
  </r>
  <r>
    <n v="143419301"/>
    <n v="16774"/>
    <x v="6"/>
    <n v="22272"/>
  </r>
  <r>
    <n v="143419307"/>
    <n v="12437"/>
    <x v="5"/>
    <n v="12437"/>
  </r>
  <r>
    <n v="143419308"/>
    <n v="1811"/>
    <x v="5"/>
    <n v="1811"/>
  </r>
  <r>
    <n v="143419310"/>
    <n v="1951"/>
    <x v="6"/>
    <n v="1951"/>
  </r>
  <r>
    <n v="143419332"/>
    <n v="11657"/>
    <x v="5"/>
    <n v="14478"/>
  </r>
  <r>
    <n v="143419333"/>
    <n v="5290"/>
    <x v="5"/>
    <n v="5708"/>
  </r>
  <r>
    <n v="143419343"/>
    <n v="1951"/>
    <x v="6"/>
    <n v="1951"/>
  </r>
  <r>
    <n v="143419356"/>
    <n v="15036"/>
    <x v="6"/>
    <n v="15036"/>
  </r>
  <r>
    <n v="143419360"/>
    <n v="10821"/>
    <x v="6"/>
    <n v="10821"/>
  </r>
  <r>
    <n v="143419365"/>
    <n v="140"/>
    <x v="6"/>
    <n v="140"/>
  </r>
  <r>
    <n v="143419376"/>
    <n v="780"/>
    <x v="6"/>
    <n v="780"/>
  </r>
  <r>
    <n v="143419407"/>
    <n v="743"/>
    <x v="6"/>
    <n v="743"/>
  </r>
  <r>
    <n v="143419409"/>
    <n v="5866"/>
    <x v="6"/>
    <n v="7054"/>
  </r>
  <r>
    <n v="143419418"/>
    <n v="1486"/>
    <x v="6"/>
    <n v="1486"/>
  </r>
  <r>
    <n v="143419428"/>
    <n v="446"/>
    <x v="6"/>
    <n v="446"/>
  </r>
  <r>
    <n v="143429435"/>
    <n v="10255"/>
    <x v="6"/>
    <n v="10255"/>
  </r>
  <r>
    <n v="143429436"/>
    <n v="557"/>
    <x v="6"/>
    <n v="557"/>
  </r>
  <r>
    <n v="143429442"/>
    <n v="14255"/>
    <x v="6"/>
    <n v="14255"/>
  </r>
  <r>
    <n v="143429450"/>
    <n v="859"/>
    <x v="6"/>
    <n v="859"/>
  </r>
  <r>
    <n v="143429456"/>
    <n v="28120"/>
    <x v="6"/>
    <n v="28120"/>
  </r>
  <r>
    <n v="143429464"/>
    <n v="47"/>
    <x v="6"/>
    <n v="47"/>
  </r>
  <r>
    <n v="143429465"/>
    <n v="7797"/>
    <x v="6"/>
    <n v="7797"/>
  </r>
  <r>
    <n v="143429471"/>
    <n v="11136"/>
    <x v="8"/>
    <n v="11136"/>
  </r>
  <r>
    <n v="143429472"/>
    <n v="11136"/>
    <x v="8"/>
    <n v="11136"/>
  </r>
  <r>
    <n v="143429475"/>
    <n v="1171"/>
    <x v="6"/>
    <n v="1672"/>
  </r>
  <r>
    <n v="143429476"/>
    <n v="1254"/>
    <x v="6"/>
    <n v="1254"/>
  </r>
  <r>
    <n v="143429477"/>
    <n v="1601"/>
    <x v="6"/>
    <n v="1601"/>
  </r>
  <r>
    <n v="143429478"/>
    <n v="3648"/>
    <x v="6"/>
    <n v="3694"/>
  </r>
  <r>
    <n v="143429479"/>
    <n v="3694"/>
    <x v="6"/>
    <n v="3694"/>
  </r>
  <r>
    <n v="143429480"/>
    <n v="1951"/>
    <x v="6"/>
    <n v="1951"/>
  </r>
  <r>
    <n v="143429483"/>
    <n v="7517"/>
    <x v="8"/>
    <n v="7517"/>
  </r>
  <r>
    <n v="143429490"/>
    <n v="30555"/>
    <x v="6"/>
    <n v="30555"/>
  </r>
  <r>
    <n v="143429508"/>
    <n v="12993"/>
    <x v="6"/>
    <n v="12993"/>
  </r>
  <r>
    <n v="143429509"/>
    <n v="1903"/>
    <x v="6"/>
    <n v="1903"/>
  </r>
  <r>
    <n v="143429538"/>
    <n v="9021"/>
    <x v="6"/>
    <n v="9021"/>
  </r>
  <r>
    <n v="143429539"/>
    <n v="9652"/>
    <x v="6"/>
    <n v="9652"/>
  </r>
  <r>
    <n v="143429553"/>
    <n v="279"/>
    <x v="6"/>
    <n v="279"/>
  </r>
  <r>
    <n v="143429584"/>
    <n v="10048"/>
    <x v="6"/>
    <n v="10048"/>
  </r>
  <r>
    <n v="143429585"/>
    <n v="10395"/>
    <x v="6"/>
    <n v="10395"/>
  </r>
  <r>
    <n v="143429586"/>
    <n v="628"/>
    <x v="6"/>
    <n v="628"/>
  </r>
  <r>
    <n v="143429592"/>
    <n v="23337"/>
    <x v="6"/>
    <n v="23337"/>
  </r>
  <r>
    <n v="143429593"/>
    <n v="2303"/>
    <x v="6"/>
    <n v="2303"/>
  </r>
  <r>
    <n v="143429599"/>
    <n v="1420"/>
    <x v="6"/>
    <n v="1420"/>
  </r>
  <r>
    <n v="143429600"/>
    <n v="1671"/>
    <x v="6"/>
    <n v="1671"/>
  </r>
  <r>
    <n v="143429604"/>
    <n v="18514"/>
    <x v="6"/>
    <n v="18514"/>
  </r>
  <r>
    <n v="143429614"/>
    <n v="4970"/>
    <x v="6"/>
    <n v="4970"/>
  </r>
  <r>
    <n v="143429615"/>
    <n v="1856"/>
    <x v="8"/>
    <n v="1856"/>
  </r>
  <r>
    <n v="143429616"/>
    <n v="7425"/>
    <x v="6"/>
    <n v="7425"/>
  </r>
  <r>
    <n v="143429618"/>
    <n v="877"/>
    <x v="6"/>
    <n v="877"/>
  </r>
  <r>
    <n v="143429651"/>
    <n v="232"/>
    <x v="8"/>
    <n v="232"/>
  </r>
  <r>
    <n v="143439653"/>
    <n v="164"/>
    <x v="6"/>
    <n v="164"/>
  </r>
  <r>
    <n v="143439655"/>
    <n v="10396"/>
    <x v="6"/>
    <n v="10396"/>
  </r>
  <r>
    <n v="143439659"/>
    <n v="1951"/>
    <x v="6"/>
    <n v="1951"/>
  </r>
  <r>
    <n v="143439679"/>
    <n v="15000"/>
    <x v="6"/>
    <n v="15591"/>
  </r>
  <r>
    <n v="143439682"/>
    <n v="8352"/>
    <x v="6"/>
    <n v="8352"/>
  </r>
  <r>
    <n v="143439683"/>
    <n v="4455"/>
    <x v="6"/>
    <n v="4455"/>
  </r>
  <r>
    <n v="143439690"/>
    <n v="1601"/>
    <x v="6"/>
    <n v="1601"/>
  </r>
  <r>
    <n v="143439691"/>
    <n v="1856"/>
    <x v="8"/>
    <n v="1856"/>
  </r>
  <r>
    <n v="143439720"/>
    <n v="1857"/>
    <x v="6"/>
    <n v="2275"/>
  </r>
  <r>
    <n v="143439723"/>
    <n v="15778"/>
    <x v="6"/>
    <n v="15778"/>
  </r>
  <r>
    <n v="143439726"/>
    <n v="1254"/>
    <x v="6"/>
    <n v="1254"/>
  </r>
  <r>
    <n v="143439731"/>
    <n v="1170"/>
    <x v="6"/>
    <n v="1170"/>
  </r>
  <r>
    <n v="143439747"/>
    <n v="3694"/>
    <x v="8"/>
    <n v="3694"/>
  </r>
  <r>
    <n v="143439748"/>
    <n v="3694"/>
    <x v="8"/>
    <n v="3694"/>
  </r>
  <r>
    <n v="143439749"/>
    <n v="3632"/>
    <x v="8"/>
    <n v="3694"/>
  </r>
  <r>
    <n v="143439771"/>
    <n v="1644"/>
    <x v="6"/>
    <n v="1644"/>
  </r>
  <r>
    <n v="143439773"/>
    <n v="14478"/>
    <x v="6"/>
    <n v="14478"/>
  </r>
  <r>
    <n v="143439780"/>
    <n v="22771"/>
    <x v="6"/>
    <n v="22771"/>
  </r>
  <r>
    <n v="143439787"/>
    <n v="1254"/>
    <x v="6"/>
    <n v="1254"/>
  </r>
  <r>
    <n v="143439789"/>
    <n v="70"/>
    <x v="6"/>
    <n v="70"/>
  </r>
  <r>
    <n v="143439803"/>
    <n v="10357"/>
    <x v="6"/>
    <n v="10357"/>
  </r>
  <r>
    <n v="143439805"/>
    <n v="14849"/>
    <x v="6"/>
    <n v="14849"/>
  </r>
  <r>
    <n v="143439806"/>
    <n v="1476"/>
    <x v="6"/>
    <n v="1601"/>
  </r>
  <r>
    <n v="143439825"/>
    <n v="367"/>
    <x v="6"/>
    <n v="377"/>
  </r>
  <r>
    <n v="143439827"/>
    <n v="1170"/>
    <x v="6"/>
    <n v="1170"/>
  </r>
  <r>
    <n v="143439828"/>
    <n v="1003"/>
    <x v="6"/>
    <n v="1003"/>
  </r>
  <r>
    <n v="143449857"/>
    <n v="836"/>
    <x v="6"/>
    <n v="836"/>
  </r>
  <r>
    <n v="143449860"/>
    <n v="6683"/>
    <x v="6"/>
    <n v="6683"/>
  </r>
  <r>
    <n v="143449862"/>
    <n v="3341"/>
    <x v="6"/>
    <n v="3341"/>
  </r>
  <r>
    <n v="143449875"/>
    <n v="3694"/>
    <x v="8"/>
    <n v="3694"/>
  </r>
  <r>
    <n v="143449876"/>
    <n v="3632"/>
    <x v="8"/>
    <n v="3694"/>
  </r>
  <r>
    <n v="143449877"/>
    <n v="3564"/>
    <x v="7"/>
    <n v="3694"/>
  </r>
  <r>
    <n v="143449891"/>
    <n v="10691"/>
    <x v="6"/>
    <n v="10691"/>
  </r>
  <r>
    <n v="143449917"/>
    <n v="2653"/>
    <x v="8"/>
    <n v="5472"/>
  </r>
  <r>
    <n v="143449919"/>
    <n v="7729"/>
    <x v="6"/>
    <n v="9928"/>
  </r>
  <r>
    <n v="143449922"/>
    <n v="4456"/>
    <x v="6"/>
    <n v="4456"/>
  </r>
  <r>
    <n v="143449928"/>
    <n v="1324"/>
    <x v="6"/>
    <n v="1324"/>
  </r>
  <r>
    <n v="143449929"/>
    <n v="975"/>
    <x v="8"/>
    <n v="975"/>
  </r>
  <r>
    <n v="143449946"/>
    <n v="448"/>
    <x v="6"/>
    <n v="420"/>
  </r>
  <r>
    <n v="143449947"/>
    <n v="1338"/>
    <x v="8"/>
    <n v="1338"/>
  </r>
  <r>
    <n v="143449948"/>
    <n v="2256"/>
    <x v="8"/>
    <n v="2256"/>
  </r>
  <r>
    <n v="143449949"/>
    <n v="1337"/>
    <x v="8"/>
    <n v="836"/>
  </r>
  <r>
    <n v="143449951"/>
    <n v="1365"/>
    <x v="8"/>
    <n v="2172"/>
  </r>
  <r>
    <n v="143449952"/>
    <n v="585"/>
    <x v="8"/>
    <n v="1921"/>
  </r>
  <r>
    <n v="143449953"/>
    <n v="1086"/>
    <x v="8"/>
    <n v="2757"/>
  </r>
  <r>
    <n v="143449961"/>
    <n v="3248"/>
    <x v="7"/>
    <n v="3341"/>
  </r>
  <r>
    <n v="143449962"/>
    <n v="11136"/>
    <x v="7"/>
    <n v="11136"/>
  </r>
  <r>
    <n v="143449966"/>
    <n v="5963"/>
    <x v="6"/>
    <n v="5963"/>
  </r>
  <r>
    <n v="143449967"/>
    <n v="3713"/>
    <x v="6"/>
    <n v="3713"/>
  </r>
  <r>
    <n v="143449971"/>
    <n v="34661"/>
    <x v="6"/>
    <n v="34661"/>
  </r>
  <r>
    <n v="143449974"/>
    <n v="45936"/>
    <x v="6"/>
    <n v="45936"/>
  </r>
  <r>
    <n v="143449975"/>
    <n v="45936"/>
    <x v="8"/>
    <n v="45936"/>
  </r>
  <r>
    <n v="143449977"/>
    <n v="1856"/>
    <x v="8"/>
    <n v="1856"/>
  </r>
  <r>
    <n v="143449978"/>
    <n v="1856"/>
    <x v="8"/>
    <n v="1856"/>
  </r>
  <r>
    <n v="143449981"/>
    <n v="223"/>
    <x v="8"/>
    <n v="223"/>
  </r>
  <r>
    <n v="143449996"/>
    <n v="6238"/>
    <x v="6"/>
    <n v="6238"/>
  </r>
  <r>
    <n v="143450004"/>
    <n v="12845"/>
    <x v="8"/>
    <n v="12845"/>
  </r>
  <r>
    <n v="143460020"/>
    <n v="22272"/>
    <x v="6"/>
    <n v="26727"/>
  </r>
  <r>
    <n v="143460029"/>
    <n v="6382"/>
    <x v="6"/>
    <n v="6382"/>
  </r>
  <r>
    <n v="143460030"/>
    <n v="11137"/>
    <x v="6"/>
    <n v="11137"/>
  </r>
  <r>
    <n v="143460035"/>
    <n v="4203"/>
    <x v="8"/>
    <n v="5547"/>
  </r>
  <r>
    <n v="143460037"/>
    <n v="3175"/>
    <x v="8"/>
    <n v="3175"/>
  </r>
  <r>
    <n v="143460044"/>
    <n v="1255"/>
    <x v="8"/>
    <n v="1255"/>
  </r>
  <r>
    <n v="143460045"/>
    <n v="3032"/>
    <x v="8"/>
    <n v="3032"/>
  </r>
  <r>
    <n v="143460047"/>
    <n v="8169"/>
    <x v="8"/>
    <n v="7984"/>
  </r>
  <r>
    <n v="143460048"/>
    <n v="1318"/>
    <x v="8"/>
    <n v="1337"/>
  </r>
  <r>
    <n v="143460051"/>
    <n v="18375"/>
    <x v="8"/>
    <n v="18375"/>
  </r>
  <r>
    <n v="143460052"/>
    <n v="45936"/>
    <x v="8"/>
    <n v="45936"/>
  </r>
  <r>
    <n v="143460054"/>
    <n v="1056"/>
    <x v="8"/>
    <n v="2757"/>
  </r>
  <r>
    <n v="143460056"/>
    <n v="70"/>
    <x v="8"/>
    <n v="70"/>
  </r>
  <r>
    <n v="143460070"/>
    <n v="6901"/>
    <x v="6"/>
    <n v="7109"/>
  </r>
  <r>
    <n v="143460073"/>
    <n v="6683"/>
    <x v="6"/>
    <n v="6683"/>
  </r>
  <r>
    <n v="143460075"/>
    <n v="498"/>
    <x v="8"/>
    <n v="1088"/>
  </r>
  <r>
    <n v="143460091"/>
    <n v="10784"/>
    <x v="6"/>
    <n v="10798"/>
  </r>
  <r>
    <n v="143460092"/>
    <n v="12215"/>
    <x v="6"/>
    <n v="12252"/>
  </r>
  <r>
    <n v="143460095"/>
    <n v="836"/>
    <x v="8"/>
    <n v="836"/>
  </r>
  <r>
    <n v="143460096"/>
    <n v="45936"/>
    <x v="8"/>
    <n v="45936"/>
  </r>
  <r>
    <n v="143460107"/>
    <n v="1782"/>
    <x v="8"/>
    <n v="1782"/>
  </r>
  <r>
    <n v="143460135"/>
    <n v="8909"/>
    <x v="8"/>
    <n v="8909"/>
  </r>
  <r>
    <n v="143460152"/>
    <n v="15481"/>
    <x v="8"/>
    <n v="15593"/>
  </r>
  <r>
    <n v="143460153"/>
    <n v="6405"/>
    <x v="8"/>
    <n v="6405"/>
  </r>
  <r>
    <n v="143460157"/>
    <n v="419"/>
    <x v="8"/>
    <n v="419"/>
  </r>
  <r>
    <n v="143460158"/>
    <n v="279"/>
    <x v="8"/>
    <n v="279"/>
  </r>
  <r>
    <n v="143460199"/>
    <n v="11510"/>
    <x v="8"/>
    <n v="11881"/>
  </r>
  <r>
    <n v="143460200"/>
    <n v="10023"/>
    <x v="8"/>
    <n v="10023"/>
  </r>
  <r>
    <n v="143470228"/>
    <n v="3620"/>
    <x v="8"/>
    <n v="8631"/>
  </r>
  <r>
    <n v="143470229"/>
    <n v="12993"/>
    <x v="8"/>
    <n v="12993"/>
  </r>
  <r>
    <n v="143470230"/>
    <n v="2507"/>
    <x v="8"/>
    <n v="2507"/>
  </r>
  <r>
    <n v="143470246"/>
    <n v="12799"/>
    <x v="8"/>
    <n v="12799"/>
  </r>
  <r>
    <n v="143470255"/>
    <n v="26171"/>
    <x v="8"/>
    <n v="26171"/>
  </r>
  <r>
    <n v="143470275"/>
    <n v="13364"/>
    <x v="8"/>
    <n v="13364"/>
  </r>
  <r>
    <n v="143470276"/>
    <n v="12593"/>
    <x v="8"/>
    <n v="12593"/>
  </r>
  <r>
    <n v="143470313"/>
    <n v="919"/>
    <x v="8"/>
    <n v="919"/>
  </r>
  <r>
    <n v="143470317"/>
    <n v="58743"/>
    <x v="8"/>
    <n v="58799"/>
  </r>
  <r>
    <n v="143470330"/>
    <n v="464"/>
    <x v="8"/>
    <n v="464"/>
  </r>
  <r>
    <n v="143470332"/>
    <n v="11137"/>
    <x v="8"/>
    <n v="11137"/>
  </r>
  <r>
    <n v="143470334"/>
    <n v="24778"/>
    <x v="8"/>
    <n v="24778"/>
  </r>
  <r>
    <n v="143470335"/>
    <n v="877"/>
    <x v="8"/>
    <n v="877"/>
  </r>
  <r>
    <n v="143470339"/>
    <n v="418"/>
    <x v="8"/>
    <n v="418"/>
  </r>
  <r>
    <n v="143470340"/>
    <n v="1881"/>
    <x v="8"/>
    <n v="1881"/>
  </r>
  <r>
    <n v="143470356"/>
    <n v="10063"/>
    <x v="8"/>
    <n v="10063"/>
  </r>
  <r>
    <n v="143470363"/>
    <n v="10395"/>
    <x v="8"/>
    <n v="10395"/>
  </r>
  <r>
    <n v="143470382"/>
    <n v="1022"/>
    <x v="8"/>
    <n v="1068"/>
  </r>
  <r>
    <n v="143480432"/>
    <n v="8446"/>
    <x v="8"/>
    <n v="8446"/>
  </r>
  <r>
    <n v="143480433"/>
    <n v="7424"/>
    <x v="8"/>
    <n v="7424"/>
  </r>
  <r>
    <n v="143480480"/>
    <n v="2228"/>
    <x v="8"/>
    <n v="2228"/>
  </r>
  <r>
    <n v="143480481"/>
    <n v="5356"/>
    <x v="8"/>
    <n v="5356"/>
  </r>
  <r>
    <n v="143480485"/>
    <n v="140"/>
    <x v="8"/>
    <n v="140"/>
  </r>
  <r>
    <n v="143480489"/>
    <n v="1602"/>
    <x v="8"/>
    <n v="1602"/>
  </r>
  <r>
    <n v="143480505"/>
    <n v="6014"/>
    <x v="8"/>
    <n v="6014"/>
  </r>
  <r>
    <n v="143480513"/>
    <n v="14478"/>
    <x v="8"/>
    <n v="14478"/>
  </r>
  <r>
    <n v="143480514"/>
    <n v="8493"/>
    <x v="8"/>
    <n v="8493"/>
  </r>
  <r>
    <n v="143480521"/>
    <n v="45936"/>
    <x v="7"/>
    <n v="45936"/>
  </r>
  <r>
    <n v="143480525"/>
    <n v="280"/>
    <x v="8"/>
    <n v="280"/>
  </r>
  <r>
    <n v="143480537"/>
    <n v="11092"/>
    <x v="8"/>
    <n v="11092"/>
  </r>
  <r>
    <n v="143480539"/>
    <n v="7220"/>
    <x v="8"/>
    <n v="7354"/>
  </r>
  <r>
    <n v="143480547"/>
    <n v="557"/>
    <x v="7"/>
    <n v="557"/>
  </r>
  <r>
    <n v="143480552"/>
    <n v="502"/>
    <x v="8"/>
    <n v="585"/>
  </r>
  <r>
    <n v="143480558"/>
    <n v="21855"/>
    <x v="8"/>
    <n v="21855"/>
  </r>
  <r>
    <n v="143480563"/>
    <n v="1838"/>
    <x v="8"/>
    <n v="1838"/>
  </r>
  <r>
    <n v="143480574"/>
    <n v="11880"/>
    <x v="8"/>
    <n v="11880"/>
  </r>
  <r>
    <n v="143480575"/>
    <n v="7912"/>
    <x v="8"/>
    <n v="7912"/>
  </r>
  <r>
    <n v="143480577"/>
    <n v="1601"/>
    <x v="8"/>
    <n v="1601"/>
  </r>
  <r>
    <n v="143480581"/>
    <n v="483"/>
    <x v="8"/>
    <n v="11136"/>
  </r>
  <r>
    <n v="143480592"/>
    <n v="1742"/>
    <x v="8"/>
    <n v="1742"/>
  </r>
  <r>
    <n v="143480608"/>
    <n v="13364"/>
    <x v="8"/>
    <n v="13364"/>
  </r>
  <r>
    <n v="143480609"/>
    <n v="6264"/>
    <x v="8"/>
    <n v="6264"/>
  </r>
  <r>
    <n v="143480616"/>
    <n v="24500"/>
    <x v="7"/>
    <n v="24500"/>
  </r>
  <r>
    <n v="143480620"/>
    <n v="10654"/>
    <x v="8"/>
    <n v="10654"/>
  </r>
  <r>
    <n v="143480621"/>
    <n v="864"/>
    <x v="8"/>
    <n v="1922"/>
  </r>
  <r>
    <n v="143480645"/>
    <n v="511"/>
    <x v="8"/>
    <n v="511"/>
  </r>
  <r>
    <n v="143480649"/>
    <n v="4270"/>
    <x v="8"/>
    <n v="4270"/>
  </r>
  <r>
    <n v="143480651"/>
    <n v="2616"/>
    <x v="8"/>
    <n v="2616"/>
  </r>
  <r>
    <n v="143480653"/>
    <n v="743"/>
    <x v="8"/>
    <n v="743"/>
  </r>
  <r>
    <n v="143480655"/>
    <n v="168"/>
    <x v="8"/>
    <n v="168"/>
  </r>
  <r>
    <n v="143490660"/>
    <n v="2251"/>
    <x v="8"/>
    <n v="2251"/>
  </r>
  <r>
    <n v="143490662"/>
    <n v="1671"/>
    <x v="8"/>
    <n v="1671"/>
  </r>
  <r>
    <n v="143490682"/>
    <n v="669"/>
    <x v="8"/>
    <n v="669"/>
  </r>
  <r>
    <n v="143490683"/>
    <n v="3694"/>
    <x v="7"/>
    <n v="3694"/>
  </r>
  <r>
    <n v="143490693"/>
    <n v="826"/>
    <x v="7"/>
    <n v="2088"/>
  </r>
  <r>
    <n v="143490694"/>
    <n v="837"/>
    <x v="7"/>
    <n v="1254"/>
  </r>
  <r>
    <n v="143490711"/>
    <n v="1045"/>
    <x v="8"/>
    <n v="1045"/>
  </r>
  <r>
    <n v="143490732"/>
    <n v="975"/>
    <x v="7"/>
    <n v="975"/>
  </r>
  <r>
    <n v="143490736"/>
    <n v="8470"/>
    <x v="8"/>
    <n v="8470"/>
  </r>
  <r>
    <n v="143490737"/>
    <n v="12622"/>
    <x v="8"/>
    <n v="12622"/>
  </r>
  <r>
    <n v="143490747"/>
    <n v="836"/>
    <x v="8"/>
    <n v="836"/>
  </r>
  <r>
    <n v="143490761"/>
    <n v="418"/>
    <x v="7"/>
    <n v="418"/>
  </r>
  <r>
    <n v="143490763"/>
    <n v="423"/>
    <x v="7"/>
    <n v="423"/>
  </r>
  <r>
    <n v="143490765"/>
    <n v="29441"/>
    <x v="7"/>
    <n v="29441"/>
  </r>
  <r>
    <n v="143490767"/>
    <n v="1253"/>
    <x v="7"/>
    <n v="1420"/>
  </r>
  <r>
    <n v="143490772"/>
    <n v="3156"/>
    <x v="7"/>
    <n v="3416"/>
  </r>
  <r>
    <n v="143490786"/>
    <n v="10580"/>
    <x v="8"/>
    <n v="11137"/>
  </r>
  <r>
    <n v="143490787"/>
    <n v="7332"/>
    <x v="8"/>
    <n v="7332"/>
  </r>
  <r>
    <n v="143490790"/>
    <n v="1601"/>
    <x v="8"/>
    <n v="1601"/>
  </r>
  <r>
    <n v="143490803"/>
    <n v="279"/>
    <x v="8"/>
    <n v="279"/>
  </r>
  <r>
    <n v="143490804"/>
    <n v="1742"/>
    <x v="8"/>
    <n v="1742"/>
  </r>
  <r>
    <n v="143490806"/>
    <n v="964"/>
    <x v="7"/>
    <n v="1923"/>
  </r>
  <r>
    <n v="143490807"/>
    <n v="32364"/>
    <x v="7"/>
    <n v="32364"/>
  </r>
  <r>
    <n v="143490813"/>
    <n v="8967"/>
    <x v="7"/>
    <n v="8967"/>
  </r>
  <r>
    <n v="143490814"/>
    <n v="335"/>
    <x v="8"/>
    <n v="335"/>
  </r>
  <r>
    <n v="143490821"/>
    <n v="6207"/>
    <x v="7"/>
    <n v="9973"/>
  </r>
  <r>
    <n v="143490829"/>
    <n v="6264"/>
    <x v="8"/>
    <n v="6264"/>
  </r>
  <r>
    <n v="143490830"/>
    <n v="10765"/>
    <x v="8"/>
    <n v="10765"/>
  </r>
  <r>
    <n v="143490837"/>
    <n v="1381"/>
    <x v="7"/>
    <n v="1420"/>
  </r>
  <r>
    <n v="143500850"/>
    <n v="696"/>
    <x v="8"/>
    <n v="696"/>
  </r>
  <r>
    <n v="143500851"/>
    <n v="2228"/>
    <x v="8"/>
    <n v="2228"/>
  </r>
  <r>
    <n v="143500860"/>
    <n v="1950"/>
    <x v="8"/>
    <n v="1950"/>
  </r>
  <r>
    <n v="143500865"/>
    <n v="837"/>
    <x v="7"/>
    <n v="1087"/>
  </r>
  <r>
    <n v="143500866"/>
    <n v="14627"/>
    <x v="7"/>
    <n v="14627"/>
  </r>
  <r>
    <n v="143500873"/>
    <n v="15591"/>
    <x v="7"/>
    <n v="15591"/>
  </r>
  <r>
    <n v="143500874"/>
    <n v="3091"/>
    <x v="7"/>
    <n v="3091"/>
  </r>
  <r>
    <n v="143500876"/>
    <n v="2742"/>
    <x v="7"/>
    <n v="2742"/>
  </r>
  <r>
    <n v="143500892"/>
    <n v="4357"/>
    <x v="8"/>
    <n v="4357"/>
  </r>
  <r>
    <n v="143500931"/>
    <n v="8725"/>
    <x v="8"/>
    <n v="8725"/>
  </r>
  <r>
    <n v="143500936"/>
    <n v="140"/>
    <x v="8"/>
    <n v="140"/>
  </r>
  <r>
    <n v="143500942"/>
    <n v="42"/>
    <x v="8"/>
    <n v="1601"/>
  </r>
  <r>
    <n v="143500943"/>
    <n v="1392"/>
    <x v="8"/>
    <n v="1504"/>
  </r>
  <r>
    <n v="143500947"/>
    <n v="743"/>
    <x v="7"/>
    <n v="743"/>
  </r>
  <r>
    <n v="143500967"/>
    <n v="14199"/>
    <x v="8"/>
    <n v="14199"/>
  </r>
  <r>
    <n v="143500969"/>
    <n v="9467"/>
    <x v="8"/>
    <n v="9467"/>
  </r>
  <r>
    <n v="143500973"/>
    <n v="1120"/>
    <x v="8"/>
    <n v="1120"/>
  </r>
  <r>
    <n v="143500984"/>
    <n v="502"/>
    <x v="7"/>
    <n v="2005"/>
  </r>
  <r>
    <n v="143500987"/>
    <n v="45936"/>
    <x v="7"/>
    <n v="45936"/>
  </r>
  <r>
    <n v="143500988"/>
    <n v="20880"/>
    <x v="7"/>
    <n v="20880"/>
  </r>
  <r>
    <n v="143501007"/>
    <n v="1969"/>
    <x v="8"/>
    <n v="2275"/>
  </r>
  <r>
    <n v="143501008"/>
    <n v="1601"/>
    <x v="8"/>
    <n v="1601"/>
  </r>
  <r>
    <n v="143501009"/>
    <n v="14294"/>
    <x v="8"/>
    <n v="14294"/>
  </r>
  <r>
    <n v="143501014"/>
    <n v="140"/>
    <x v="7"/>
    <n v="140"/>
  </r>
  <r>
    <n v="143501015"/>
    <n v="348"/>
    <x v="8"/>
    <n v="696"/>
  </r>
  <r>
    <n v="143501016"/>
    <n v="669"/>
    <x v="8"/>
    <n v="669"/>
  </r>
  <r>
    <n v="143501018"/>
    <n v="1951"/>
    <x v="7"/>
    <n v="1951"/>
  </r>
  <r>
    <n v="143511044"/>
    <n v="464"/>
    <x v="8"/>
    <n v="464"/>
  </r>
  <r>
    <n v="143511045"/>
    <n v="9652"/>
    <x v="8"/>
    <n v="9652"/>
  </r>
  <r>
    <n v="143511052"/>
    <n v="1671"/>
    <x v="7"/>
    <n v="1671"/>
  </r>
  <r>
    <n v="143511064"/>
    <n v="539"/>
    <x v="7"/>
    <n v="2757"/>
  </r>
  <r>
    <n v="143511068"/>
    <n v="3157"/>
    <x v="7"/>
    <n v="3157"/>
  </r>
  <r>
    <n v="143511070"/>
    <n v="669"/>
    <x v="7"/>
    <n v="669"/>
  </r>
  <r>
    <n v="143511082"/>
    <n v="11100"/>
    <x v="7"/>
    <n v="11100"/>
  </r>
  <r>
    <n v="143511083"/>
    <n v="9652"/>
    <x v="7"/>
    <n v="9652"/>
  </r>
  <r>
    <n v="143511097"/>
    <n v="7341"/>
    <x v="7"/>
    <n v="7457"/>
  </r>
  <r>
    <n v="143511101"/>
    <n v="1847"/>
    <x v="7"/>
    <n v="1847"/>
  </r>
  <r>
    <n v="143511102"/>
    <n v="1485"/>
    <x v="7"/>
    <n v="1560"/>
  </r>
  <r>
    <n v="143511120"/>
    <n v="7726"/>
    <x v="7"/>
    <n v="7726"/>
  </r>
  <r>
    <n v="143511121"/>
    <n v="6683"/>
    <x v="7"/>
    <n v="6683"/>
  </r>
  <r>
    <n v="143511127"/>
    <n v="1601"/>
    <x v="7"/>
    <n v="1601"/>
  </r>
  <r>
    <n v="143511129"/>
    <n v="743"/>
    <x v="7"/>
    <n v="743"/>
  </r>
  <r>
    <n v="143511148"/>
    <n v="8584"/>
    <x v="7"/>
    <n v="8584"/>
  </r>
  <r>
    <n v="143511149"/>
    <n v="4269"/>
    <x v="7"/>
    <n v="4269"/>
  </r>
  <r>
    <n v="143511152"/>
    <n v="836"/>
    <x v="7"/>
    <n v="836"/>
  </r>
  <r>
    <n v="143511168"/>
    <n v="4058"/>
    <x v="7"/>
    <n v="4058"/>
  </r>
  <r>
    <n v="143511173"/>
    <n v="45936"/>
    <x v="7"/>
    <n v="45936"/>
  </r>
  <r>
    <n v="143511174"/>
    <n v="45936"/>
    <x v="7"/>
    <n v="45936"/>
  </r>
  <r>
    <n v="143511175"/>
    <n v="18375"/>
    <x v="7"/>
    <n v="18375"/>
  </r>
  <r>
    <n v="143511188"/>
    <n v="696"/>
    <x v="7"/>
    <n v="696"/>
  </r>
  <r>
    <n v="143511189"/>
    <n v="7426"/>
    <x v="7"/>
    <n v="7426"/>
  </r>
  <r>
    <n v="143511194"/>
    <n v="280"/>
    <x v="7"/>
    <n v="280"/>
  </r>
  <r>
    <n v="143511201"/>
    <n v="13958"/>
    <x v="7"/>
    <n v="13958"/>
  </r>
  <r>
    <n v="143511209"/>
    <n v="713"/>
    <x v="7"/>
    <n v="2088"/>
  </r>
  <r>
    <n v="143521222"/>
    <n v="10697"/>
    <x v="7"/>
    <n v="10697"/>
  </r>
  <r>
    <n v="143521224"/>
    <n v="25243"/>
    <x v="7"/>
    <n v="25243"/>
  </r>
  <r>
    <n v="143521231"/>
    <n v="1601"/>
    <x v="7"/>
    <n v="1601"/>
  </r>
  <r>
    <n v="143521245"/>
    <n v="2646"/>
    <x v="7"/>
    <n v="2646"/>
  </r>
  <r>
    <n v="143521272"/>
    <n v="6844"/>
    <x v="7"/>
    <n v="7192"/>
  </r>
  <r>
    <n v="143521274"/>
    <n v="11879"/>
    <x v="7"/>
    <n v="11879"/>
  </r>
  <r>
    <n v="143521285"/>
    <n v="418"/>
    <x v="7"/>
    <n v="1420"/>
  </r>
  <r>
    <n v="143521289"/>
    <n v="84"/>
    <x v="7"/>
    <n v="84"/>
  </r>
  <r>
    <n v="143521300"/>
    <n v="8185"/>
    <x v="7"/>
    <n v="8185"/>
  </r>
  <r>
    <n v="143521302"/>
    <n v="3341"/>
    <x v="7"/>
    <n v="3341"/>
  </r>
  <r>
    <n v="143521324"/>
    <n v="5940"/>
    <x v="7"/>
    <n v="5940"/>
  </r>
  <r>
    <n v="143521325"/>
    <n v="2414"/>
    <x v="7"/>
    <n v="2414"/>
  </r>
  <r>
    <n v="143521342"/>
    <n v="698"/>
    <x v="7"/>
    <n v="698"/>
  </r>
  <r>
    <n v="143531365"/>
    <n v="928"/>
    <x v="7"/>
    <n v="928"/>
  </r>
  <r>
    <n v="143531366"/>
    <n v="5495"/>
    <x v="7"/>
    <n v="5569"/>
  </r>
  <r>
    <n v="143531382"/>
    <n v="446"/>
    <x v="7"/>
    <n v="557"/>
  </r>
  <r>
    <n v="143531393"/>
    <n v="251"/>
    <x v="7"/>
    <n v="251"/>
  </r>
  <r>
    <n v="143531423"/>
    <n v="464"/>
    <x v="7"/>
    <n v="464"/>
  </r>
  <r>
    <n v="143531425"/>
    <n v="13736"/>
    <x v="7"/>
    <n v="13736"/>
  </r>
  <r>
    <n v="143531430"/>
    <n v="1253"/>
    <x v="7"/>
    <n v="1504"/>
  </r>
  <r>
    <n v="143531432"/>
    <n v="464"/>
    <x v="7"/>
    <n v="1392"/>
  </r>
  <r>
    <n v="143531433"/>
    <n v="1044"/>
    <x v="7"/>
    <n v="2320"/>
  </r>
  <r>
    <n v="143531435"/>
    <n v="325"/>
    <x v="7"/>
    <n v="325"/>
  </r>
  <r>
    <n v="143531453"/>
    <n v="8316"/>
    <x v="7"/>
    <n v="8316"/>
  </r>
  <r>
    <n v="143531454"/>
    <n v="13179"/>
    <x v="7"/>
    <n v="13179"/>
  </r>
  <r>
    <n v="143531458"/>
    <n v="1392"/>
    <x v="7"/>
    <n v="1392"/>
  </r>
  <r>
    <n v="143531460"/>
    <n v="1601"/>
    <x v="7"/>
    <n v="1601"/>
  </r>
  <r>
    <n v="143541475"/>
    <n v="6172"/>
    <x v="7"/>
    <n v="6172"/>
  </r>
  <r>
    <n v="143541477"/>
    <n v="12584"/>
    <x v="7"/>
    <n v="12621"/>
  </r>
  <r>
    <n v="143541486"/>
    <n v="2092"/>
    <x v="7"/>
    <n v="2092"/>
  </r>
  <r>
    <n v="143541505"/>
    <n v="13759"/>
    <x v="7"/>
    <n v="15012"/>
  </r>
  <r>
    <n v="143541506"/>
    <n v="5569"/>
    <x v="7"/>
    <n v="5569"/>
  </r>
  <r>
    <n v="143541532"/>
    <n v="2506"/>
    <x v="7"/>
    <n v="2506"/>
  </r>
  <r>
    <n v="143541535"/>
    <n v="4641"/>
    <x v="7"/>
    <n v="4641"/>
  </r>
  <r>
    <n v="143541537"/>
    <n v="743"/>
    <x v="7"/>
    <n v="4640"/>
  </r>
  <r>
    <n v="143541542"/>
    <n v="279"/>
    <x v="7"/>
    <n v="279"/>
  </r>
  <r>
    <n v="143541565"/>
    <n v="836"/>
    <x v="7"/>
    <n v="836"/>
  </r>
  <r>
    <n v="143541566"/>
    <n v="1746"/>
    <x v="7"/>
    <n v="1746"/>
  </r>
  <r>
    <n v="143541573"/>
    <n v="5110"/>
    <x v="7"/>
    <n v="5110"/>
  </r>
  <r>
    <n v="143541581"/>
    <n v="1253"/>
    <x v="7"/>
    <n v="1276"/>
  </r>
  <r>
    <n v="143541594"/>
    <n v="335"/>
    <x v="7"/>
    <n v="335"/>
  </r>
  <r>
    <n v="143541595"/>
    <n v="4640"/>
    <x v="7"/>
    <n v="4640"/>
  </r>
  <r>
    <n v="143541596"/>
    <n v="9467"/>
    <x v="7"/>
    <n v="9467"/>
  </r>
  <r>
    <n v="143541616"/>
    <n v="919"/>
    <x v="7"/>
    <n v="919"/>
  </r>
  <r>
    <m/>
    <m/>
    <x v="9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n v="2423"/>
    <n v="2468"/>
  </r>
  <r>
    <x v="1"/>
    <x v="0"/>
    <n v="129404"/>
    <n v="75248"/>
  </r>
  <r>
    <x v="0"/>
    <x v="1"/>
    <n v="5286"/>
    <n v="1458"/>
  </r>
  <r>
    <x v="2"/>
    <x v="0"/>
    <n v="284992"/>
    <n v="180339"/>
  </r>
  <r>
    <x v="3"/>
    <x v="0"/>
    <n v="227258"/>
    <n v="210263"/>
  </r>
  <r>
    <x v="4"/>
    <x v="0"/>
    <n v="38325"/>
    <n v="160852"/>
  </r>
  <r>
    <x v="0"/>
    <x v="2"/>
    <n v="1821"/>
    <n v="2861"/>
  </r>
  <r>
    <x v="1"/>
    <x v="2"/>
    <n v="49322"/>
    <n v="97167"/>
  </r>
  <r>
    <x v="3"/>
    <x v="2"/>
    <n v="309197"/>
    <n v="326406"/>
  </r>
  <r>
    <x v="2"/>
    <x v="2"/>
    <n v="167665"/>
    <n v="217138"/>
  </r>
  <r>
    <x v="4"/>
    <x v="2"/>
    <n v="114681"/>
    <n v="223921"/>
  </r>
  <r>
    <x v="4"/>
    <x v="3"/>
    <n v="36191"/>
    <n v="99869"/>
  </r>
  <r>
    <x v="1"/>
    <x v="3"/>
    <n v="38328"/>
    <n v="18409"/>
  </r>
  <r>
    <x v="3"/>
    <x v="3"/>
    <n v="160735"/>
    <n v="156011"/>
  </r>
  <r>
    <x v="2"/>
    <x v="3"/>
    <n v="138418"/>
    <n v="102008"/>
  </r>
  <r>
    <x v="0"/>
    <x v="3"/>
    <n v="223"/>
    <n v="1139"/>
  </r>
  <r>
    <x v="0"/>
    <x v="4"/>
    <n v="1683"/>
    <n v="3079"/>
  </r>
  <r>
    <x v="1"/>
    <x v="1"/>
    <n v="35499"/>
    <n v="21848"/>
  </r>
  <r>
    <x v="3"/>
    <x v="1"/>
    <n v="263869"/>
    <n v="203142"/>
  </r>
  <r>
    <x v="2"/>
    <x v="1"/>
    <n v="168996"/>
    <n v="124671"/>
  </r>
  <r>
    <x v="4"/>
    <x v="1"/>
    <n v="34449"/>
    <n v="152330"/>
  </r>
  <r>
    <x v="2"/>
    <x v="4"/>
    <n v="266025"/>
    <n v="145067"/>
  </r>
  <r>
    <x v="1"/>
    <x v="4"/>
    <n v="93907"/>
    <n v="82400"/>
  </r>
  <r>
    <x v="0"/>
    <x v="5"/>
    <n v="2740"/>
    <n v="3217"/>
  </r>
  <r>
    <x v="4"/>
    <x v="4"/>
    <n v="62725"/>
    <n v="198320"/>
  </r>
  <r>
    <x v="3"/>
    <x v="4"/>
    <n v="261388"/>
    <n v="282669"/>
  </r>
  <r>
    <x v="0"/>
    <x v="6"/>
    <n v="5869"/>
    <n v="3819"/>
  </r>
  <r>
    <x v="1"/>
    <x v="5"/>
    <n v="107127"/>
    <n v="81479"/>
  </r>
  <r>
    <x v="2"/>
    <x v="5"/>
    <n v="322744"/>
    <n v="169908"/>
  </r>
  <r>
    <x v="3"/>
    <x v="5"/>
    <n v="344165"/>
    <n v="306738"/>
  </r>
  <r>
    <x v="4"/>
    <x v="5"/>
    <n v="122199"/>
    <n v="250822"/>
  </r>
  <r>
    <x v="3"/>
    <x v="6"/>
    <n v="301152"/>
    <n v="321679"/>
  </r>
  <r>
    <x v="1"/>
    <x v="6"/>
    <n v="86813"/>
    <n v="86456"/>
  </r>
  <r>
    <x v="2"/>
    <x v="6"/>
    <n v="285198"/>
    <n v="160318"/>
  </r>
  <r>
    <x v="4"/>
    <x v="7"/>
    <n v="87227"/>
    <n v="36862"/>
  </r>
  <r>
    <x v="4"/>
    <x v="6"/>
    <n v="109601"/>
    <n v="224523"/>
  </r>
  <r>
    <x v="4"/>
    <x v="8"/>
    <n v="57991"/>
    <n v="224096"/>
  </r>
  <r>
    <x v="1"/>
    <x v="8"/>
    <n v="120105"/>
    <n v="85156"/>
  </r>
  <r>
    <x v="2"/>
    <x v="8"/>
    <n v="279783"/>
    <n v="165754"/>
  </r>
  <r>
    <x v="3"/>
    <x v="8"/>
    <n v="359044"/>
    <n v="323654"/>
  </r>
  <r>
    <x v="0"/>
    <x v="8"/>
    <n v="2693"/>
    <n v="2802"/>
  </r>
  <r>
    <x v="1"/>
    <x v="7"/>
    <n v="41779"/>
    <n v="13769"/>
  </r>
  <r>
    <x v="2"/>
    <x v="7"/>
    <n v="305936"/>
    <n v="23420"/>
  </r>
  <r>
    <x v="0"/>
    <x v="7"/>
    <n v="975"/>
    <n v="379"/>
  </r>
  <r>
    <x v="3"/>
    <x v="7"/>
    <n v="261406"/>
    <n v="42867"/>
  </r>
  <r>
    <x v="5"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C85A8-1462-304B-BDA2-8A6AB11A1C45}" name="Tableau croisé dynamique5" cacheId="11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13" firstHeaderRow="1" firstDataRow="1" firstDataCol="1" rowPageCount="1" colPageCount="1"/>
  <pivotFields count="8"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" showAll="0"/>
    <pivotField dataField="1" numFmtId="2" showAll="0"/>
    <pivotField numFmtId="2" showAll="0"/>
    <pivotField showAll="0"/>
    <pivotField numFmtId="2" showAll="0"/>
    <pivotField axis="axisPage" showAll="0">
      <items count="7">
        <item x="0"/>
        <item x="3"/>
        <item x="5"/>
        <item x="1"/>
        <item x="4"/>
        <item x="2"/>
        <item t="default"/>
      </items>
    </pivotField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6" hier="-1"/>
  </pageFields>
  <dataFields count="1">
    <dataField name="Somme de Stock Moyen (UVC)" fld="2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FA5C8-24BE-9249-A2FC-62B62B11F80B}" name="Tableau croisé dynamique1" cacheId="1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2">
  <location ref="A3:E14" firstHeaderRow="1" firstDataRow="2" firstDataCol="1"/>
  <pivotFields count="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dataField="1" showAll="0"/>
    <pivotField showAll="0"/>
    <pivotField showAll="0"/>
    <pivotField showAll="0"/>
    <pivotField axis="axisCol" multipleItemSelectionAllowed="1" showAll="0">
      <items count="7">
        <item x="0"/>
        <item x="3"/>
        <item x="5"/>
        <item h="1" x="1"/>
        <item h="1" x="4"/>
        <item h="1" x="2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omme de Stock Moyen (UVC)" fld="2" baseField="0" baseItem="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8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8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8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9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9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9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9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CE64E-53B2-F942-AE62-2FE06C42E377}" name="Tableau croisé dynamique10" cacheId="1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3:B13" firstHeaderRow="1" firstDataRow="1" firstDataCol="1" rowPageCount="1" colPageCount="1"/>
  <pivotFields count="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dataField="1" showAll="0"/>
    <pivotField showAll="0"/>
    <pivotField axis="axisPage" multipleItemSelectionAllowed="1" showAll="0">
      <items count="7">
        <item x="0"/>
        <item x="3"/>
        <item x="5"/>
        <item x="1"/>
        <item x="4"/>
        <item x="2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6" hier="-1"/>
  </pageFields>
  <dataFields count="1">
    <dataField name="Moyenne de Prix (UVC)" fld="4" subtotal="average" baseField="0" baseItem="0" numFmtId="166"/>
  </dataFields>
  <formats count="1">
    <format dxfId="10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072C1-2DDA-8142-8F04-7F0C63C297FE}" name="Tableau croisé dynamique7" cacheId="11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B13" firstHeaderRow="1" firstDataRow="1" firstDataCol="1" rowPageCount="1" colPageCount="1"/>
  <pivotFields count="8"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" showAll="0"/>
    <pivotField numFmtId="2" showAll="0"/>
    <pivotField numFmtId="2" showAll="0"/>
    <pivotField showAll="0"/>
    <pivotField numFmtId="2" showAll="0"/>
    <pivotField axis="axisPage" multipleItemSelectionAllowed="1" showAll="0">
      <items count="7">
        <item x="0"/>
        <item x="3"/>
        <item x="5"/>
        <item x="1"/>
        <item x="4"/>
        <item h="1" x="2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6" hier="-1"/>
  </pageFields>
  <dataFields count="1">
    <dataField name="Somme de Référence Stocké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EEF14-2034-8548-AA39-9E5DCE153DE1}" name="Tableau croisé dynamique4" cacheId="12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C12" firstHeaderRow="0" firstDataRow="1" firstDataCol="1" rowPageCount="1" colPageCount="1"/>
  <pivotFields count="4">
    <pivotField axis="axisPage" showAll="0">
      <items count="7">
        <item x="1"/>
        <item x="3"/>
        <item x="0"/>
        <item x="2"/>
        <item x="4"/>
        <item x="5"/>
        <item t="default"/>
      </items>
    </pivotField>
    <pivotField axis="axisRow" showAll="0">
      <items count="11">
        <item x="0"/>
        <item x="2"/>
        <item x="3"/>
        <item x="1"/>
        <item x="4"/>
        <item x="5"/>
        <item x="6"/>
        <item x="8"/>
        <item h="1" x="7"/>
        <item h="1" x="9"/>
        <item t="default"/>
      </items>
    </pivotField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me de receptions" fld="2" baseField="0" baseItem="0"/>
    <dataField name="Somme de expéditions" fld="3" baseField="0" baseItem="0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13CF4-C01B-A74F-8C35-F99DD9F6B6E0}" name="Tableau croisé dynamique1" cacheId="1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3">
    <pivotField axis="axisRow" showAll="0">
      <items count="11">
        <item x="0"/>
        <item x="2"/>
        <item x="3"/>
        <item x="1"/>
        <item x="4"/>
        <item x="5"/>
        <item x="6"/>
        <item x="8"/>
        <item x="7"/>
        <item h="1" x="9"/>
        <item t="default"/>
      </items>
    </pivotField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Nombre de NombreCommandes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4E906-CA0F-F44E-AF24-5FCBAC6D8C68}" name="Tableau croisé dynamique9" cacheId="1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>
  <location ref="A3:C13" firstHeaderRow="0" firstDataRow="1" firstDataCol="1"/>
  <pivotFields count="4">
    <pivotField showAll="0"/>
    <pivotField dataField="1" showAll="0"/>
    <pivotField axis="axisRow" showAll="0">
      <items count="11">
        <item x="0"/>
        <item x="2"/>
        <item x="3"/>
        <item x="1"/>
        <item x="4"/>
        <item x="5"/>
        <item x="6"/>
        <item x="8"/>
        <item x="7"/>
        <item h="1" x="9"/>
        <item t="default"/>
      </items>
    </pivotField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Quantité Commandées" fld="3" baseField="0" baseItem="0"/>
    <dataField name="Somme de quantité réceptionnées" fld="1" baseField="0" baseItem="0"/>
  </dataFields>
  <formats count="4">
    <format dxfId="3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grandRow="1" outline="0" fieldPosition="0"/>
    </format>
    <format dxfId="0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8" xr16:uid="{ED03AA26-DAB7-E342-B603-71D8BC222D88}" autoFormatId="16" applyNumberFormats="0" applyBorderFormats="0" applyFontFormats="0" applyPatternFormats="0" applyAlignmentFormats="0" applyWidthHeightFormats="0">
  <queryTableRefresh nextId="5">
    <queryTableFields count="4">
      <queryTableField id="1" name="Famille de Produit" tableColumnId="1"/>
      <queryTableField id="2" name="AnnéeMois" tableColumnId="2"/>
      <queryTableField id="3" name="receptions" tableColumnId="3"/>
      <queryTableField id="4" name="expéditio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9" xr16:uid="{F1430FE1-98BD-AD4B-B2EA-735C911D1D1A}" autoFormatId="16" applyNumberFormats="0" applyBorderFormats="0" applyFontFormats="0" applyPatternFormats="0" applyAlignmentFormats="0" applyWidthHeightFormats="0">
  <queryTableRefresh nextId="3">
    <queryTableFields count="2">
      <queryTableField id="1" name="AnnéeMois" tableColumnId="1"/>
      <queryTableField id="2" name="Nombredecommand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ABD8AED0-7A08-754A-92CF-5842ECF0D0FE}" autoFormatId="16" applyNumberFormats="0" applyBorderFormats="0" applyFontFormats="0" applyPatternFormats="0" applyAlignmentFormats="0" applyWidthHeightFormats="0">
  <queryTableRefresh nextId="5">
    <queryTableFields count="4">
      <queryTableField id="1" name="Num CDE" tableColumnId="1"/>
      <queryTableField id="2" name="Total-quantité-réceptionnée" tableColumnId="2"/>
      <queryTableField id="3" name="AnnéeMois" tableColumnId="3"/>
      <queryTableField id="4" name="Quantité Commandées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amille_de_Produit" xr10:uid="{FE61F30A-97EE-CA4E-8B2E-4CA4840DD897}" sourceName="Famille de Produit">
  <pivotTables>
    <pivotTable tabId="40" name="Tableau croisé dynamique7"/>
  </pivotTables>
  <data>
    <tabular pivotCacheId="1273613623">
      <items count="6">
        <i x="0" s="1"/>
        <i x="3" s="1"/>
        <i x="5" s="1"/>
        <i x="1" s="1"/>
        <i x="4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amille_de_Produit3" xr10:uid="{4ECB3D76-19FB-184A-B3C8-A077F66D968D}" sourceName="Famille de Produit">
  <pivotTables>
    <pivotTable tabId="11" name="Tableau croisé dynamique10"/>
  </pivotTables>
  <data>
    <tabular pivotCacheId="1934965820">
      <items count="6">
        <i x="0" s="1"/>
        <i x="3" s="1"/>
        <i x="5" s="1"/>
        <i x="1" s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amille_de_Produit1" xr10:uid="{E3C72AB6-3C04-AF43-9D8C-322A572060BE}" sourceName="Famille de Produit">
  <pivotTables>
    <pivotTable tabId="53" name="Tableau croisé dynamique5"/>
  </pivotTables>
  <data>
    <tabular pivotCacheId="1273613623">
      <items count="6">
        <i x="0" s="1"/>
        <i x="3" s="1"/>
        <i x="5" s="1"/>
        <i x="1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mille de Produit 1" xr10:uid="{4D14BA9E-D735-7846-AB51-352442858153}" cache="Segment_Famille_de_Produit1" caption="Famille de Produit" rowHeight="2095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mille de Produit 3" xr10:uid="{C016C2E1-4E5B-7E42-BEEC-83795264DBC7}" cache="Segment_Famille_de_Produit3" caption="Famille de Produit" rowHeight="2095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mille de Produit" xr10:uid="{F5549776-03BC-8E4E-B64F-E2E0787ED43D}" cache="Segment_Famille_de_Produit" caption="Famille de Produit" rowHeight="209550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F93557-0CC2-894B-A75C-E3E32EC7D5A3}" name="Tableau6" displayName="Tableau6" ref="A1:F2159" totalsRowShown="0" headerRowDxfId="24">
  <autoFilter ref="A1:F2159" xr:uid="{9AF93557-0CC2-894B-A75C-E3E32EC7D5A3}"/>
  <tableColumns count="6">
    <tableColumn id="1" xr3:uid="{D68F5635-5663-F546-B447-23D381BB95C7}" name="Num CDE" dataDxfId="23"/>
    <tableColumn id="2" xr3:uid="{D770CC7F-3B7A-B44E-90E7-D3289073900A}" name="Article Commande" dataDxfId="22"/>
    <tableColumn id="3" xr3:uid="{42232EE2-1E71-5E46-9FD1-AE98B6AE4189}" name="Date de Reception" dataDxfId="21"/>
    <tableColumn id="4" xr3:uid="{F8846289-0DC9-DE4C-A71F-2FD7100C1447}" name="Qte receptionnee (UVC)" dataDxfId="20"/>
    <tableColumn id="5" xr3:uid="{E2CF8C37-0C78-6041-8E5E-C1B67DA98E1C}" name="Famille de Produit" dataDxfId="19">
      <calculatedColumnFormula>VLOOKUP(B2, 'Catégorie des articles'!A:E, 4, FALSE)</calculatedColumnFormula>
    </tableColumn>
    <tableColumn id="6" xr3:uid="{FBF79436-8FF8-E64A-AF2D-855902A01900}" name="AnnéeMois" dataDxfId="18">
      <calculatedColumnFormula>YEAR(C2)*100 + MONTH(C2)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8424FF-AE7C-154A-8EFD-6E3DB9F5CD1B}" name="Tableau5" displayName="Tableau5" ref="A1:G999" totalsRowShown="0" headerRowDxfId="16">
  <autoFilter ref="A1:G999" xr:uid="{808424FF-AE7C-154A-8EFD-6E3DB9F5CD1B}"/>
  <tableColumns count="7">
    <tableColumn id="1" xr3:uid="{BEC5DC1B-ECA9-3443-9BC0-17DF811A9EAA}" name="AnnéeMois"/>
    <tableColumn id="2" xr3:uid="{3A94E3A5-B736-D642-BA10-9A078EF55BC0}" name="Codes Produits Achetes" dataDxfId="15"/>
    <tableColumn id="3" xr3:uid="{AE8B1789-090F-F544-8B4E-5F0B93752FCB}" name="Stock Moyen (UVC)"/>
    <tableColumn id="4" xr3:uid="{6639E261-438E-514D-A18A-E3EE7AADF275}" name="Stock Moyen (PMP €)"/>
    <tableColumn id="7" xr3:uid="{FCFC33D5-E89D-794E-9D54-F1741FA2C2FF}" name="Prix (UVC)" dataDxfId="14"/>
    <tableColumn id="5" xr3:uid="{C93AAC3F-B50A-0746-A95C-D26D99B11218}" name="Expeditions (UVC)"/>
    <tableColumn id="6" xr3:uid="{469879CF-5206-0544-96A5-B98DE434930A}" name="Famille de Produ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898B23-2E2C-7848-8021-CFDED15EBE76}" name="Tableau3" displayName="Tableau3" ref="H1:H929" totalsRowShown="0" headerRowDxfId="13" dataDxfId="12">
  <autoFilter ref="H1:H929" xr:uid="{47898B23-2E2C-7848-8021-CFDED15EBE76}"/>
  <tableColumns count="1">
    <tableColumn id="1" xr3:uid="{9F2793E4-1FC6-D945-B2E8-AD34699ABDEC}" name="Référence Stockées" dataDxfId="11">
      <calculatedColumnFormula>IF(Tableau5[[#This Row],[Stock Moyen (UVC)]]&gt;0,1,0)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D3FDEC-A30F-A147-8312-358110F2B878}" name="Réception__4" displayName="Réception__4" ref="A1:D47" tableType="queryTable" totalsRowShown="0">
  <autoFilter ref="A1:D47" xr:uid="{C2D3FDEC-A30F-A147-8312-358110F2B878}"/>
  <tableColumns count="4">
    <tableColumn id="1" xr3:uid="{F27D5BBA-F320-3B40-A258-8EF532E76ABA}" uniqueName="1" name="Famille de Produit" queryTableFieldId="1" dataDxfId="17"/>
    <tableColumn id="2" xr3:uid="{DA281283-3A35-994E-9308-274AE25D9630}" uniqueName="2" name="AnnéeMois" queryTableFieldId="2"/>
    <tableColumn id="3" xr3:uid="{8C00E40C-9CFF-5E48-B9C4-3DC527D3C77F}" uniqueName="3" name="receptions" queryTableFieldId="3"/>
    <tableColumn id="4" xr3:uid="{FB8EB89E-6770-4A49-90E1-D05358C0E03C}" uniqueName="4" name="expédition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2CC1A3-327D-B44B-98AC-1C638C20D6E2}" name="Réception__5" displayName="Réception__5" ref="A1:B11" tableType="queryTable" totalsRowShown="0">
  <autoFilter ref="A1:B11" xr:uid="{AF2CC1A3-327D-B44B-98AC-1C638C20D6E2}">
    <filterColumn colId="0">
      <customFilters>
        <customFilter operator="notEqual" val=" "/>
      </customFilters>
    </filterColumn>
  </autoFilter>
  <tableColumns count="2">
    <tableColumn id="1" xr3:uid="{7E190E95-68B3-1E42-80F7-CA518BDDCC87}" uniqueName="1" name="AnnéeMois" queryTableFieldId="1"/>
    <tableColumn id="2" xr3:uid="{902DA8C9-84F6-504D-99F3-BF3F26077681}" uniqueName="2" name="Nombredecommand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DEA98A-3A86-2446-90B0-DEBD9F6DF802}" name="Réception__3" displayName="Réception__3" ref="A1:D973" tableType="queryTable" totalsRowShown="0">
  <autoFilter ref="A1:D973" xr:uid="{FDDEA98A-3A86-2446-90B0-DEBD9F6DF802}"/>
  <tableColumns count="4">
    <tableColumn id="1" xr3:uid="{1E167FAF-2C1D-FE4D-B526-D29161C9DCBE}" uniqueName="1" name="Num CDE" queryTableFieldId="1"/>
    <tableColumn id="2" xr3:uid="{1301B085-C751-9D4B-84BB-D288A9AAE22F}" uniqueName="2" name="Total-quantité-réceptionnée" queryTableFieldId="2"/>
    <tableColumn id="3" xr3:uid="{1D73BF2D-0A87-0742-9F1A-860FF6B39F74}" uniqueName="3" name="AnnéeMois" queryTableFieldId="3"/>
    <tableColumn id="4" xr3:uid="{A098FDB8-FFB9-6343-8CD4-5CC21BCEB985}" uniqueName="4" name="Quantité Commandé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1:I1000"/>
  <sheetViews>
    <sheetView workbookViewId="0">
      <selection activeCell="D34" sqref="D34"/>
    </sheetView>
  </sheetViews>
  <sheetFormatPr baseColWidth="10" defaultColWidth="12.6640625" defaultRowHeight="15.75" customHeight="1"/>
  <cols>
    <col min="1" max="1" width="14.6640625" customWidth="1"/>
    <col min="2" max="2" width="17.6640625" customWidth="1"/>
    <col min="3" max="3" width="19.33203125" customWidth="1"/>
    <col min="4" max="4" width="16.5" customWidth="1"/>
    <col min="5" max="5" width="24" customWidth="1"/>
    <col min="6" max="6" width="19.6640625" customWidth="1"/>
    <col min="7" max="26" width="8.6640625" customWidth="1"/>
  </cols>
  <sheetData>
    <row r="1" spans="1:6" ht="12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</row>
    <row r="2" spans="1:6" ht="12" customHeight="1">
      <c r="A2" s="3">
        <v>5540246170256</v>
      </c>
      <c r="B2" s="4" t="s">
        <v>5</v>
      </c>
      <c r="C2" s="5" t="s">
        <v>6</v>
      </c>
      <c r="D2" s="5" t="s">
        <v>7</v>
      </c>
      <c r="E2" s="5" t="s">
        <v>8</v>
      </c>
      <c r="F2" s="3"/>
    </row>
    <row r="3" spans="1:6" ht="12" customHeight="1">
      <c r="A3" s="3">
        <v>5540246170257</v>
      </c>
      <c r="B3" s="4" t="s">
        <v>9</v>
      </c>
      <c r="C3" s="5" t="s">
        <v>6</v>
      </c>
      <c r="D3" s="5" t="s">
        <v>7</v>
      </c>
      <c r="E3" s="5" t="s">
        <v>8</v>
      </c>
      <c r="F3" s="3"/>
    </row>
    <row r="4" spans="1:6" ht="12" customHeight="1">
      <c r="A4" s="3">
        <v>5540246170499</v>
      </c>
      <c r="B4" s="4" t="s">
        <v>10</v>
      </c>
      <c r="C4" s="5" t="s">
        <v>6</v>
      </c>
      <c r="D4" s="5" t="s">
        <v>7</v>
      </c>
      <c r="E4" s="5" t="s">
        <v>8</v>
      </c>
      <c r="F4" s="3"/>
    </row>
    <row r="5" spans="1:6" ht="12" customHeight="1">
      <c r="A5" s="3">
        <v>5540246171888</v>
      </c>
      <c r="B5" s="4" t="s">
        <v>11</v>
      </c>
      <c r="C5" s="5" t="s">
        <v>12</v>
      </c>
      <c r="D5" s="5" t="s">
        <v>7</v>
      </c>
      <c r="E5" s="5" t="s">
        <v>8</v>
      </c>
      <c r="F5" s="3"/>
    </row>
    <row r="6" spans="1:6" ht="12" customHeight="1">
      <c r="A6" s="3">
        <v>5540246192213</v>
      </c>
      <c r="B6" s="4" t="s">
        <v>13</v>
      </c>
      <c r="C6" s="5" t="s">
        <v>12</v>
      </c>
      <c r="D6" s="5" t="s">
        <v>7</v>
      </c>
      <c r="E6" s="5" t="s">
        <v>8</v>
      </c>
      <c r="F6" s="3"/>
    </row>
    <row r="7" spans="1:6" ht="12" customHeight="1">
      <c r="A7" s="3">
        <v>5540246193316</v>
      </c>
      <c r="B7" s="4" t="s">
        <v>14</v>
      </c>
      <c r="C7" s="5" t="s">
        <v>12</v>
      </c>
      <c r="D7" s="5" t="s">
        <v>7</v>
      </c>
      <c r="E7" s="5" t="s">
        <v>8</v>
      </c>
      <c r="F7" s="3"/>
    </row>
    <row r="8" spans="1:6" ht="12" customHeight="1">
      <c r="A8" s="3">
        <v>5540246182684</v>
      </c>
      <c r="B8" s="4" t="s">
        <v>15</v>
      </c>
      <c r="C8" s="5" t="s">
        <v>12</v>
      </c>
      <c r="D8" s="5" t="s">
        <v>7</v>
      </c>
      <c r="E8" s="5" t="s">
        <v>8</v>
      </c>
      <c r="F8" s="3"/>
    </row>
    <row r="9" spans="1:6" ht="12" customHeight="1">
      <c r="A9" s="3">
        <v>5540246183844</v>
      </c>
      <c r="B9" s="4" t="s">
        <v>16</v>
      </c>
      <c r="C9" s="5" t="s">
        <v>12</v>
      </c>
      <c r="D9" s="5" t="s">
        <v>7</v>
      </c>
      <c r="E9" s="5" t="s">
        <v>8</v>
      </c>
      <c r="F9" s="3"/>
    </row>
    <row r="10" spans="1:6" ht="12" customHeight="1">
      <c r="A10" s="3">
        <v>5540246194467</v>
      </c>
      <c r="B10" s="4" t="s">
        <v>17</v>
      </c>
      <c r="C10" s="5" t="s">
        <v>12</v>
      </c>
      <c r="D10" s="5" t="s">
        <v>7</v>
      </c>
      <c r="E10" s="5" t="s">
        <v>8</v>
      </c>
      <c r="F10" s="3"/>
    </row>
    <row r="11" spans="1:6" ht="12" customHeight="1">
      <c r="A11" s="3">
        <v>5540246196065</v>
      </c>
      <c r="B11" s="4" t="s">
        <v>18</v>
      </c>
      <c r="C11" s="5" t="s">
        <v>12</v>
      </c>
      <c r="D11" s="5" t="s">
        <v>7</v>
      </c>
      <c r="E11" s="5" t="s">
        <v>8</v>
      </c>
      <c r="F11" s="3"/>
    </row>
    <row r="12" spans="1:6" ht="12" customHeight="1">
      <c r="A12" s="3">
        <v>5540246195596</v>
      </c>
      <c r="B12" s="4" t="s">
        <v>19</v>
      </c>
      <c r="C12" s="5" t="s">
        <v>20</v>
      </c>
      <c r="D12" s="5" t="s">
        <v>7</v>
      </c>
      <c r="E12" s="5" t="s">
        <v>8</v>
      </c>
      <c r="F12" s="3"/>
    </row>
    <row r="13" spans="1:6" ht="12" customHeight="1">
      <c r="A13" s="3">
        <v>5540246178231</v>
      </c>
      <c r="B13" s="4" t="s">
        <v>21</v>
      </c>
      <c r="C13" s="5" t="s">
        <v>6</v>
      </c>
      <c r="D13" s="5" t="s">
        <v>7</v>
      </c>
      <c r="E13" s="5" t="s">
        <v>8</v>
      </c>
      <c r="F13" s="3"/>
    </row>
    <row r="14" spans="1:6" ht="12" customHeight="1">
      <c r="A14" s="3">
        <v>5540246180522</v>
      </c>
      <c r="B14" s="4" t="s">
        <v>22</v>
      </c>
      <c r="C14" s="5" t="s">
        <v>6</v>
      </c>
      <c r="D14" s="5" t="s">
        <v>7</v>
      </c>
      <c r="E14" s="5" t="s">
        <v>8</v>
      </c>
      <c r="F14" s="3"/>
    </row>
    <row r="15" spans="1:6" ht="12" customHeight="1">
      <c r="A15" s="3">
        <v>5540246182057</v>
      </c>
      <c r="B15" s="4" t="s">
        <v>22</v>
      </c>
      <c r="C15" s="5" t="s">
        <v>6</v>
      </c>
      <c r="D15" s="5" t="s">
        <v>7</v>
      </c>
      <c r="E15" s="5" t="s">
        <v>8</v>
      </c>
      <c r="F15" s="3"/>
    </row>
    <row r="16" spans="1:6" ht="12" customHeight="1">
      <c r="A16" s="3">
        <v>5540246193409</v>
      </c>
      <c r="B16" s="4" t="s">
        <v>23</v>
      </c>
      <c r="C16" s="5" t="s">
        <v>6</v>
      </c>
      <c r="D16" s="5" t="s">
        <v>7</v>
      </c>
      <c r="E16" s="5" t="s">
        <v>8</v>
      </c>
      <c r="F16" s="3"/>
    </row>
    <row r="17" spans="1:9" ht="12" customHeight="1">
      <c r="A17" s="3">
        <v>5540246188582</v>
      </c>
      <c r="B17" s="4" t="s">
        <v>24</v>
      </c>
      <c r="C17" s="5" t="s">
        <v>6</v>
      </c>
      <c r="D17" s="5" t="s">
        <v>7</v>
      </c>
      <c r="E17" s="5" t="s">
        <v>8</v>
      </c>
      <c r="F17" s="3"/>
    </row>
    <row r="18" spans="1:9" ht="12" customHeight="1">
      <c r="A18" s="3">
        <v>5540246188583</v>
      </c>
      <c r="B18" s="4" t="s">
        <v>25</v>
      </c>
      <c r="C18" s="5" t="s">
        <v>6</v>
      </c>
      <c r="D18" s="5" t="s">
        <v>7</v>
      </c>
      <c r="E18" s="5" t="s">
        <v>8</v>
      </c>
      <c r="F18" s="3"/>
    </row>
    <row r="19" spans="1:9" ht="12" customHeight="1">
      <c r="A19" s="3">
        <v>5540246184036</v>
      </c>
      <c r="B19" s="4" t="s">
        <v>26</v>
      </c>
      <c r="C19" s="5" t="s">
        <v>6</v>
      </c>
      <c r="D19" s="5" t="s">
        <v>7</v>
      </c>
      <c r="E19" s="5" t="s">
        <v>8</v>
      </c>
      <c r="F19" s="3"/>
    </row>
    <row r="20" spans="1:9" ht="12" customHeight="1">
      <c r="A20" s="3">
        <v>5540246191596</v>
      </c>
      <c r="B20" s="4" t="s">
        <v>27</v>
      </c>
      <c r="C20" s="5" t="s">
        <v>6</v>
      </c>
      <c r="D20" s="5" t="s">
        <v>7</v>
      </c>
      <c r="E20" s="5" t="s">
        <v>8</v>
      </c>
      <c r="F20" s="3"/>
    </row>
    <row r="21" spans="1:9" ht="12" customHeight="1">
      <c r="A21" s="3">
        <v>5540246193505</v>
      </c>
      <c r="B21" s="4" t="s">
        <v>28</v>
      </c>
      <c r="C21" s="5" t="s">
        <v>6</v>
      </c>
      <c r="D21" s="5" t="s">
        <v>7</v>
      </c>
      <c r="E21" s="5" t="s">
        <v>8</v>
      </c>
      <c r="F21" s="3"/>
      <c r="I21" s="21"/>
    </row>
    <row r="22" spans="1:9" ht="12" customHeight="1">
      <c r="A22" s="3">
        <v>5540246196466</v>
      </c>
      <c r="B22" s="4" t="s">
        <v>26</v>
      </c>
      <c r="C22" s="5" t="s">
        <v>6</v>
      </c>
      <c r="D22" s="5" t="s">
        <v>7</v>
      </c>
      <c r="E22" s="5" t="s">
        <v>8</v>
      </c>
      <c r="F22" s="3"/>
    </row>
    <row r="23" spans="1:9" ht="12" customHeight="1">
      <c r="A23" s="3">
        <v>5540246177376</v>
      </c>
      <c r="B23" s="4" t="s">
        <v>29</v>
      </c>
      <c r="C23" s="5" t="s">
        <v>6</v>
      </c>
      <c r="D23" s="5" t="s">
        <v>7</v>
      </c>
      <c r="E23" s="5" t="s">
        <v>8</v>
      </c>
      <c r="F23" s="3"/>
    </row>
    <row r="24" spans="1:9" ht="12" customHeight="1">
      <c r="A24" s="3">
        <v>5540246190835</v>
      </c>
      <c r="B24" s="4" t="s">
        <v>30</v>
      </c>
      <c r="C24" s="5" t="s">
        <v>6</v>
      </c>
      <c r="D24" s="5" t="s">
        <v>7</v>
      </c>
      <c r="E24" s="5" t="s">
        <v>8</v>
      </c>
      <c r="F24" s="3"/>
    </row>
    <row r="25" spans="1:9" ht="12" customHeight="1">
      <c r="A25" s="3">
        <v>5540246190727</v>
      </c>
      <c r="B25" s="4" t="s">
        <v>31</v>
      </c>
      <c r="C25" s="5" t="s">
        <v>6</v>
      </c>
      <c r="D25" s="5" t="s">
        <v>7</v>
      </c>
      <c r="E25" s="5" t="s">
        <v>8</v>
      </c>
      <c r="F25" s="3"/>
    </row>
    <row r="26" spans="1:9" ht="12" customHeight="1">
      <c r="A26" s="3">
        <v>5540246194632</v>
      </c>
      <c r="B26" s="4" t="s">
        <v>32</v>
      </c>
      <c r="C26" s="5" t="s">
        <v>6</v>
      </c>
      <c r="D26" s="5" t="s">
        <v>7</v>
      </c>
      <c r="E26" s="5" t="s">
        <v>8</v>
      </c>
      <c r="F26" s="3"/>
    </row>
    <row r="27" spans="1:9" ht="12" customHeight="1">
      <c r="A27" s="3">
        <v>5540246195250</v>
      </c>
      <c r="B27" s="4" t="s">
        <v>33</v>
      </c>
      <c r="C27" s="5" t="s">
        <v>6</v>
      </c>
      <c r="D27" s="5" t="s">
        <v>7</v>
      </c>
      <c r="E27" s="5" t="s">
        <v>8</v>
      </c>
      <c r="F27" s="3"/>
    </row>
    <row r="28" spans="1:9" ht="12" customHeight="1">
      <c r="A28" s="3">
        <v>5540246196046</v>
      </c>
      <c r="B28" s="4" t="s">
        <v>34</v>
      </c>
      <c r="C28" s="5" t="s">
        <v>6</v>
      </c>
      <c r="D28" s="5" t="s">
        <v>7</v>
      </c>
      <c r="E28" s="5" t="s">
        <v>8</v>
      </c>
      <c r="F28" s="3"/>
    </row>
    <row r="29" spans="1:9" ht="12" customHeight="1">
      <c r="A29" s="3">
        <v>5540246175372</v>
      </c>
      <c r="B29" s="4" t="s">
        <v>35</v>
      </c>
      <c r="C29" s="5" t="s">
        <v>20</v>
      </c>
      <c r="D29" s="5" t="s">
        <v>7</v>
      </c>
      <c r="E29" s="5" t="s">
        <v>8</v>
      </c>
      <c r="F29" s="3"/>
    </row>
    <row r="30" spans="1:9" ht="12" customHeight="1">
      <c r="A30" s="3">
        <v>5540246185429</v>
      </c>
      <c r="B30" s="4" t="s">
        <v>36</v>
      </c>
      <c r="C30" s="5" t="s">
        <v>12</v>
      </c>
      <c r="D30" s="5" t="s">
        <v>37</v>
      </c>
      <c r="E30" s="5" t="s">
        <v>8</v>
      </c>
      <c r="F30" s="3"/>
    </row>
    <row r="31" spans="1:9" ht="12" customHeight="1">
      <c r="A31" s="3">
        <v>5540246185562</v>
      </c>
      <c r="B31" s="4" t="s">
        <v>38</v>
      </c>
      <c r="C31" s="5" t="s">
        <v>12</v>
      </c>
      <c r="D31" s="5" t="s">
        <v>37</v>
      </c>
      <c r="E31" s="5" t="s">
        <v>8</v>
      </c>
      <c r="F31" s="3"/>
    </row>
    <row r="32" spans="1:9" ht="12" customHeight="1">
      <c r="A32" s="3">
        <v>5540246186325</v>
      </c>
      <c r="B32" s="4" t="s">
        <v>39</v>
      </c>
      <c r="C32" s="5" t="s">
        <v>12</v>
      </c>
      <c r="D32" s="5" t="s">
        <v>37</v>
      </c>
      <c r="E32" s="5" t="s">
        <v>8</v>
      </c>
      <c r="F32" s="3"/>
    </row>
    <row r="33" spans="1:6" ht="12" customHeight="1">
      <c r="A33" s="3">
        <v>5540246171325</v>
      </c>
      <c r="B33" s="4" t="s">
        <v>40</v>
      </c>
      <c r="C33" s="5" t="s">
        <v>12</v>
      </c>
      <c r="D33" s="5" t="s">
        <v>37</v>
      </c>
      <c r="E33" s="5" t="s">
        <v>8</v>
      </c>
      <c r="F33" s="3"/>
    </row>
    <row r="34" spans="1:6" ht="12" customHeight="1">
      <c r="A34" s="3">
        <v>5540246171796</v>
      </c>
      <c r="B34" s="4" t="s">
        <v>41</v>
      </c>
      <c r="C34" s="5" t="s">
        <v>12</v>
      </c>
      <c r="D34" s="37" t="s">
        <v>37</v>
      </c>
      <c r="E34" s="5" t="s">
        <v>8</v>
      </c>
      <c r="F34" s="3"/>
    </row>
    <row r="35" spans="1:6" ht="12" customHeight="1">
      <c r="A35" s="3">
        <v>5540246171923</v>
      </c>
      <c r="B35" s="4" t="s">
        <v>42</v>
      </c>
      <c r="C35" s="5" t="s">
        <v>12</v>
      </c>
      <c r="D35" s="5" t="s">
        <v>37</v>
      </c>
      <c r="E35" s="5" t="s">
        <v>8</v>
      </c>
      <c r="F35" s="3"/>
    </row>
    <row r="36" spans="1:6" ht="12" customHeight="1">
      <c r="A36" s="3">
        <v>5540246171924</v>
      </c>
      <c r="B36" s="4" t="s">
        <v>43</v>
      </c>
      <c r="C36" s="5" t="s">
        <v>12</v>
      </c>
      <c r="D36" s="5" t="s">
        <v>37</v>
      </c>
      <c r="E36" s="5" t="s">
        <v>8</v>
      </c>
      <c r="F36" s="3"/>
    </row>
    <row r="37" spans="1:6" ht="12" customHeight="1">
      <c r="A37" s="3">
        <v>5540246171933</v>
      </c>
      <c r="B37" s="4" t="s">
        <v>44</v>
      </c>
      <c r="C37" s="5" t="s">
        <v>12</v>
      </c>
      <c r="D37" s="5" t="s">
        <v>37</v>
      </c>
      <c r="E37" s="5" t="s">
        <v>8</v>
      </c>
      <c r="F37" s="3"/>
    </row>
    <row r="38" spans="1:6" ht="12" customHeight="1">
      <c r="A38" s="3">
        <v>5540246172539</v>
      </c>
      <c r="B38" s="4" t="s">
        <v>45</v>
      </c>
      <c r="C38" s="5" t="s">
        <v>12</v>
      </c>
      <c r="D38" s="5" t="s">
        <v>37</v>
      </c>
      <c r="E38" s="5" t="s">
        <v>8</v>
      </c>
      <c r="F38" s="3"/>
    </row>
    <row r="39" spans="1:6" ht="12" customHeight="1">
      <c r="A39" s="3">
        <v>5540246172669</v>
      </c>
      <c r="B39" s="4" t="s">
        <v>46</v>
      </c>
      <c r="C39" s="5" t="s">
        <v>12</v>
      </c>
      <c r="D39" s="5" t="s">
        <v>37</v>
      </c>
      <c r="E39" s="5" t="s">
        <v>8</v>
      </c>
      <c r="F39" s="3"/>
    </row>
    <row r="40" spans="1:6" ht="12" customHeight="1">
      <c r="A40" s="3">
        <v>5540246172978</v>
      </c>
      <c r="B40" s="4" t="s">
        <v>47</v>
      </c>
      <c r="C40" s="5" t="s">
        <v>12</v>
      </c>
      <c r="D40" s="5" t="s">
        <v>37</v>
      </c>
      <c r="E40" s="5" t="s">
        <v>8</v>
      </c>
      <c r="F40" s="3"/>
    </row>
    <row r="41" spans="1:6" ht="12" customHeight="1">
      <c r="A41" s="3">
        <v>5540246174174</v>
      </c>
      <c r="B41" s="4" t="s">
        <v>48</v>
      </c>
      <c r="C41" s="5" t="s">
        <v>12</v>
      </c>
      <c r="D41" s="5" t="s">
        <v>37</v>
      </c>
      <c r="E41" s="5" t="s">
        <v>8</v>
      </c>
      <c r="F41" s="3"/>
    </row>
    <row r="42" spans="1:6" ht="12" customHeight="1">
      <c r="A42" s="3">
        <v>5540246174459</v>
      </c>
      <c r="B42" s="4" t="s">
        <v>49</v>
      </c>
      <c r="C42" s="5" t="s">
        <v>12</v>
      </c>
      <c r="D42" s="5" t="s">
        <v>37</v>
      </c>
      <c r="E42" s="5" t="s">
        <v>8</v>
      </c>
      <c r="F42" s="3"/>
    </row>
    <row r="43" spans="1:6" ht="12" customHeight="1">
      <c r="A43" s="3">
        <v>5540246176294</v>
      </c>
      <c r="B43" s="4" t="s">
        <v>50</v>
      </c>
      <c r="C43" s="5" t="s">
        <v>12</v>
      </c>
      <c r="D43" s="5" t="s">
        <v>37</v>
      </c>
      <c r="E43" s="5" t="s">
        <v>8</v>
      </c>
      <c r="F43" s="3"/>
    </row>
    <row r="44" spans="1:6" ht="12" customHeight="1">
      <c r="A44" s="3">
        <v>5540246176295</v>
      </c>
      <c r="B44" s="4" t="s">
        <v>51</v>
      </c>
      <c r="C44" s="5" t="s">
        <v>12</v>
      </c>
      <c r="D44" s="5" t="s">
        <v>37</v>
      </c>
      <c r="E44" s="5" t="s">
        <v>8</v>
      </c>
      <c r="F44" s="3"/>
    </row>
    <row r="45" spans="1:6" ht="12" customHeight="1">
      <c r="A45" s="3">
        <v>5540246176699</v>
      </c>
      <c r="B45" s="4" t="s">
        <v>52</v>
      </c>
      <c r="C45" s="5" t="s">
        <v>12</v>
      </c>
      <c r="D45" s="5" t="s">
        <v>37</v>
      </c>
      <c r="E45" s="5" t="s">
        <v>8</v>
      </c>
      <c r="F45" s="3"/>
    </row>
    <row r="46" spans="1:6" ht="12" customHeight="1">
      <c r="A46" s="3">
        <v>5540246178285</v>
      </c>
      <c r="B46" s="4" t="s">
        <v>53</v>
      </c>
      <c r="C46" s="5" t="s">
        <v>12</v>
      </c>
      <c r="D46" s="5" t="s">
        <v>37</v>
      </c>
      <c r="E46" s="5" t="s">
        <v>8</v>
      </c>
      <c r="F46" s="3"/>
    </row>
    <row r="47" spans="1:6" ht="12" customHeight="1">
      <c r="A47" s="3">
        <v>5540246178823</v>
      </c>
      <c r="B47" s="4" t="s">
        <v>54</v>
      </c>
      <c r="C47" s="5" t="s">
        <v>12</v>
      </c>
      <c r="D47" s="5" t="s">
        <v>37</v>
      </c>
      <c r="E47" s="5" t="s">
        <v>8</v>
      </c>
      <c r="F47" s="3"/>
    </row>
    <row r="48" spans="1:6" ht="12" customHeight="1">
      <c r="A48" s="3">
        <v>5540246179236</v>
      </c>
      <c r="B48" s="4" t="s">
        <v>55</v>
      </c>
      <c r="C48" s="5" t="s">
        <v>12</v>
      </c>
      <c r="D48" s="5" t="s">
        <v>37</v>
      </c>
      <c r="E48" s="5" t="s">
        <v>8</v>
      </c>
      <c r="F48" s="3"/>
    </row>
    <row r="49" spans="1:6" ht="12" customHeight="1">
      <c r="A49" s="3">
        <v>5540246184808</v>
      </c>
      <c r="B49" s="4" t="s">
        <v>56</v>
      </c>
      <c r="C49" s="5" t="s">
        <v>12</v>
      </c>
      <c r="D49" s="5" t="s">
        <v>37</v>
      </c>
      <c r="E49" s="5" t="s">
        <v>8</v>
      </c>
      <c r="F49" s="3"/>
    </row>
    <row r="50" spans="1:6" ht="12" customHeight="1">
      <c r="A50" s="3">
        <v>5540246187987</v>
      </c>
      <c r="B50" s="4" t="s">
        <v>57</v>
      </c>
      <c r="C50" s="5" t="s">
        <v>12</v>
      </c>
      <c r="D50" s="5" t="s">
        <v>37</v>
      </c>
      <c r="E50" s="5" t="s">
        <v>8</v>
      </c>
      <c r="F50" s="3"/>
    </row>
    <row r="51" spans="1:6" ht="12" customHeight="1">
      <c r="A51" s="3">
        <v>5540246188175</v>
      </c>
      <c r="B51" s="4" t="s">
        <v>55</v>
      </c>
      <c r="C51" s="5" t="s">
        <v>12</v>
      </c>
      <c r="D51" s="5" t="s">
        <v>37</v>
      </c>
      <c r="E51" s="5" t="s">
        <v>8</v>
      </c>
      <c r="F51" s="3"/>
    </row>
    <row r="52" spans="1:6" ht="12" customHeight="1">
      <c r="A52" s="3">
        <v>5540246188200</v>
      </c>
      <c r="B52" s="4" t="s">
        <v>58</v>
      </c>
      <c r="C52" s="5" t="s">
        <v>12</v>
      </c>
      <c r="D52" s="5" t="s">
        <v>37</v>
      </c>
      <c r="E52" s="5" t="s">
        <v>8</v>
      </c>
      <c r="F52" s="3"/>
    </row>
    <row r="53" spans="1:6" ht="12" customHeight="1">
      <c r="A53" s="3">
        <v>5540246188218</v>
      </c>
      <c r="B53" s="4" t="s">
        <v>44</v>
      </c>
      <c r="C53" s="5" t="s">
        <v>12</v>
      </c>
      <c r="D53" s="5" t="s">
        <v>37</v>
      </c>
      <c r="E53" s="5" t="s">
        <v>8</v>
      </c>
      <c r="F53" s="3"/>
    </row>
    <row r="54" spans="1:6" ht="12" customHeight="1">
      <c r="A54" s="3">
        <v>5540246188702</v>
      </c>
      <c r="B54" s="4" t="s">
        <v>59</v>
      </c>
      <c r="C54" s="5" t="s">
        <v>12</v>
      </c>
      <c r="D54" s="5" t="s">
        <v>37</v>
      </c>
      <c r="E54" s="5" t="s">
        <v>8</v>
      </c>
      <c r="F54" s="3"/>
    </row>
    <row r="55" spans="1:6" ht="12" customHeight="1">
      <c r="A55" s="3">
        <v>5540246191594</v>
      </c>
      <c r="B55" s="4" t="s">
        <v>60</v>
      </c>
      <c r="C55" s="5" t="s">
        <v>20</v>
      </c>
      <c r="D55" s="5" t="s">
        <v>37</v>
      </c>
      <c r="E55" s="5" t="s">
        <v>8</v>
      </c>
      <c r="F55" s="3"/>
    </row>
    <row r="56" spans="1:6" ht="12" customHeight="1">
      <c r="A56" s="3">
        <v>5540246191598</v>
      </c>
      <c r="B56" s="4" t="s">
        <v>38</v>
      </c>
      <c r="C56" s="5" t="s">
        <v>20</v>
      </c>
      <c r="D56" s="5" t="s">
        <v>37</v>
      </c>
      <c r="E56" s="5" t="s">
        <v>8</v>
      </c>
      <c r="F56" s="3"/>
    </row>
    <row r="57" spans="1:6" ht="12" customHeight="1">
      <c r="A57" s="3">
        <v>5540246192102</v>
      </c>
      <c r="B57" s="4" t="s">
        <v>60</v>
      </c>
      <c r="C57" s="5" t="s">
        <v>20</v>
      </c>
      <c r="D57" s="5" t="s">
        <v>37</v>
      </c>
      <c r="E57" s="5" t="s">
        <v>8</v>
      </c>
      <c r="F57" s="3"/>
    </row>
    <row r="58" spans="1:6" ht="12" customHeight="1">
      <c r="A58" s="3">
        <v>5540246191394</v>
      </c>
      <c r="B58" s="4" t="s">
        <v>61</v>
      </c>
      <c r="C58" s="5" t="s">
        <v>6</v>
      </c>
      <c r="D58" s="5" t="s">
        <v>37</v>
      </c>
      <c r="E58" s="5" t="s">
        <v>8</v>
      </c>
      <c r="F58" s="3"/>
    </row>
    <row r="59" spans="1:6" ht="12" customHeight="1">
      <c r="A59" s="3">
        <v>5540246191736</v>
      </c>
      <c r="B59" s="4" t="s">
        <v>55</v>
      </c>
      <c r="C59" s="5" t="s">
        <v>6</v>
      </c>
      <c r="D59" s="5" t="s">
        <v>37</v>
      </c>
      <c r="E59" s="5" t="s">
        <v>8</v>
      </c>
      <c r="F59" s="3"/>
    </row>
    <row r="60" spans="1:6" ht="12" customHeight="1">
      <c r="A60" s="3">
        <v>5540246196002</v>
      </c>
      <c r="B60" s="4" t="s">
        <v>62</v>
      </c>
      <c r="C60" s="5" t="s">
        <v>6</v>
      </c>
      <c r="D60" s="5" t="s">
        <v>37</v>
      </c>
      <c r="E60" s="5" t="s">
        <v>8</v>
      </c>
      <c r="F60" s="3"/>
    </row>
    <row r="61" spans="1:6" ht="12" customHeight="1">
      <c r="A61" s="3">
        <v>5540246175815</v>
      </c>
      <c r="B61" s="4" t="s">
        <v>63</v>
      </c>
      <c r="C61" s="5" t="s">
        <v>12</v>
      </c>
      <c r="D61" s="5" t="s">
        <v>37</v>
      </c>
      <c r="E61" s="5" t="s">
        <v>8</v>
      </c>
      <c r="F61" s="3"/>
    </row>
    <row r="62" spans="1:6" ht="12" customHeight="1">
      <c r="A62" s="3">
        <v>5540246191380</v>
      </c>
      <c r="B62" s="4" t="s">
        <v>64</v>
      </c>
      <c r="C62" s="5" t="s">
        <v>20</v>
      </c>
      <c r="D62" s="5" t="s">
        <v>37</v>
      </c>
      <c r="E62" s="5" t="s">
        <v>8</v>
      </c>
      <c r="F62" s="3"/>
    </row>
    <row r="63" spans="1:6" ht="12" customHeight="1">
      <c r="A63" s="3">
        <v>5540246172441</v>
      </c>
      <c r="B63" s="4" t="s">
        <v>65</v>
      </c>
      <c r="C63" s="5" t="s">
        <v>12</v>
      </c>
      <c r="D63" s="5" t="s">
        <v>37</v>
      </c>
      <c r="E63" s="5" t="s">
        <v>8</v>
      </c>
      <c r="F63" s="3"/>
    </row>
    <row r="64" spans="1:6" ht="12" customHeight="1">
      <c r="A64" s="3">
        <v>5540246172463</v>
      </c>
      <c r="B64" s="4" t="s">
        <v>66</v>
      </c>
      <c r="C64" s="5" t="s">
        <v>12</v>
      </c>
      <c r="D64" s="5" t="s">
        <v>37</v>
      </c>
      <c r="E64" s="5" t="s">
        <v>8</v>
      </c>
      <c r="F64" s="3"/>
    </row>
    <row r="65" spans="1:6" ht="12" customHeight="1">
      <c r="A65" s="3">
        <v>5540246173472</v>
      </c>
      <c r="B65" s="4" t="s">
        <v>67</v>
      </c>
      <c r="C65" s="5" t="s">
        <v>12</v>
      </c>
      <c r="D65" s="5" t="s">
        <v>37</v>
      </c>
      <c r="E65" s="5" t="s">
        <v>8</v>
      </c>
      <c r="F65" s="3"/>
    </row>
    <row r="66" spans="1:6" ht="12" customHeight="1">
      <c r="A66" s="3">
        <v>5540246174095</v>
      </c>
      <c r="B66" s="4" t="s">
        <v>68</v>
      </c>
      <c r="C66" s="5" t="s">
        <v>12</v>
      </c>
      <c r="D66" s="5" t="s">
        <v>37</v>
      </c>
      <c r="E66" s="5" t="s">
        <v>8</v>
      </c>
      <c r="F66" s="3"/>
    </row>
    <row r="67" spans="1:6" ht="12" customHeight="1">
      <c r="A67" s="3">
        <v>5540246175047</v>
      </c>
      <c r="B67" s="4" t="s">
        <v>69</v>
      </c>
      <c r="C67" s="5" t="s">
        <v>12</v>
      </c>
      <c r="D67" s="5" t="s">
        <v>37</v>
      </c>
      <c r="E67" s="5" t="s">
        <v>8</v>
      </c>
      <c r="F67" s="3"/>
    </row>
    <row r="68" spans="1:6" ht="12" customHeight="1">
      <c r="A68" s="3">
        <v>5540246175049</v>
      </c>
      <c r="B68" s="4" t="s">
        <v>70</v>
      </c>
      <c r="C68" s="5" t="s">
        <v>12</v>
      </c>
      <c r="D68" s="5" t="s">
        <v>37</v>
      </c>
      <c r="E68" s="5" t="s">
        <v>8</v>
      </c>
      <c r="F68" s="3"/>
    </row>
    <row r="69" spans="1:6" ht="12" customHeight="1">
      <c r="A69" s="3">
        <v>5540246175050</v>
      </c>
      <c r="B69" s="4" t="s">
        <v>71</v>
      </c>
      <c r="C69" s="5" t="s">
        <v>12</v>
      </c>
      <c r="D69" s="5" t="s">
        <v>37</v>
      </c>
      <c r="E69" s="5" t="s">
        <v>8</v>
      </c>
      <c r="F69" s="3"/>
    </row>
    <row r="70" spans="1:6" ht="12" customHeight="1">
      <c r="A70" s="3">
        <v>5540246182605</v>
      </c>
      <c r="B70" s="4" t="s">
        <v>72</v>
      </c>
      <c r="C70" s="5" t="s">
        <v>12</v>
      </c>
      <c r="D70" s="5" t="s">
        <v>37</v>
      </c>
      <c r="E70" s="5" t="s">
        <v>8</v>
      </c>
      <c r="F70" s="3"/>
    </row>
    <row r="71" spans="1:6" ht="12" customHeight="1">
      <c r="A71" s="3">
        <v>5540246190743</v>
      </c>
      <c r="B71" s="4" t="s">
        <v>69</v>
      </c>
      <c r="C71" s="5" t="s">
        <v>12</v>
      </c>
      <c r="D71" s="5" t="s">
        <v>37</v>
      </c>
      <c r="E71" s="5" t="s">
        <v>8</v>
      </c>
      <c r="F71" s="3"/>
    </row>
    <row r="72" spans="1:6" ht="12" customHeight="1">
      <c r="A72" s="3">
        <v>5540246190744</v>
      </c>
      <c r="B72" s="4" t="s">
        <v>73</v>
      </c>
      <c r="C72" s="5" t="s">
        <v>12</v>
      </c>
      <c r="D72" s="5" t="s">
        <v>37</v>
      </c>
      <c r="E72" s="5" t="s">
        <v>8</v>
      </c>
      <c r="F72" s="3"/>
    </row>
    <row r="73" spans="1:6" ht="12" customHeight="1">
      <c r="A73" s="3">
        <v>5540246192264</v>
      </c>
      <c r="B73" s="4" t="s">
        <v>65</v>
      </c>
      <c r="C73" s="5" t="s">
        <v>6</v>
      </c>
      <c r="D73" s="5" t="s">
        <v>37</v>
      </c>
      <c r="E73" s="5" t="s">
        <v>8</v>
      </c>
      <c r="F73" s="3"/>
    </row>
    <row r="74" spans="1:6" ht="12" customHeight="1">
      <c r="A74" s="3">
        <v>5540246192265</v>
      </c>
      <c r="B74" s="4" t="s">
        <v>74</v>
      </c>
      <c r="C74" s="5" t="s">
        <v>6</v>
      </c>
      <c r="D74" s="5" t="s">
        <v>37</v>
      </c>
      <c r="E74" s="5" t="s">
        <v>8</v>
      </c>
      <c r="F74" s="3"/>
    </row>
    <row r="75" spans="1:6" ht="12" customHeight="1">
      <c r="A75" s="3">
        <v>5540246195539</v>
      </c>
      <c r="B75" s="4" t="s">
        <v>70</v>
      </c>
      <c r="C75" s="5" t="s">
        <v>20</v>
      </c>
      <c r="D75" s="5" t="s">
        <v>37</v>
      </c>
      <c r="E75" s="5" t="s">
        <v>8</v>
      </c>
      <c r="F75" s="3"/>
    </row>
    <row r="76" spans="1:6" ht="12" customHeight="1">
      <c r="A76" s="3">
        <v>5540246195943</v>
      </c>
      <c r="B76" s="4" t="s">
        <v>75</v>
      </c>
      <c r="C76" s="5" t="s">
        <v>6</v>
      </c>
      <c r="D76" s="5" t="s">
        <v>37</v>
      </c>
      <c r="E76" s="5" t="s">
        <v>8</v>
      </c>
      <c r="F76" s="3"/>
    </row>
    <row r="77" spans="1:6" ht="12" customHeight="1">
      <c r="A77" s="3">
        <v>5540246195944</v>
      </c>
      <c r="B77" s="4" t="s">
        <v>76</v>
      </c>
      <c r="C77" s="5" t="s">
        <v>6</v>
      </c>
      <c r="D77" s="5" t="s">
        <v>37</v>
      </c>
      <c r="E77" s="5" t="s">
        <v>8</v>
      </c>
      <c r="F77" s="3"/>
    </row>
    <row r="78" spans="1:6" ht="12" customHeight="1">
      <c r="A78" s="3">
        <v>5540246183540</v>
      </c>
      <c r="B78" s="4" t="s">
        <v>77</v>
      </c>
      <c r="C78" s="5" t="s">
        <v>6</v>
      </c>
      <c r="D78" s="5" t="s">
        <v>78</v>
      </c>
      <c r="E78" s="5" t="s">
        <v>8</v>
      </c>
      <c r="F78" s="3"/>
    </row>
    <row r="79" spans="1:6" ht="12" customHeight="1">
      <c r="A79" s="3">
        <v>5540246183554</v>
      </c>
      <c r="B79" s="4" t="s">
        <v>79</v>
      </c>
      <c r="C79" s="5" t="s">
        <v>6</v>
      </c>
      <c r="D79" s="5" t="s">
        <v>78</v>
      </c>
      <c r="E79" s="5" t="s">
        <v>8</v>
      </c>
      <c r="F79" s="3"/>
    </row>
    <row r="80" spans="1:6" ht="12" customHeight="1">
      <c r="A80" s="3">
        <v>5540246183556</v>
      </c>
      <c r="B80" s="4" t="s">
        <v>80</v>
      </c>
      <c r="C80" s="5" t="s">
        <v>6</v>
      </c>
      <c r="D80" s="5" t="s">
        <v>78</v>
      </c>
      <c r="E80" s="5" t="s">
        <v>8</v>
      </c>
      <c r="F80" s="3"/>
    </row>
    <row r="81" spans="1:6" ht="12" customHeight="1">
      <c r="A81" s="3">
        <v>5540246183558</v>
      </c>
      <c r="B81" s="4" t="s">
        <v>81</v>
      </c>
      <c r="C81" s="5" t="s">
        <v>6</v>
      </c>
      <c r="D81" s="5" t="s">
        <v>78</v>
      </c>
      <c r="E81" s="5" t="s">
        <v>8</v>
      </c>
      <c r="F81" s="3"/>
    </row>
    <row r="82" spans="1:6" ht="12" customHeight="1">
      <c r="A82" s="3">
        <v>5540246183560</v>
      </c>
      <c r="B82" s="4" t="s">
        <v>82</v>
      </c>
      <c r="C82" s="5" t="s">
        <v>6</v>
      </c>
      <c r="D82" s="5" t="s">
        <v>78</v>
      </c>
      <c r="E82" s="5" t="s">
        <v>8</v>
      </c>
      <c r="F82" s="3"/>
    </row>
    <row r="83" spans="1:6" ht="12" customHeight="1">
      <c r="A83" s="3">
        <v>5540246187940</v>
      </c>
      <c r="B83" s="4" t="s">
        <v>83</v>
      </c>
      <c r="C83" s="5" t="s">
        <v>6</v>
      </c>
      <c r="D83" s="5" t="s">
        <v>78</v>
      </c>
      <c r="E83" s="5" t="s">
        <v>8</v>
      </c>
      <c r="F83" s="3"/>
    </row>
    <row r="84" spans="1:6" ht="12" customHeight="1">
      <c r="A84" s="3">
        <v>5540246191846</v>
      </c>
      <c r="B84" s="4" t="s">
        <v>84</v>
      </c>
      <c r="C84" s="5" t="s">
        <v>6</v>
      </c>
      <c r="D84" s="5" t="s">
        <v>78</v>
      </c>
      <c r="E84" s="5" t="s">
        <v>8</v>
      </c>
      <c r="F84" s="3"/>
    </row>
    <row r="85" spans="1:6" ht="12" customHeight="1">
      <c r="A85" s="3">
        <v>5540246192209</v>
      </c>
      <c r="B85" s="4" t="s">
        <v>85</v>
      </c>
      <c r="C85" s="5" t="s">
        <v>6</v>
      </c>
      <c r="D85" s="5" t="s">
        <v>78</v>
      </c>
      <c r="E85" s="5" t="s">
        <v>8</v>
      </c>
      <c r="F85" s="3"/>
    </row>
    <row r="86" spans="1:6" ht="12" customHeight="1">
      <c r="A86" s="3">
        <v>5540246192462</v>
      </c>
      <c r="B86" s="4" t="s">
        <v>86</v>
      </c>
      <c r="C86" s="5" t="s">
        <v>6</v>
      </c>
      <c r="D86" s="5" t="s">
        <v>78</v>
      </c>
      <c r="E86" s="5" t="s">
        <v>8</v>
      </c>
      <c r="F86" s="3"/>
    </row>
    <row r="87" spans="1:6" ht="12" customHeight="1">
      <c r="A87" s="3">
        <v>5540246192594</v>
      </c>
      <c r="B87" s="4" t="s">
        <v>87</v>
      </c>
      <c r="C87" s="5" t="s">
        <v>6</v>
      </c>
      <c r="D87" s="5" t="s">
        <v>78</v>
      </c>
      <c r="E87" s="5" t="s">
        <v>8</v>
      </c>
      <c r="F87" s="3"/>
    </row>
    <row r="88" spans="1:6" ht="12" customHeight="1">
      <c r="A88" s="3">
        <v>5540246192749</v>
      </c>
      <c r="B88" s="4" t="s">
        <v>84</v>
      </c>
      <c r="C88" s="5" t="s">
        <v>6</v>
      </c>
      <c r="D88" s="5" t="s">
        <v>78</v>
      </c>
      <c r="E88" s="5" t="s">
        <v>8</v>
      </c>
      <c r="F88" s="3"/>
    </row>
    <row r="89" spans="1:6" ht="12" customHeight="1">
      <c r="A89" s="3">
        <v>5540246192831</v>
      </c>
      <c r="B89" s="4" t="s">
        <v>84</v>
      </c>
      <c r="C89" s="5" t="s">
        <v>6</v>
      </c>
      <c r="D89" s="5" t="s">
        <v>78</v>
      </c>
      <c r="E89" s="5" t="s">
        <v>8</v>
      </c>
      <c r="F89" s="3"/>
    </row>
    <row r="90" spans="1:6" ht="12" customHeight="1">
      <c r="A90" s="3">
        <v>5540246195999</v>
      </c>
      <c r="B90" s="4" t="s">
        <v>88</v>
      </c>
      <c r="C90" s="5" t="s">
        <v>6</v>
      </c>
      <c r="D90" s="5" t="s">
        <v>78</v>
      </c>
      <c r="E90" s="5" t="s">
        <v>8</v>
      </c>
      <c r="F90" s="3"/>
    </row>
    <row r="91" spans="1:6" ht="12" customHeight="1">
      <c r="A91" s="3">
        <v>5540246171759</v>
      </c>
      <c r="B91" s="4" t="s">
        <v>89</v>
      </c>
      <c r="C91" s="5" t="s">
        <v>6</v>
      </c>
      <c r="D91" s="5" t="s">
        <v>78</v>
      </c>
      <c r="E91" s="5" t="s">
        <v>8</v>
      </c>
      <c r="F91" s="3"/>
    </row>
    <row r="92" spans="1:6" ht="12" customHeight="1">
      <c r="A92" s="3">
        <v>5540246175461</v>
      </c>
      <c r="B92" s="4" t="s">
        <v>90</v>
      </c>
      <c r="C92" s="5" t="s">
        <v>6</v>
      </c>
      <c r="D92" s="5" t="s">
        <v>78</v>
      </c>
      <c r="E92" s="5" t="s">
        <v>8</v>
      </c>
      <c r="F92" s="3"/>
    </row>
    <row r="93" spans="1:6" ht="12" customHeight="1">
      <c r="A93" s="3">
        <v>5540246177132</v>
      </c>
      <c r="B93" s="4" t="s">
        <v>91</v>
      </c>
      <c r="C93" s="5" t="s">
        <v>6</v>
      </c>
      <c r="D93" s="5" t="s">
        <v>78</v>
      </c>
      <c r="E93" s="5" t="s">
        <v>8</v>
      </c>
      <c r="F93" s="3"/>
    </row>
    <row r="94" spans="1:6" ht="12" customHeight="1">
      <c r="A94" s="3">
        <v>5540246177133</v>
      </c>
      <c r="B94" s="4" t="s">
        <v>91</v>
      </c>
      <c r="C94" s="5" t="s">
        <v>6</v>
      </c>
      <c r="D94" s="5" t="s">
        <v>78</v>
      </c>
      <c r="E94" s="5" t="s">
        <v>8</v>
      </c>
      <c r="F94" s="3"/>
    </row>
    <row r="95" spans="1:6" ht="12" customHeight="1">
      <c r="A95" s="3">
        <v>5540246183542</v>
      </c>
      <c r="B95" s="4" t="s">
        <v>92</v>
      </c>
      <c r="C95" s="5" t="s">
        <v>6</v>
      </c>
      <c r="D95" s="5" t="s">
        <v>78</v>
      </c>
      <c r="E95" s="5" t="s">
        <v>8</v>
      </c>
      <c r="F95" s="3"/>
    </row>
    <row r="96" spans="1:6" ht="12" customHeight="1">
      <c r="A96" s="3">
        <v>5540246183562</v>
      </c>
      <c r="B96" s="4" t="s">
        <v>93</v>
      </c>
      <c r="C96" s="5" t="s">
        <v>6</v>
      </c>
      <c r="D96" s="5" t="s">
        <v>78</v>
      </c>
      <c r="E96" s="5" t="s">
        <v>8</v>
      </c>
      <c r="F96" s="3"/>
    </row>
    <row r="97" spans="1:6" ht="12" customHeight="1">
      <c r="A97" s="3">
        <v>5540246187678</v>
      </c>
      <c r="B97" s="4" t="s">
        <v>94</v>
      </c>
      <c r="C97" s="5" t="s">
        <v>6</v>
      </c>
      <c r="D97" s="5" t="s">
        <v>78</v>
      </c>
      <c r="E97" s="5" t="s">
        <v>8</v>
      </c>
      <c r="F97" s="3"/>
    </row>
    <row r="98" spans="1:6" ht="12" customHeight="1">
      <c r="A98" s="3">
        <v>5540246190831</v>
      </c>
      <c r="B98" s="4" t="s">
        <v>95</v>
      </c>
      <c r="C98" s="5" t="s">
        <v>6</v>
      </c>
      <c r="D98" s="5" t="s">
        <v>78</v>
      </c>
      <c r="E98" s="5" t="s">
        <v>8</v>
      </c>
      <c r="F98" s="3"/>
    </row>
    <row r="99" spans="1:6" ht="12" customHeight="1">
      <c r="A99" s="3">
        <v>5540246192148</v>
      </c>
      <c r="B99" s="4" t="s">
        <v>96</v>
      </c>
      <c r="C99" s="5" t="s">
        <v>6</v>
      </c>
      <c r="D99" s="5" t="s">
        <v>78</v>
      </c>
      <c r="E99" s="5" t="s">
        <v>8</v>
      </c>
      <c r="F99" s="3"/>
    </row>
    <row r="100" spans="1:6" ht="12" customHeight="1">
      <c r="A100" s="3">
        <v>5540246192518</v>
      </c>
      <c r="B100" s="4" t="s">
        <v>97</v>
      </c>
      <c r="C100" s="5" t="s">
        <v>6</v>
      </c>
      <c r="D100" s="5" t="s">
        <v>78</v>
      </c>
      <c r="E100" s="5" t="s">
        <v>8</v>
      </c>
      <c r="F100" s="3"/>
    </row>
    <row r="101" spans="1:6" ht="12" customHeight="1">
      <c r="A101" s="3">
        <v>5540246183587</v>
      </c>
      <c r="B101" s="4" t="s">
        <v>98</v>
      </c>
      <c r="C101" s="5" t="s">
        <v>6</v>
      </c>
      <c r="D101" s="5" t="s">
        <v>78</v>
      </c>
      <c r="E101" s="5" t="s">
        <v>8</v>
      </c>
      <c r="F101" s="3"/>
    </row>
    <row r="102" spans="1:6" ht="12" customHeight="1">
      <c r="A102" s="3">
        <v>5540246183588</v>
      </c>
      <c r="B102" s="4" t="s">
        <v>84</v>
      </c>
      <c r="C102" s="5" t="s">
        <v>6</v>
      </c>
      <c r="D102" s="5" t="s">
        <v>78</v>
      </c>
      <c r="E102" s="5" t="s">
        <v>8</v>
      </c>
      <c r="F102" s="3"/>
    </row>
    <row r="103" spans="1:6" ht="12" customHeight="1">
      <c r="A103" s="3">
        <v>5540246183589</v>
      </c>
      <c r="B103" s="4" t="s">
        <v>99</v>
      </c>
      <c r="C103" s="5" t="s">
        <v>6</v>
      </c>
      <c r="D103" s="5" t="s">
        <v>78</v>
      </c>
      <c r="E103" s="5" t="s">
        <v>8</v>
      </c>
      <c r="F103" s="3"/>
    </row>
    <row r="104" spans="1:6" ht="12" customHeight="1">
      <c r="A104" s="3">
        <v>5540246183590</v>
      </c>
      <c r="B104" s="4" t="s">
        <v>100</v>
      </c>
      <c r="C104" s="5" t="s">
        <v>6</v>
      </c>
      <c r="D104" s="5" t="s">
        <v>78</v>
      </c>
      <c r="E104" s="5" t="s">
        <v>8</v>
      </c>
      <c r="F104" s="3"/>
    </row>
    <row r="105" spans="1:6" ht="12" customHeight="1">
      <c r="A105" s="3">
        <v>5540246186351</v>
      </c>
      <c r="B105" s="4" t="s">
        <v>101</v>
      </c>
      <c r="C105" s="5" t="s">
        <v>6</v>
      </c>
      <c r="D105" s="5" t="s">
        <v>78</v>
      </c>
      <c r="E105" s="5" t="s">
        <v>8</v>
      </c>
      <c r="F105" s="3"/>
    </row>
    <row r="106" spans="1:6" ht="12" customHeight="1">
      <c r="A106" s="3">
        <v>5540246186352</v>
      </c>
      <c r="B106" s="4" t="s">
        <v>102</v>
      </c>
      <c r="C106" s="5" t="s">
        <v>6</v>
      </c>
      <c r="D106" s="5" t="s">
        <v>78</v>
      </c>
      <c r="E106" s="5" t="s">
        <v>8</v>
      </c>
      <c r="F106" s="3"/>
    </row>
    <row r="107" spans="1:6" ht="12" customHeight="1">
      <c r="A107" s="3">
        <v>5540246188647</v>
      </c>
      <c r="B107" s="4" t="s">
        <v>103</v>
      </c>
      <c r="C107" s="5" t="s">
        <v>6</v>
      </c>
      <c r="D107" s="5" t="s">
        <v>78</v>
      </c>
      <c r="E107" s="5" t="s">
        <v>8</v>
      </c>
      <c r="F107" s="3"/>
    </row>
    <row r="108" spans="1:6" ht="12" customHeight="1">
      <c r="A108" s="3">
        <v>5540246190870</v>
      </c>
      <c r="B108" s="4" t="s">
        <v>104</v>
      </c>
      <c r="C108" s="5" t="s">
        <v>6</v>
      </c>
      <c r="D108" s="5" t="s">
        <v>78</v>
      </c>
      <c r="E108" s="5" t="s">
        <v>8</v>
      </c>
      <c r="F108" s="3"/>
    </row>
    <row r="109" spans="1:6" ht="12" customHeight="1">
      <c r="A109" s="3">
        <v>5540246191718</v>
      </c>
      <c r="B109" s="4" t="s">
        <v>104</v>
      </c>
      <c r="C109" s="5" t="s">
        <v>6</v>
      </c>
      <c r="D109" s="5" t="s">
        <v>78</v>
      </c>
      <c r="E109" s="5" t="s">
        <v>8</v>
      </c>
      <c r="F109" s="3"/>
    </row>
    <row r="110" spans="1:6" ht="12" customHeight="1">
      <c r="A110" s="3">
        <v>5540246194790</v>
      </c>
      <c r="B110" s="4" t="s">
        <v>100</v>
      </c>
      <c r="C110" s="5" t="s">
        <v>6</v>
      </c>
      <c r="D110" s="5" t="s">
        <v>78</v>
      </c>
      <c r="E110" s="5" t="s">
        <v>8</v>
      </c>
      <c r="F110" s="3"/>
    </row>
    <row r="111" spans="1:6" ht="12" customHeight="1">
      <c r="A111" s="3">
        <v>5540246193999</v>
      </c>
      <c r="B111" s="4" t="s">
        <v>105</v>
      </c>
      <c r="C111" s="5" t="s">
        <v>6</v>
      </c>
      <c r="D111" s="5" t="s">
        <v>78</v>
      </c>
      <c r="E111" s="5" t="s">
        <v>8</v>
      </c>
      <c r="F111" s="3"/>
    </row>
    <row r="112" spans="1:6" ht="12" customHeight="1">
      <c r="A112" s="3">
        <v>5540246183561</v>
      </c>
      <c r="B112" s="4" t="s">
        <v>106</v>
      </c>
      <c r="C112" s="5" t="s">
        <v>6</v>
      </c>
      <c r="D112" s="5" t="s">
        <v>78</v>
      </c>
      <c r="E112" s="5" t="s">
        <v>8</v>
      </c>
      <c r="F112" s="3"/>
    </row>
    <row r="113" spans="1:6" ht="12" customHeight="1">
      <c r="A113" s="3">
        <v>5540246195096</v>
      </c>
      <c r="B113" s="4" t="s">
        <v>107</v>
      </c>
      <c r="C113" s="5" t="s">
        <v>6</v>
      </c>
      <c r="D113" s="5" t="s">
        <v>78</v>
      </c>
      <c r="E113" s="5" t="s">
        <v>8</v>
      </c>
      <c r="F113" s="3"/>
    </row>
    <row r="114" spans="1:6" ht="12" customHeight="1">
      <c r="A114" s="3">
        <v>5540246183130</v>
      </c>
      <c r="B114" s="4" t="s">
        <v>108</v>
      </c>
      <c r="C114" s="5" t="s">
        <v>6</v>
      </c>
      <c r="D114" s="5" t="s">
        <v>78</v>
      </c>
      <c r="E114" s="5" t="s">
        <v>8</v>
      </c>
      <c r="F114" s="3"/>
    </row>
    <row r="115" spans="1:6" ht="12" customHeight="1">
      <c r="A115" s="3">
        <v>5540246183455</v>
      </c>
      <c r="B115" s="4" t="s">
        <v>109</v>
      </c>
      <c r="C115" s="5" t="s">
        <v>6</v>
      </c>
      <c r="D115" s="5" t="s">
        <v>78</v>
      </c>
      <c r="E115" s="5" t="s">
        <v>8</v>
      </c>
      <c r="F115" s="3"/>
    </row>
    <row r="116" spans="1:6" ht="12" customHeight="1">
      <c r="A116" s="3">
        <v>5540246183537</v>
      </c>
      <c r="B116" s="4" t="s">
        <v>110</v>
      </c>
      <c r="C116" s="5" t="s">
        <v>6</v>
      </c>
      <c r="D116" s="5" t="s">
        <v>78</v>
      </c>
      <c r="E116" s="5" t="s">
        <v>8</v>
      </c>
      <c r="F116" s="3"/>
    </row>
    <row r="117" spans="1:6" ht="12" customHeight="1">
      <c r="A117" s="3">
        <v>5540246183538</v>
      </c>
      <c r="B117" s="4" t="s">
        <v>111</v>
      </c>
      <c r="C117" s="5" t="s">
        <v>6</v>
      </c>
      <c r="D117" s="5" t="s">
        <v>78</v>
      </c>
      <c r="E117" s="5" t="s">
        <v>8</v>
      </c>
      <c r="F117" s="3"/>
    </row>
    <row r="118" spans="1:6" ht="12" customHeight="1">
      <c r="A118" s="3">
        <v>5540246183541</v>
      </c>
      <c r="B118" s="4" t="s">
        <v>112</v>
      </c>
      <c r="C118" s="5" t="s">
        <v>6</v>
      </c>
      <c r="D118" s="5" t="s">
        <v>78</v>
      </c>
      <c r="E118" s="5" t="s">
        <v>8</v>
      </c>
      <c r="F118" s="3"/>
    </row>
    <row r="119" spans="1:6" ht="12" customHeight="1">
      <c r="A119" s="3">
        <v>5540246183552</v>
      </c>
      <c r="B119" s="4" t="s">
        <v>113</v>
      </c>
      <c r="C119" s="5" t="s">
        <v>6</v>
      </c>
      <c r="D119" s="5" t="s">
        <v>78</v>
      </c>
      <c r="E119" s="5" t="s">
        <v>8</v>
      </c>
      <c r="F119" s="3"/>
    </row>
    <row r="120" spans="1:6" ht="12" customHeight="1">
      <c r="A120" s="3">
        <v>5540246183555</v>
      </c>
      <c r="B120" s="4" t="s">
        <v>114</v>
      </c>
      <c r="C120" s="5" t="s">
        <v>6</v>
      </c>
      <c r="D120" s="5" t="s">
        <v>78</v>
      </c>
      <c r="E120" s="5" t="s">
        <v>8</v>
      </c>
      <c r="F120" s="3"/>
    </row>
    <row r="121" spans="1:6" ht="12" customHeight="1">
      <c r="A121" s="3">
        <v>5540246192571</v>
      </c>
      <c r="B121" s="4" t="s">
        <v>115</v>
      </c>
      <c r="C121" s="5" t="s">
        <v>6</v>
      </c>
      <c r="D121" s="5" t="s">
        <v>78</v>
      </c>
      <c r="E121" s="5" t="s">
        <v>8</v>
      </c>
      <c r="F121" s="3"/>
    </row>
    <row r="122" spans="1:6" ht="12" customHeight="1">
      <c r="A122" s="3">
        <v>5540246192824</v>
      </c>
      <c r="B122" s="4" t="s">
        <v>116</v>
      </c>
      <c r="C122" s="5" t="s">
        <v>6</v>
      </c>
      <c r="D122" s="5" t="s">
        <v>78</v>
      </c>
      <c r="E122" s="5" t="s">
        <v>8</v>
      </c>
      <c r="F122" s="3"/>
    </row>
    <row r="123" spans="1:6" ht="12" customHeight="1">
      <c r="A123" s="3">
        <v>5540246196800</v>
      </c>
      <c r="B123" s="4" t="s">
        <v>117</v>
      </c>
      <c r="C123" s="5" t="s">
        <v>6</v>
      </c>
      <c r="D123" s="5" t="s">
        <v>78</v>
      </c>
      <c r="E123" s="5" t="s">
        <v>8</v>
      </c>
      <c r="F123" s="3"/>
    </row>
    <row r="124" spans="1:6" ht="12" customHeight="1">
      <c r="A124" s="3">
        <v>5540246195241</v>
      </c>
      <c r="B124" s="4" t="s">
        <v>118</v>
      </c>
      <c r="C124" s="5" t="s">
        <v>6</v>
      </c>
      <c r="D124" s="5" t="s">
        <v>78</v>
      </c>
      <c r="E124" s="5" t="s">
        <v>8</v>
      </c>
      <c r="F124" s="3"/>
    </row>
    <row r="125" spans="1:6" ht="12" customHeight="1">
      <c r="A125" s="3">
        <v>5540246195242</v>
      </c>
      <c r="B125" s="4" t="s">
        <v>119</v>
      </c>
      <c r="C125" s="5" t="s">
        <v>6</v>
      </c>
      <c r="D125" s="5" t="s">
        <v>78</v>
      </c>
      <c r="E125" s="5" t="s">
        <v>8</v>
      </c>
      <c r="F125" s="3"/>
    </row>
    <row r="126" spans="1:6" ht="12" customHeight="1">
      <c r="A126" s="3">
        <v>5540246184617</v>
      </c>
      <c r="B126" s="4" t="s">
        <v>120</v>
      </c>
      <c r="C126" s="5" t="s">
        <v>12</v>
      </c>
      <c r="D126" s="5" t="s">
        <v>78</v>
      </c>
      <c r="E126" s="5" t="s">
        <v>8</v>
      </c>
      <c r="F126" s="3"/>
    </row>
    <row r="127" spans="1:6" ht="12" customHeight="1">
      <c r="A127" s="3">
        <v>5540246192505</v>
      </c>
      <c r="B127" s="4" t="s">
        <v>121</v>
      </c>
      <c r="C127" s="5" t="s">
        <v>12</v>
      </c>
      <c r="D127" s="5" t="s">
        <v>78</v>
      </c>
      <c r="E127" s="5" t="s">
        <v>8</v>
      </c>
      <c r="F127" s="3"/>
    </row>
    <row r="128" spans="1:6" ht="12" customHeight="1">
      <c r="A128" s="3">
        <v>5540246194330</v>
      </c>
      <c r="B128" s="4" t="s">
        <v>122</v>
      </c>
      <c r="C128" s="5" t="s">
        <v>12</v>
      </c>
      <c r="D128" s="5" t="s">
        <v>78</v>
      </c>
      <c r="E128" s="5" t="s">
        <v>8</v>
      </c>
      <c r="F128" s="3"/>
    </row>
    <row r="129" spans="1:6" ht="12" customHeight="1">
      <c r="A129" s="3">
        <v>5540246194478</v>
      </c>
      <c r="B129" s="4" t="s">
        <v>123</v>
      </c>
      <c r="C129" s="5" t="s">
        <v>20</v>
      </c>
      <c r="D129" s="5" t="s">
        <v>124</v>
      </c>
      <c r="E129" s="5" t="s">
        <v>8</v>
      </c>
      <c r="F129" s="3"/>
    </row>
    <row r="130" spans="1:6" ht="12" customHeight="1">
      <c r="A130" s="3">
        <v>5540246196148</v>
      </c>
      <c r="B130" s="4" t="s">
        <v>123</v>
      </c>
      <c r="C130" s="5" t="s">
        <v>20</v>
      </c>
      <c r="D130" s="5" t="s">
        <v>124</v>
      </c>
      <c r="E130" s="5" t="s">
        <v>8</v>
      </c>
      <c r="F130" s="3"/>
    </row>
    <row r="131" spans="1:6" ht="12" customHeight="1">
      <c r="A131" s="3">
        <v>5540246186010</v>
      </c>
      <c r="B131" s="4" t="s">
        <v>125</v>
      </c>
      <c r="C131" s="5" t="s">
        <v>20</v>
      </c>
      <c r="D131" s="5" t="s">
        <v>124</v>
      </c>
      <c r="E131" s="5" t="s">
        <v>8</v>
      </c>
      <c r="F131" s="3"/>
    </row>
    <row r="132" spans="1:6" ht="12" customHeight="1">
      <c r="A132" s="3">
        <v>5540246186011</v>
      </c>
      <c r="B132" s="4" t="s">
        <v>126</v>
      </c>
      <c r="C132" s="5" t="s">
        <v>20</v>
      </c>
      <c r="D132" s="5" t="s">
        <v>124</v>
      </c>
      <c r="E132" s="5" t="s">
        <v>8</v>
      </c>
      <c r="F132" s="3"/>
    </row>
    <row r="133" spans="1:6" ht="12" customHeight="1">
      <c r="A133" s="3">
        <v>5540246186017</v>
      </c>
      <c r="B133" s="4" t="s">
        <v>127</v>
      </c>
      <c r="C133" s="5" t="s">
        <v>20</v>
      </c>
      <c r="D133" s="5" t="s">
        <v>124</v>
      </c>
      <c r="E133" s="5" t="s">
        <v>8</v>
      </c>
      <c r="F133" s="3"/>
    </row>
    <row r="134" spans="1:6" ht="12" customHeight="1">
      <c r="A134" s="3">
        <v>5540246187882</v>
      </c>
      <c r="B134" s="4" t="s">
        <v>128</v>
      </c>
      <c r="C134" s="5" t="s">
        <v>20</v>
      </c>
      <c r="D134" s="5" t="s">
        <v>124</v>
      </c>
      <c r="E134" s="5" t="s">
        <v>8</v>
      </c>
      <c r="F134" s="3"/>
    </row>
    <row r="135" spans="1:6" ht="12" customHeight="1">
      <c r="A135" s="3">
        <v>5540246187995</v>
      </c>
      <c r="B135" s="4" t="s">
        <v>129</v>
      </c>
      <c r="C135" s="5" t="s">
        <v>20</v>
      </c>
      <c r="D135" s="5" t="s">
        <v>124</v>
      </c>
      <c r="E135" s="5" t="s">
        <v>8</v>
      </c>
      <c r="F135" s="3"/>
    </row>
    <row r="136" spans="1:6" ht="12" customHeight="1">
      <c r="A136" s="3">
        <v>5540246187996</v>
      </c>
      <c r="B136" s="4" t="s">
        <v>130</v>
      </c>
      <c r="C136" s="5" t="s">
        <v>20</v>
      </c>
      <c r="D136" s="5" t="s">
        <v>124</v>
      </c>
      <c r="E136" s="5" t="s">
        <v>8</v>
      </c>
      <c r="F136" s="3"/>
    </row>
    <row r="137" spans="1:6" ht="12" customHeight="1">
      <c r="A137" s="3">
        <v>5540246187997</v>
      </c>
      <c r="B137" s="4" t="s">
        <v>131</v>
      </c>
      <c r="C137" s="5" t="s">
        <v>20</v>
      </c>
      <c r="D137" s="5" t="s">
        <v>124</v>
      </c>
      <c r="E137" s="5" t="s">
        <v>8</v>
      </c>
      <c r="F137" s="3"/>
    </row>
    <row r="138" spans="1:6" ht="12" customHeight="1">
      <c r="A138" s="3">
        <v>5540246187998</v>
      </c>
      <c r="B138" s="4" t="s">
        <v>132</v>
      </c>
      <c r="C138" s="5" t="s">
        <v>20</v>
      </c>
      <c r="D138" s="5" t="s">
        <v>124</v>
      </c>
      <c r="E138" s="5" t="s">
        <v>8</v>
      </c>
      <c r="F138" s="3"/>
    </row>
    <row r="139" spans="1:6" ht="12" customHeight="1">
      <c r="A139" s="3">
        <v>5540246193249</v>
      </c>
      <c r="B139" s="4" t="s">
        <v>129</v>
      </c>
      <c r="C139" s="5" t="s">
        <v>20</v>
      </c>
      <c r="D139" s="5" t="s">
        <v>124</v>
      </c>
      <c r="E139" s="5" t="s">
        <v>8</v>
      </c>
      <c r="F139" s="3"/>
    </row>
    <row r="140" spans="1:6" ht="12" customHeight="1">
      <c r="A140" s="3">
        <v>5540246194947</v>
      </c>
      <c r="B140" s="4" t="s">
        <v>133</v>
      </c>
      <c r="C140" s="5" t="s">
        <v>20</v>
      </c>
      <c r="D140" s="5" t="s">
        <v>124</v>
      </c>
      <c r="E140" s="5" t="s">
        <v>8</v>
      </c>
      <c r="F140" s="3"/>
    </row>
    <row r="141" spans="1:6" ht="12" customHeight="1">
      <c r="A141" s="3">
        <v>5540246188047</v>
      </c>
      <c r="B141" s="4" t="s">
        <v>134</v>
      </c>
      <c r="C141" s="5" t="s">
        <v>20</v>
      </c>
      <c r="D141" s="5" t="s">
        <v>124</v>
      </c>
      <c r="E141" s="5" t="s">
        <v>8</v>
      </c>
      <c r="F141" s="3"/>
    </row>
    <row r="142" spans="1:6" ht="12" customHeight="1">
      <c r="A142" s="3">
        <v>5540246188512</v>
      </c>
      <c r="B142" s="4" t="s">
        <v>135</v>
      </c>
      <c r="C142" s="5" t="s">
        <v>20</v>
      </c>
      <c r="D142" s="5" t="s">
        <v>124</v>
      </c>
      <c r="E142" s="5" t="s">
        <v>8</v>
      </c>
      <c r="F142" s="3"/>
    </row>
    <row r="143" spans="1:6" ht="12" customHeight="1">
      <c r="A143" s="3">
        <v>5540246188513</v>
      </c>
      <c r="B143" s="4" t="s">
        <v>136</v>
      </c>
      <c r="C143" s="5" t="s">
        <v>20</v>
      </c>
      <c r="D143" s="5" t="s">
        <v>124</v>
      </c>
      <c r="E143" s="5" t="s">
        <v>8</v>
      </c>
      <c r="F143" s="3"/>
    </row>
    <row r="144" spans="1:6" ht="12" customHeight="1">
      <c r="A144" s="3">
        <v>5540246190092</v>
      </c>
      <c r="B144" s="4" t="s">
        <v>137</v>
      </c>
      <c r="C144" s="5" t="s">
        <v>20</v>
      </c>
      <c r="D144" s="5" t="s">
        <v>124</v>
      </c>
      <c r="E144" s="5" t="s">
        <v>8</v>
      </c>
      <c r="F144" s="3"/>
    </row>
    <row r="145" spans="1:6" ht="12" customHeight="1">
      <c r="A145" s="3">
        <v>5540246192836</v>
      </c>
      <c r="B145" s="4" t="s">
        <v>138</v>
      </c>
      <c r="C145" s="5" t="s">
        <v>20</v>
      </c>
      <c r="D145" s="5" t="s">
        <v>124</v>
      </c>
      <c r="E145" s="5" t="s">
        <v>8</v>
      </c>
      <c r="F145" s="3"/>
    </row>
    <row r="146" spans="1:6" ht="12" customHeight="1">
      <c r="A146" s="3">
        <v>5540246185627</v>
      </c>
      <c r="B146" s="4" t="s">
        <v>139</v>
      </c>
      <c r="C146" s="5" t="s">
        <v>20</v>
      </c>
      <c r="D146" s="5" t="s">
        <v>124</v>
      </c>
      <c r="E146" s="5" t="s">
        <v>8</v>
      </c>
      <c r="F146" s="3"/>
    </row>
    <row r="147" spans="1:6" ht="12" customHeight="1">
      <c r="A147" s="3">
        <v>5540246173685</v>
      </c>
      <c r="B147" s="4" t="s">
        <v>140</v>
      </c>
      <c r="C147" s="5" t="s">
        <v>20</v>
      </c>
      <c r="D147" s="5" t="s">
        <v>124</v>
      </c>
      <c r="E147" s="5" t="s">
        <v>8</v>
      </c>
      <c r="F147" s="3"/>
    </row>
    <row r="148" spans="1:6" ht="12" customHeight="1">
      <c r="A148" s="3">
        <v>5540246173686</v>
      </c>
      <c r="B148" s="4" t="s">
        <v>140</v>
      </c>
      <c r="C148" s="5" t="s">
        <v>20</v>
      </c>
      <c r="D148" s="5" t="s">
        <v>124</v>
      </c>
      <c r="E148" s="5" t="s">
        <v>8</v>
      </c>
      <c r="F148" s="3"/>
    </row>
    <row r="149" spans="1:6" ht="12" customHeight="1">
      <c r="A149" s="3">
        <v>5540246195653</v>
      </c>
      <c r="B149" s="4" t="s">
        <v>141</v>
      </c>
      <c r="C149" s="5" t="s">
        <v>20</v>
      </c>
      <c r="D149" s="5" t="s">
        <v>124</v>
      </c>
      <c r="E149" s="5" t="s">
        <v>8</v>
      </c>
      <c r="F149" s="3"/>
    </row>
    <row r="150" spans="1:6" ht="12" customHeight="1">
      <c r="A150" s="3">
        <v>5540246195195</v>
      </c>
      <c r="B150" s="4" t="s">
        <v>142</v>
      </c>
      <c r="C150" s="5" t="s">
        <v>20</v>
      </c>
      <c r="D150" s="5" t="s">
        <v>124</v>
      </c>
      <c r="E150" s="5" t="s">
        <v>8</v>
      </c>
      <c r="F150" s="3"/>
    </row>
    <row r="151" spans="1:6" ht="12" customHeight="1">
      <c r="A151" s="3">
        <v>5540246190097</v>
      </c>
      <c r="B151" s="4" t="s">
        <v>143</v>
      </c>
      <c r="C151" s="5" t="s">
        <v>12</v>
      </c>
      <c r="D151" s="5" t="s">
        <v>144</v>
      </c>
      <c r="E151" s="5" t="s">
        <v>8</v>
      </c>
      <c r="F151" s="3"/>
    </row>
    <row r="152" spans="1:6" ht="12" customHeight="1">
      <c r="A152" s="3">
        <v>5540246192907</v>
      </c>
      <c r="B152" s="4" t="s">
        <v>145</v>
      </c>
      <c r="C152" s="5" t="s">
        <v>12</v>
      </c>
      <c r="D152" s="5" t="s">
        <v>144</v>
      </c>
      <c r="E152" s="5" t="s">
        <v>8</v>
      </c>
      <c r="F152" s="3"/>
    </row>
    <row r="153" spans="1:6" ht="12" customHeight="1">
      <c r="A153" s="3">
        <v>5540246193878</v>
      </c>
      <c r="B153" s="4" t="s">
        <v>146</v>
      </c>
      <c r="C153" s="5" t="s">
        <v>12</v>
      </c>
      <c r="D153" s="5" t="s">
        <v>144</v>
      </c>
      <c r="E153" s="5" t="s">
        <v>8</v>
      </c>
      <c r="F153" s="3"/>
    </row>
    <row r="154" spans="1:6" ht="12" customHeight="1">
      <c r="A154" s="3">
        <v>5540246181061</v>
      </c>
      <c r="B154" s="4" t="s">
        <v>145</v>
      </c>
      <c r="C154" s="5" t="s">
        <v>12</v>
      </c>
      <c r="D154" s="5" t="s">
        <v>144</v>
      </c>
      <c r="E154" s="5" t="s">
        <v>8</v>
      </c>
      <c r="F154" s="3"/>
    </row>
    <row r="155" spans="1:6" ht="12" customHeight="1">
      <c r="A155" s="3">
        <v>5540246183547</v>
      </c>
      <c r="B155" s="4" t="s">
        <v>147</v>
      </c>
      <c r="C155" s="5" t="s">
        <v>12</v>
      </c>
      <c r="D155" s="5" t="s">
        <v>144</v>
      </c>
      <c r="E155" s="5" t="s">
        <v>8</v>
      </c>
      <c r="F155" s="3"/>
    </row>
    <row r="156" spans="1:6" ht="12" customHeight="1">
      <c r="A156" s="3">
        <v>5540246185278</v>
      </c>
      <c r="B156" s="4" t="s">
        <v>148</v>
      </c>
      <c r="C156" s="5" t="s">
        <v>6</v>
      </c>
      <c r="D156" s="5" t="s">
        <v>144</v>
      </c>
      <c r="E156" s="5" t="s">
        <v>8</v>
      </c>
      <c r="F156" s="3"/>
    </row>
    <row r="157" spans="1:6" ht="12" customHeight="1">
      <c r="A157" s="3">
        <v>5540246173492</v>
      </c>
      <c r="B157" s="4" t="s">
        <v>149</v>
      </c>
      <c r="C157" s="5" t="s">
        <v>6</v>
      </c>
      <c r="D157" s="5" t="s">
        <v>144</v>
      </c>
      <c r="E157" s="5" t="s">
        <v>8</v>
      </c>
      <c r="F157" s="3"/>
    </row>
    <row r="158" spans="1:6" ht="12" customHeight="1">
      <c r="A158" s="3">
        <v>5540246179983</v>
      </c>
      <c r="B158" s="4" t="s">
        <v>149</v>
      </c>
      <c r="C158" s="5" t="s">
        <v>6</v>
      </c>
      <c r="D158" s="5" t="s">
        <v>144</v>
      </c>
      <c r="E158" s="5" t="s">
        <v>8</v>
      </c>
      <c r="F158" s="3"/>
    </row>
    <row r="159" spans="1:6" ht="12" customHeight="1">
      <c r="A159" s="3">
        <v>5540246193566</v>
      </c>
      <c r="B159" s="4" t="s">
        <v>149</v>
      </c>
      <c r="C159" s="5" t="s">
        <v>6</v>
      </c>
      <c r="D159" s="5" t="s">
        <v>144</v>
      </c>
      <c r="E159" s="5" t="s">
        <v>8</v>
      </c>
      <c r="F159" s="3"/>
    </row>
    <row r="160" spans="1:6" ht="12" customHeight="1">
      <c r="A160" s="3">
        <v>5540246173906</v>
      </c>
      <c r="B160" s="4" t="s">
        <v>150</v>
      </c>
      <c r="C160" s="5" t="s">
        <v>6</v>
      </c>
      <c r="D160" s="5" t="s">
        <v>144</v>
      </c>
      <c r="E160" s="5" t="s">
        <v>8</v>
      </c>
      <c r="F160" s="3"/>
    </row>
    <row r="161" spans="1:6" ht="12" customHeight="1">
      <c r="A161" s="3">
        <v>5540246181016</v>
      </c>
      <c r="B161" s="4" t="s">
        <v>151</v>
      </c>
      <c r="C161" s="5" t="s">
        <v>6</v>
      </c>
      <c r="D161" s="5" t="s">
        <v>144</v>
      </c>
      <c r="E161" s="5" t="s">
        <v>8</v>
      </c>
      <c r="F161" s="3"/>
    </row>
    <row r="162" spans="1:6" ht="12" customHeight="1">
      <c r="A162" s="3">
        <v>5540246188224</v>
      </c>
      <c r="B162" s="4" t="s">
        <v>152</v>
      </c>
      <c r="C162" s="5" t="s">
        <v>6</v>
      </c>
      <c r="D162" s="5" t="s">
        <v>144</v>
      </c>
      <c r="E162" s="5" t="s">
        <v>8</v>
      </c>
      <c r="F162" s="3"/>
    </row>
    <row r="163" spans="1:6" ht="12" customHeight="1">
      <c r="A163" s="3">
        <v>5540246196092</v>
      </c>
      <c r="B163" s="4" t="s">
        <v>152</v>
      </c>
      <c r="C163" s="5" t="s">
        <v>6</v>
      </c>
      <c r="D163" s="5" t="s">
        <v>144</v>
      </c>
      <c r="E163" s="5" t="s">
        <v>8</v>
      </c>
      <c r="F163" s="3"/>
    </row>
    <row r="164" spans="1:6" ht="12" customHeight="1">
      <c r="A164" s="3"/>
      <c r="F164" s="3"/>
    </row>
    <row r="165" spans="1:6" ht="12" customHeight="1">
      <c r="A165" s="3"/>
      <c r="F165" s="3"/>
    </row>
    <row r="166" spans="1:6" ht="12" customHeight="1">
      <c r="A166" s="3"/>
      <c r="F166" s="3"/>
    </row>
    <row r="167" spans="1:6" ht="12" customHeight="1">
      <c r="A167" s="3"/>
      <c r="F167" s="3"/>
    </row>
    <row r="168" spans="1:6" ht="12" customHeight="1">
      <c r="A168" s="3"/>
      <c r="F168" s="3"/>
    </row>
    <row r="169" spans="1:6" ht="12" customHeight="1">
      <c r="A169" s="3"/>
      <c r="F169" s="3"/>
    </row>
    <row r="170" spans="1:6" ht="12" customHeight="1">
      <c r="A170" s="3"/>
      <c r="F170" s="3"/>
    </row>
    <row r="171" spans="1:6" ht="12" customHeight="1">
      <c r="A171" s="3"/>
      <c r="F171" s="3"/>
    </row>
    <row r="172" spans="1:6" ht="12" customHeight="1">
      <c r="A172" s="3"/>
      <c r="F172" s="3"/>
    </row>
    <row r="173" spans="1:6" ht="12" customHeight="1">
      <c r="A173" s="3"/>
      <c r="F173" s="3"/>
    </row>
    <row r="174" spans="1:6" ht="12" customHeight="1">
      <c r="A174" s="3"/>
      <c r="F174" s="3"/>
    </row>
    <row r="175" spans="1:6" ht="12" customHeight="1">
      <c r="A175" s="3"/>
      <c r="F175" s="3"/>
    </row>
    <row r="176" spans="1:6" ht="12" customHeight="1">
      <c r="A176" s="3"/>
      <c r="F176" s="3"/>
    </row>
    <row r="177" spans="1:6" ht="12" customHeight="1">
      <c r="A177" s="3"/>
      <c r="F177" s="3"/>
    </row>
    <row r="178" spans="1:6" ht="12" customHeight="1">
      <c r="A178" s="3"/>
      <c r="F178" s="3"/>
    </row>
    <row r="179" spans="1:6" ht="12" customHeight="1">
      <c r="A179" s="3"/>
      <c r="F179" s="3"/>
    </row>
    <row r="180" spans="1:6" ht="12" customHeight="1">
      <c r="A180" s="3"/>
      <c r="F180" s="3"/>
    </row>
    <row r="181" spans="1:6" ht="12" customHeight="1">
      <c r="A181" s="3"/>
      <c r="F181" s="3"/>
    </row>
    <row r="182" spans="1:6" ht="12" customHeight="1">
      <c r="A182" s="3"/>
      <c r="F182" s="3"/>
    </row>
    <row r="183" spans="1:6" ht="12" customHeight="1">
      <c r="A183" s="3"/>
      <c r="F183" s="3"/>
    </row>
    <row r="184" spans="1:6" ht="12" customHeight="1">
      <c r="A184" s="3"/>
      <c r="F184" s="3"/>
    </row>
    <row r="185" spans="1:6" ht="12" customHeight="1">
      <c r="A185" s="3"/>
      <c r="F185" s="3"/>
    </row>
    <row r="186" spans="1:6" ht="12" customHeight="1">
      <c r="A186" s="3"/>
      <c r="F186" s="3"/>
    </row>
    <row r="187" spans="1:6" ht="12" customHeight="1">
      <c r="A187" s="3"/>
      <c r="F187" s="3"/>
    </row>
    <row r="188" spans="1:6" ht="12" customHeight="1">
      <c r="A188" s="3"/>
      <c r="F188" s="3"/>
    </row>
    <row r="189" spans="1:6" ht="12" customHeight="1">
      <c r="A189" s="3"/>
      <c r="F189" s="3"/>
    </row>
    <row r="190" spans="1:6" ht="12" customHeight="1">
      <c r="A190" s="3"/>
      <c r="F190" s="3"/>
    </row>
    <row r="191" spans="1:6" ht="12" customHeight="1">
      <c r="A191" s="3"/>
      <c r="F191" s="3"/>
    </row>
    <row r="192" spans="1:6" ht="12" customHeight="1">
      <c r="A192" s="3"/>
      <c r="F192" s="3"/>
    </row>
    <row r="193" spans="1:6" ht="12" customHeight="1">
      <c r="A193" s="3"/>
      <c r="F193" s="3"/>
    </row>
    <row r="194" spans="1:6" ht="12" customHeight="1">
      <c r="A194" s="3"/>
      <c r="F194" s="3"/>
    </row>
    <row r="195" spans="1:6" ht="12" customHeight="1">
      <c r="A195" s="3"/>
      <c r="F195" s="3"/>
    </row>
    <row r="196" spans="1:6" ht="12" customHeight="1">
      <c r="A196" s="3"/>
      <c r="F196" s="3"/>
    </row>
    <row r="197" spans="1:6" ht="12" customHeight="1">
      <c r="A197" s="3"/>
      <c r="F197" s="3"/>
    </row>
    <row r="198" spans="1:6" ht="12" customHeight="1">
      <c r="A198" s="3"/>
      <c r="F198" s="3"/>
    </row>
    <row r="199" spans="1:6" ht="12" customHeight="1">
      <c r="A199" s="3"/>
      <c r="F199" s="3"/>
    </row>
    <row r="200" spans="1:6" ht="12" customHeight="1">
      <c r="A200" s="3"/>
      <c r="F200" s="3"/>
    </row>
    <row r="201" spans="1:6" ht="12" customHeight="1">
      <c r="A201" s="3"/>
      <c r="F201" s="3"/>
    </row>
    <row r="202" spans="1:6" ht="12" customHeight="1">
      <c r="A202" s="3"/>
      <c r="F202" s="3"/>
    </row>
    <row r="203" spans="1:6" ht="12" customHeight="1">
      <c r="A203" s="3"/>
      <c r="F203" s="3"/>
    </row>
    <row r="204" spans="1:6" ht="12" customHeight="1">
      <c r="A204" s="3"/>
      <c r="F204" s="3"/>
    </row>
    <row r="205" spans="1:6" ht="12" customHeight="1">
      <c r="A205" s="3"/>
      <c r="F205" s="3"/>
    </row>
    <row r="206" spans="1:6" ht="12" customHeight="1">
      <c r="A206" s="3"/>
      <c r="F206" s="3"/>
    </row>
    <row r="207" spans="1:6" ht="12" customHeight="1">
      <c r="A207" s="3"/>
      <c r="F207" s="3"/>
    </row>
    <row r="208" spans="1:6" ht="12" customHeight="1">
      <c r="A208" s="3"/>
      <c r="F208" s="3"/>
    </row>
    <row r="209" spans="1:6" ht="12" customHeight="1">
      <c r="A209" s="3"/>
      <c r="F209" s="3"/>
    </row>
    <row r="210" spans="1:6" ht="12" customHeight="1">
      <c r="A210" s="3"/>
      <c r="F210" s="3"/>
    </row>
    <row r="211" spans="1:6" ht="12" customHeight="1">
      <c r="A211" s="3"/>
      <c r="F211" s="3"/>
    </row>
    <row r="212" spans="1:6" ht="12" customHeight="1">
      <c r="A212" s="3"/>
      <c r="F212" s="3"/>
    </row>
    <row r="213" spans="1:6" ht="12" customHeight="1">
      <c r="A213" s="3"/>
      <c r="F213" s="3"/>
    </row>
    <row r="214" spans="1:6" ht="12" customHeight="1">
      <c r="A214" s="3"/>
      <c r="F214" s="3"/>
    </row>
    <row r="215" spans="1:6" ht="12" customHeight="1">
      <c r="A215" s="3"/>
      <c r="F215" s="3"/>
    </row>
    <row r="216" spans="1:6" ht="12" customHeight="1">
      <c r="A216" s="3"/>
      <c r="F216" s="3"/>
    </row>
    <row r="217" spans="1:6" ht="12" customHeight="1">
      <c r="A217" s="3"/>
      <c r="F217" s="3"/>
    </row>
    <row r="218" spans="1:6" ht="12" customHeight="1">
      <c r="A218" s="3"/>
      <c r="F218" s="3"/>
    </row>
    <row r="219" spans="1:6" ht="12" customHeight="1">
      <c r="A219" s="3"/>
      <c r="F219" s="3"/>
    </row>
    <row r="220" spans="1:6" ht="12" customHeight="1">
      <c r="A220" s="3"/>
      <c r="F220" s="3"/>
    </row>
    <row r="221" spans="1:6" ht="12" customHeight="1">
      <c r="A221" s="3"/>
      <c r="F221" s="3"/>
    </row>
    <row r="222" spans="1:6" ht="12" customHeight="1">
      <c r="A222" s="3"/>
      <c r="F222" s="3"/>
    </row>
    <row r="223" spans="1:6" ht="12" customHeight="1">
      <c r="A223" s="3"/>
      <c r="F223" s="3"/>
    </row>
    <row r="224" spans="1:6" ht="12" customHeight="1">
      <c r="A224" s="3"/>
      <c r="F224" s="3"/>
    </row>
    <row r="225" spans="1:6" ht="12" customHeight="1">
      <c r="A225" s="3"/>
      <c r="F225" s="3"/>
    </row>
    <row r="226" spans="1:6" ht="12" customHeight="1">
      <c r="A226" s="3"/>
      <c r="F226" s="3"/>
    </row>
    <row r="227" spans="1:6" ht="12" customHeight="1">
      <c r="A227" s="3"/>
      <c r="F227" s="3"/>
    </row>
    <row r="228" spans="1:6" ht="12" customHeight="1">
      <c r="A228" s="3"/>
      <c r="F228" s="3"/>
    </row>
    <row r="229" spans="1:6" ht="12" customHeight="1">
      <c r="A229" s="3"/>
      <c r="F229" s="3"/>
    </row>
    <row r="230" spans="1:6" ht="12" customHeight="1">
      <c r="A230" s="3"/>
      <c r="F230" s="3"/>
    </row>
    <row r="231" spans="1:6" ht="12" customHeight="1">
      <c r="A231" s="3"/>
      <c r="F231" s="3"/>
    </row>
    <row r="232" spans="1:6" ht="12" customHeight="1">
      <c r="A232" s="3"/>
      <c r="F232" s="3"/>
    </row>
    <row r="233" spans="1:6" ht="12" customHeight="1">
      <c r="A233" s="3"/>
      <c r="F233" s="3"/>
    </row>
    <row r="234" spans="1:6" ht="12" customHeight="1">
      <c r="A234" s="3"/>
      <c r="F234" s="3"/>
    </row>
    <row r="235" spans="1:6" ht="12" customHeight="1">
      <c r="A235" s="3"/>
      <c r="F235" s="3"/>
    </row>
    <row r="236" spans="1:6" ht="12" customHeight="1">
      <c r="A236" s="3"/>
      <c r="F236" s="3"/>
    </row>
    <row r="237" spans="1:6" ht="12" customHeight="1">
      <c r="A237" s="3"/>
      <c r="F237" s="3"/>
    </row>
    <row r="238" spans="1:6" ht="12" customHeight="1">
      <c r="A238" s="3"/>
      <c r="F238" s="3"/>
    </row>
    <row r="239" spans="1:6" ht="12" customHeight="1">
      <c r="A239" s="3"/>
      <c r="F239" s="3"/>
    </row>
    <row r="240" spans="1:6" ht="12" customHeight="1">
      <c r="A240" s="3"/>
      <c r="F240" s="3"/>
    </row>
    <row r="241" spans="1:6" ht="12" customHeight="1">
      <c r="A241" s="3"/>
      <c r="F241" s="3"/>
    </row>
    <row r="242" spans="1:6" ht="12" customHeight="1">
      <c r="A242" s="3"/>
      <c r="F242" s="3"/>
    </row>
    <row r="243" spans="1:6" ht="12" customHeight="1">
      <c r="A243" s="3"/>
      <c r="F243" s="3"/>
    </row>
    <row r="244" spans="1:6" ht="12" customHeight="1">
      <c r="A244" s="3"/>
      <c r="F244" s="3"/>
    </row>
    <row r="245" spans="1:6" ht="12" customHeight="1">
      <c r="A245" s="3"/>
      <c r="F245" s="3"/>
    </row>
    <row r="246" spans="1:6" ht="12" customHeight="1">
      <c r="A246" s="3"/>
      <c r="F246" s="3"/>
    </row>
    <row r="247" spans="1:6" ht="12" customHeight="1">
      <c r="A247" s="3"/>
      <c r="F247" s="3"/>
    </row>
    <row r="248" spans="1:6" ht="12" customHeight="1">
      <c r="A248" s="3"/>
      <c r="F248" s="3"/>
    </row>
    <row r="249" spans="1:6" ht="12" customHeight="1">
      <c r="A249" s="3"/>
      <c r="F249" s="3"/>
    </row>
    <row r="250" spans="1:6" ht="12" customHeight="1">
      <c r="A250" s="3"/>
      <c r="F250" s="3"/>
    </row>
    <row r="251" spans="1:6" ht="12" customHeight="1">
      <c r="A251" s="3"/>
      <c r="F251" s="3"/>
    </row>
    <row r="252" spans="1:6" ht="12" customHeight="1">
      <c r="A252" s="3"/>
      <c r="F252" s="3"/>
    </row>
    <row r="253" spans="1:6" ht="12" customHeight="1">
      <c r="A253" s="3"/>
      <c r="F253" s="3"/>
    </row>
    <row r="254" spans="1:6" ht="12" customHeight="1">
      <c r="A254" s="3"/>
      <c r="F254" s="3"/>
    </row>
    <row r="255" spans="1:6" ht="12" customHeight="1">
      <c r="A255" s="3"/>
      <c r="F255" s="3"/>
    </row>
    <row r="256" spans="1:6" ht="12" customHeight="1">
      <c r="A256" s="3"/>
      <c r="F256" s="3"/>
    </row>
    <row r="257" spans="1:6" ht="12" customHeight="1">
      <c r="A257" s="3"/>
      <c r="F257" s="3"/>
    </row>
    <row r="258" spans="1:6" ht="12" customHeight="1">
      <c r="A258" s="3"/>
      <c r="F258" s="3"/>
    </row>
    <row r="259" spans="1:6" ht="12" customHeight="1">
      <c r="A259" s="3"/>
      <c r="F259" s="3"/>
    </row>
    <row r="260" spans="1:6" ht="12" customHeight="1">
      <c r="A260" s="3"/>
      <c r="F260" s="3"/>
    </row>
    <row r="261" spans="1:6" ht="12" customHeight="1">
      <c r="A261" s="3"/>
      <c r="F261" s="3"/>
    </row>
    <row r="262" spans="1:6" ht="12" customHeight="1">
      <c r="A262" s="3"/>
      <c r="F262" s="3"/>
    </row>
    <row r="263" spans="1:6" ht="12" customHeight="1">
      <c r="A263" s="3"/>
      <c r="F263" s="3"/>
    </row>
    <row r="264" spans="1:6" ht="12" customHeight="1">
      <c r="A264" s="3"/>
      <c r="F264" s="3"/>
    </row>
    <row r="265" spans="1:6" ht="12" customHeight="1">
      <c r="A265" s="3"/>
      <c r="F265" s="3"/>
    </row>
    <row r="266" spans="1:6" ht="12" customHeight="1">
      <c r="A266" s="3"/>
      <c r="F266" s="3"/>
    </row>
    <row r="267" spans="1:6" ht="12" customHeight="1">
      <c r="A267" s="3"/>
      <c r="F267" s="3"/>
    </row>
    <row r="268" spans="1:6" ht="12" customHeight="1">
      <c r="A268" s="3"/>
      <c r="F268" s="3"/>
    </row>
    <row r="269" spans="1:6" ht="12" customHeight="1">
      <c r="A269" s="3"/>
      <c r="F269" s="3"/>
    </row>
    <row r="270" spans="1:6" ht="12" customHeight="1">
      <c r="A270" s="3"/>
      <c r="F270" s="3"/>
    </row>
    <row r="271" spans="1:6" ht="12" customHeight="1">
      <c r="A271" s="3"/>
      <c r="F271" s="3"/>
    </row>
    <row r="272" spans="1:6" ht="12" customHeight="1">
      <c r="A272" s="3"/>
      <c r="F272" s="3"/>
    </row>
    <row r="273" spans="1:6" ht="12" customHeight="1">
      <c r="A273" s="3"/>
      <c r="F273" s="3"/>
    </row>
    <row r="274" spans="1:6" ht="12" customHeight="1">
      <c r="A274" s="3"/>
      <c r="F274" s="3"/>
    </row>
    <row r="275" spans="1:6" ht="12" customHeight="1">
      <c r="A275" s="3"/>
      <c r="F275" s="3"/>
    </row>
    <row r="276" spans="1:6" ht="12" customHeight="1">
      <c r="A276" s="3"/>
      <c r="F276" s="3"/>
    </row>
    <row r="277" spans="1:6" ht="12" customHeight="1">
      <c r="A277" s="3"/>
      <c r="F277" s="3"/>
    </row>
    <row r="278" spans="1:6" ht="12" customHeight="1">
      <c r="A278" s="3"/>
      <c r="F278" s="3"/>
    </row>
    <row r="279" spans="1:6" ht="12" customHeight="1">
      <c r="A279" s="3"/>
      <c r="F279" s="3"/>
    </row>
    <row r="280" spans="1:6" ht="12" customHeight="1">
      <c r="A280" s="3"/>
      <c r="F280" s="3"/>
    </row>
    <row r="281" spans="1:6" ht="12" customHeight="1">
      <c r="A281" s="3"/>
      <c r="F281" s="3"/>
    </row>
    <row r="282" spans="1:6" ht="12" customHeight="1">
      <c r="A282" s="3"/>
      <c r="F282" s="3"/>
    </row>
    <row r="283" spans="1:6" ht="12" customHeight="1">
      <c r="A283" s="3"/>
      <c r="F283" s="3"/>
    </row>
    <row r="284" spans="1:6" ht="12" customHeight="1">
      <c r="A284" s="3"/>
      <c r="F284" s="3"/>
    </row>
    <row r="285" spans="1:6" ht="12" customHeight="1">
      <c r="A285" s="3"/>
      <c r="F285" s="3"/>
    </row>
    <row r="286" spans="1:6" ht="12" customHeight="1">
      <c r="A286" s="3"/>
      <c r="F286" s="3"/>
    </row>
    <row r="287" spans="1:6" ht="12" customHeight="1">
      <c r="A287" s="3"/>
      <c r="F287" s="3"/>
    </row>
    <row r="288" spans="1:6" ht="12" customHeight="1">
      <c r="A288" s="3"/>
      <c r="F288" s="3"/>
    </row>
    <row r="289" spans="1:6" ht="12" customHeight="1">
      <c r="A289" s="3"/>
      <c r="F289" s="3"/>
    </row>
    <row r="290" spans="1:6" ht="12" customHeight="1">
      <c r="A290" s="3"/>
      <c r="F290" s="3"/>
    </row>
    <row r="291" spans="1:6" ht="12" customHeight="1">
      <c r="A291" s="3"/>
      <c r="F291" s="3"/>
    </row>
    <row r="292" spans="1:6" ht="12" customHeight="1">
      <c r="A292" s="3"/>
      <c r="F292" s="3"/>
    </row>
    <row r="293" spans="1:6" ht="12" customHeight="1">
      <c r="A293" s="3"/>
      <c r="F293" s="3"/>
    </row>
    <row r="294" spans="1:6" ht="12" customHeight="1">
      <c r="A294" s="3"/>
      <c r="F294" s="3"/>
    </row>
    <row r="295" spans="1:6" ht="12" customHeight="1">
      <c r="A295" s="3"/>
      <c r="F295" s="3"/>
    </row>
    <row r="296" spans="1:6" ht="12" customHeight="1">
      <c r="A296" s="3"/>
      <c r="F296" s="3"/>
    </row>
    <row r="297" spans="1:6" ht="12" customHeight="1">
      <c r="A297" s="3"/>
      <c r="F297" s="3"/>
    </row>
    <row r="298" spans="1:6" ht="12" customHeight="1">
      <c r="A298" s="3"/>
      <c r="F298" s="3"/>
    </row>
    <row r="299" spans="1:6" ht="12" customHeight="1">
      <c r="A299" s="3"/>
      <c r="F299" s="3"/>
    </row>
    <row r="300" spans="1:6" ht="12" customHeight="1">
      <c r="A300" s="3"/>
      <c r="F300" s="3"/>
    </row>
    <row r="301" spans="1:6" ht="12" customHeight="1">
      <c r="A301" s="3"/>
      <c r="F301" s="3"/>
    </row>
    <row r="302" spans="1:6" ht="12" customHeight="1">
      <c r="A302" s="3"/>
      <c r="F302" s="3"/>
    </row>
    <row r="303" spans="1:6" ht="12" customHeight="1">
      <c r="A303" s="3"/>
      <c r="F303" s="3"/>
    </row>
    <row r="304" spans="1:6" ht="12" customHeight="1">
      <c r="A304" s="3"/>
      <c r="F304" s="3"/>
    </row>
    <row r="305" spans="1:6" ht="12" customHeight="1">
      <c r="A305" s="3"/>
      <c r="F305" s="3"/>
    </row>
    <row r="306" spans="1:6" ht="12" customHeight="1">
      <c r="A306" s="3"/>
      <c r="F306" s="3"/>
    </row>
    <row r="307" spans="1:6" ht="12" customHeight="1">
      <c r="A307" s="3"/>
      <c r="F307" s="3"/>
    </row>
    <row r="308" spans="1:6" ht="12" customHeight="1">
      <c r="A308" s="3"/>
      <c r="F308" s="3"/>
    </row>
    <row r="309" spans="1:6" ht="12" customHeight="1">
      <c r="A309" s="3"/>
      <c r="F309" s="3"/>
    </row>
    <row r="310" spans="1:6" ht="12" customHeight="1">
      <c r="A310" s="3"/>
      <c r="F310" s="3"/>
    </row>
    <row r="311" spans="1:6" ht="12" customHeight="1">
      <c r="A311" s="3"/>
      <c r="F311" s="3"/>
    </row>
    <row r="312" spans="1:6" ht="12" customHeight="1">
      <c r="A312" s="3"/>
      <c r="F312" s="3"/>
    </row>
    <row r="313" spans="1:6" ht="12" customHeight="1">
      <c r="A313" s="3"/>
      <c r="F313" s="3"/>
    </row>
    <row r="314" spans="1:6" ht="12" customHeight="1">
      <c r="A314" s="3"/>
      <c r="F314" s="3"/>
    </row>
    <row r="315" spans="1:6" ht="12" customHeight="1">
      <c r="A315" s="3"/>
      <c r="F315" s="3"/>
    </row>
    <row r="316" spans="1:6" ht="12" customHeight="1">
      <c r="A316" s="3"/>
      <c r="F316" s="3"/>
    </row>
    <row r="317" spans="1:6" ht="12" customHeight="1">
      <c r="A317" s="3"/>
      <c r="F317" s="3"/>
    </row>
    <row r="318" spans="1:6" ht="12" customHeight="1">
      <c r="A318" s="3"/>
      <c r="F318" s="3"/>
    </row>
    <row r="319" spans="1:6" ht="12" customHeight="1">
      <c r="A319" s="3"/>
      <c r="F319" s="3"/>
    </row>
    <row r="320" spans="1:6" ht="12" customHeight="1">
      <c r="A320" s="3"/>
      <c r="F320" s="3"/>
    </row>
    <row r="321" spans="1:6" ht="12" customHeight="1">
      <c r="A321" s="3"/>
      <c r="F321" s="3"/>
    </row>
    <row r="322" spans="1:6" ht="12" customHeight="1">
      <c r="A322" s="3"/>
      <c r="F322" s="3"/>
    </row>
    <row r="323" spans="1:6" ht="12" customHeight="1">
      <c r="A323" s="3"/>
      <c r="F323" s="3"/>
    </row>
    <row r="324" spans="1:6" ht="12" customHeight="1">
      <c r="A324" s="3"/>
      <c r="F324" s="3"/>
    </row>
    <row r="325" spans="1:6" ht="12" customHeight="1">
      <c r="A325" s="3"/>
      <c r="F325" s="3"/>
    </row>
    <row r="326" spans="1:6" ht="12" customHeight="1">
      <c r="A326" s="3"/>
      <c r="F326" s="3"/>
    </row>
    <row r="327" spans="1:6" ht="12" customHeight="1">
      <c r="A327" s="3"/>
      <c r="F327" s="3"/>
    </row>
    <row r="328" spans="1:6" ht="12" customHeight="1">
      <c r="A328" s="3"/>
      <c r="F328" s="3"/>
    </row>
    <row r="329" spans="1:6" ht="12" customHeight="1">
      <c r="A329" s="3"/>
      <c r="F329" s="3"/>
    </row>
    <row r="330" spans="1:6" ht="12" customHeight="1">
      <c r="A330" s="3"/>
      <c r="F330" s="3"/>
    </row>
    <row r="331" spans="1:6" ht="12" customHeight="1">
      <c r="A331" s="3"/>
      <c r="F331" s="3"/>
    </row>
    <row r="332" spans="1:6" ht="12" customHeight="1">
      <c r="A332" s="3"/>
      <c r="F332" s="3"/>
    </row>
    <row r="333" spans="1:6" ht="12" customHeight="1">
      <c r="A333" s="3"/>
      <c r="F333" s="3"/>
    </row>
    <row r="334" spans="1:6" ht="12" customHeight="1">
      <c r="A334" s="3"/>
      <c r="F334" s="3"/>
    </row>
    <row r="335" spans="1:6" ht="12" customHeight="1">
      <c r="A335" s="3"/>
      <c r="F335" s="3"/>
    </row>
    <row r="336" spans="1:6" ht="12" customHeight="1">
      <c r="A336" s="3"/>
      <c r="F336" s="3"/>
    </row>
    <row r="337" spans="1:6" ht="12" customHeight="1">
      <c r="A337" s="3"/>
      <c r="F337" s="3"/>
    </row>
    <row r="338" spans="1:6" ht="12" customHeight="1">
      <c r="A338" s="3"/>
      <c r="F338" s="3"/>
    </row>
    <row r="339" spans="1:6" ht="12" customHeight="1">
      <c r="A339" s="3"/>
      <c r="F339" s="3"/>
    </row>
    <row r="340" spans="1:6" ht="12" customHeight="1">
      <c r="A340" s="3"/>
      <c r="F340" s="3"/>
    </row>
    <row r="341" spans="1:6" ht="12" customHeight="1">
      <c r="A341" s="3"/>
      <c r="F341" s="3"/>
    </row>
    <row r="342" spans="1:6" ht="12" customHeight="1">
      <c r="A342" s="3"/>
      <c r="F342" s="3"/>
    </row>
    <row r="343" spans="1:6" ht="12" customHeight="1">
      <c r="A343" s="3"/>
      <c r="F343" s="3"/>
    </row>
    <row r="344" spans="1:6" ht="12" customHeight="1">
      <c r="A344" s="3"/>
      <c r="F344" s="3"/>
    </row>
    <row r="345" spans="1:6" ht="12" customHeight="1">
      <c r="A345" s="3"/>
      <c r="F345" s="3"/>
    </row>
    <row r="346" spans="1:6" ht="12" customHeight="1">
      <c r="A346" s="3"/>
      <c r="F346" s="3"/>
    </row>
    <row r="347" spans="1:6" ht="12" customHeight="1">
      <c r="A347" s="3"/>
      <c r="F347" s="3"/>
    </row>
    <row r="348" spans="1:6" ht="12" customHeight="1">
      <c r="A348" s="3"/>
      <c r="F348" s="3"/>
    </row>
    <row r="349" spans="1:6" ht="12" customHeight="1">
      <c r="A349" s="3"/>
      <c r="F349" s="3"/>
    </row>
    <row r="350" spans="1:6" ht="12" customHeight="1">
      <c r="A350" s="3"/>
      <c r="F350" s="3"/>
    </row>
    <row r="351" spans="1:6" ht="12" customHeight="1">
      <c r="A351" s="3"/>
      <c r="F351" s="3"/>
    </row>
    <row r="352" spans="1:6" ht="12" customHeight="1">
      <c r="A352" s="3"/>
      <c r="F352" s="3"/>
    </row>
    <row r="353" spans="1:6" ht="12" customHeight="1">
      <c r="A353" s="3"/>
      <c r="F353" s="3"/>
    </row>
    <row r="354" spans="1:6" ht="12" customHeight="1">
      <c r="A354" s="3"/>
      <c r="F354" s="3"/>
    </row>
    <row r="355" spans="1:6" ht="12" customHeight="1">
      <c r="A355" s="3"/>
      <c r="F355" s="3"/>
    </row>
    <row r="356" spans="1:6" ht="12" customHeight="1">
      <c r="A356" s="3"/>
      <c r="F356" s="3"/>
    </row>
    <row r="357" spans="1:6" ht="12" customHeight="1">
      <c r="A357" s="3"/>
      <c r="F357" s="3"/>
    </row>
    <row r="358" spans="1:6" ht="12" customHeight="1">
      <c r="A358" s="3"/>
      <c r="F358" s="3"/>
    </row>
    <row r="359" spans="1:6" ht="12" customHeight="1">
      <c r="A359" s="3"/>
      <c r="F359" s="3"/>
    </row>
    <row r="360" spans="1:6" ht="12" customHeight="1">
      <c r="A360" s="3"/>
      <c r="F360" s="3"/>
    </row>
    <row r="361" spans="1:6" ht="12" customHeight="1">
      <c r="A361" s="3"/>
      <c r="F361" s="3"/>
    </row>
    <row r="362" spans="1:6" ht="12" customHeight="1">
      <c r="A362" s="3"/>
      <c r="F362" s="3"/>
    </row>
    <row r="363" spans="1:6" ht="12" customHeight="1">
      <c r="A363" s="3"/>
      <c r="F363" s="3"/>
    </row>
    <row r="364" spans="1:6" ht="12" customHeight="1">
      <c r="A364" s="3"/>
      <c r="F364" s="3"/>
    </row>
    <row r="365" spans="1:6" ht="12" customHeight="1">
      <c r="A365" s="3"/>
      <c r="F365" s="3"/>
    </row>
    <row r="366" spans="1:6" ht="12" customHeight="1">
      <c r="A366" s="3"/>
      <c r="F366" s="3"/>
    </row>
    <row r="367" spans="1:6" ht="12" customHeight="1">
      <c r="A367" s="3"/>
      <c r="F367" s="3"/>
    </row>
    <row r="368" spans="1:6" ht="12" customHeight="1">
      <c r="A368" s="3"/>
      <c r="F368" s="3"/>
    </row>
    <row r="369" spans="1:6" ht="12" customHeight="1">
      <c r="A369" s="3"/>
      <c r="F369" s="3"/>
    </row>
    <row r="370" spans="1:6" ht="12" customHeight="1">
      <c r="A370" s="3"/>
      <c r="F370" s="3"/>
    </row>
    <row r="371" spans="1:6" ht="12" customHeight="1">
      <c r="A371" s="3"/>
      <c r="F371" s="3"/>
    </row>
    <row r="372" spans="1:6" ht="12" customHeight="1">
      <c r="A372" s="3"/>
      <c r="F372" s="3"/>
    </row>
    <row r="373" spans="1:6" ht="12" customHeight="1">
      <c r="A373" s="3"/>
      <c r="F373" s="3"/>
    </row>
    <row r="374" spans="1:6" ht="12" customHeight="1">
      <c r="A374" s="3"/>
      <c r="F374" s="3"/>
    </row>
    <row r="375" spans="1:6" ht="12" customHeight="1">
      <c r="A375" s="3"/>
      <c r="F375" s="3"/>
    </row>
    <row r="376" spans="1:6" ht="12" customHeight="1">
      <c r="A376" s="3"/>
      <c r="F376" s="3"/>
    </row>
    <row r="377" spans="1:6" ht="12" customHeight="1">
      <c r="A377" s="3"/>
      <c r="F377" s="3"/>
    </row>
    <row r="378" spans="1:6" ht="12" customHeight="1">
      <c r="A378" s="3"/>
      <c r="F378" s="3"/>
    </row>
    <row r="379" spans="1:6" ht="12" customHeight="1">
      <c r="A379" s="3"/>
      <c r="F379" s="3"/>
    </row>
    <row r="380" spans="1:6" ht="12" customHeight="1">
      <c r="A380" s="3"/>
      <c r="F380" s="3"/>
    </row>
    <row r="381" spans="1:6" ht="12" customHeight="1">
      <c r="A381" s="3"/>
      <c r="F381" s="3"/>
    </row>
    <row r="382" spans="1:6" ht="12" customHeight="1">
      <c r="A382" s="3"/>
      <c r="F382" s="3"/>
    </row>
    <row r="383" spans="1:6" ht="12" customHeight="1">
      <c r="A383" s="3"/>
      <c r="F383" s="3"/>
    </row>
    <row r="384" spans="1:6" ht="12" customHeight="1">
      <c r="A384" s="3"/>
      <c r="F384" s="3"/>
    </row>
    <row r="385" spans="1:6" ht="12" customHeight="1">
      <c r="A385" s="3"/>
      <c r="F385" s="3"/>
    </row>
    <row r="386" spans="1:6" ht="12" customHeight="1">
      <c r="A386" s="3"/>
      <c r="F386" s="3"/>
    </row>
    <row r="387" spans="1:6" ht="12" customHeight="1">
      <c r="A387" s="3"/>
      <c r="F387" s="3"/>
    </row>
    <row r="388" spans="1:6" ht="12" customHeight="1">
      <c r="A388" s="3"/>
      <c r="F388" s="3"/>
    </row>
    <row r="389" spans="1:6" ht="12" customHeight="1">
      <c r="A389" s="3"/>
      <c r="F389" s="3"/>
    </row>
    <row r="390" spans="1:6" ht="12" customHeight="1">
      <c r="A390" s="3"/>
      <c r="F390" s="3"/>
    </row>
    <row r="391" spans="1:6" ht="12" customHeight="1">
      <c r="A391" s="3"/>
      <c r="F391" s="3"/>
    </row>
    <row r="392" spans="1:6" ht="12" customHeight="1">
      <c r="A392" s="3"/>
      <c r="F392" s="3"/>
    </row>
    <row r="393" spans="1:6" ht="12" customHeight="1">
      <c r="A393" s="3"/>
      <c r="F393" s="3"/>
    </row>
    <row r="394" spans="1:6" ht="12" customHeight="1">
      <c r="A394" s="3"/>
      <c r="F394" s="3"/>
    </row>
    <row r="395" spans="1:6" ht="12" customHeight="1">
      <c r="A395" s="3"/>
      <c r="F395" s="3"/>
    </row>
    <row r="396" spans="1:6" ht="12" customHeight="1">
      <c r="A396" s="3"/>
      <c r="F396" s="3"/>
    </row>
    <row r="397" spans="1:6" ht="12" customHeight="1">
      <c r="A397" s="3"/>
      <c r="F397" s="3"/>
    </row>
    <row r="398" spans="1:6" ht="12" customHeight="1">
      <c r="A398" s="3"/>
      <c r="F398" s="3"/>
    </row>
    <row r="399" spans="1:6" ht="12" customHeight="1">
      <c r="A399" s="3"/>
      <c r="F399" s="3"/>
    </row>
    <row r="400" spans="1:6" ht="12" customHeight="1">
      <c r="A400" s="3"/>
      <c r="F400" s="3"/>
    </row>
    <row r="401" spans="1:6" ht="12" customHeight="1">
      <c r="A401" s="3"/>
      <c r="F401" s="3"/>
    </row>
    <row r="402" spans="1:6" ht="12" customHeight="1">
      <c r="A402" s="3"/>
      <c r="F402" s="3"/>
    </row>
    <row r="403" spans="1:6" ht="12" customHeight="1">
      <c r="A403" s="3"/>
      <c r="F403" s="3"/>
    </row>
    <row r="404" spans="1:6" ht="12" customHeight="1">
      <c r="A404" s="3"/>
      <c r="F404" s="3"/>
    </row>
    <row r="405" spans="1:6" ht="12" customHeight="1">
      <c r="A405" s="3"/>
      <c r="F405" s="3"/>
    </row>
    <row r="406" spans="1:6" ht="12" customHeight="1">
      <c r="A406" s="3"/>
      <c r="F406" s="3"/>
    </row>
    <row r="407" spans="1:6" ht="12" customHeight="1">
      <c r="A407" s="3"/>
      <c r="F407" s="3"/>
    </row>
    <row r="408" spans="1:6" ht="12" customHeight="1">
      <c r="A408" s="3"/>
      <c r="F408" s="3"/>
    </row>
    <row r="409" spans="1:6" ht="12" customHeight="1">
      <c r="A409" s="3"/>
      <c r="F409" s="3"/>
    </row>
    <row r="410" spans="1:6" ht="12" customHeight="1">
      <c r="A410" s="3"/>
      <c r="F410" s="3"/>
    </row>
    <row r="411" spans="1:6" ht="12" customHeight="1">
      <c r="A411" s="3"/>
      <c r="F411" s="3"/>
    </row>
    <row r="412" spans="1:6" ht="12" customHeight="1">
      <c r="A412" s="3"/>
      <c r="F412" s="3"/>
    </row>
    <row r="413" spans="1:6" ht="12" customHeight="1">
      <c r="A413" s="3"/>
      <c r="F413" s="3"/>
    </row>
    <row r="414" spans="1:6" ht="12" customHeight="1">
      <c r="A414" s="3"/>
      <c r="F414" s="3"/>
    </row>
    <row r="415" spans="1:6" ht="12" customHeight="1">
      <c r="A415" s="3"/>
      <c r="F415" s="3"/>
    </row>
    <row r="416" spans="1:6" ht="12" customHeight="1">
      <c r="A416" s="3"/>
      <c r="F416" s="3"/>
    </row>
    <row r="417" spans="1:6" ht="12" customHeight="1">
      <c r="A417" s="3"/>
      <c r="F417" s="3"/>
    </row>
    <row r="418" spans="1:6" ht="12" customHeight="1">
      <c r="A418" s="3"/>
      <c r="F418" s="3"/>
    </row>
    <row r="419" spans="1:6" ht="12" customHeight="1">
      <c r="A419" s="3"/>
      <c r="F419" s="3"/>
    </row>
    <row r="420" spans="1:6" ht="12" customHeight="1">
      <c r="A420" s="3"/>
      <c r="F420" s="3"/>
    </row>
    <row r="421" spans="1:6" ht="12" customHeight="1">
      <c r="A421" s="3"/>
      <c r="F421" s="3"/>
    </row>
    <row r="422" spans="1:6" ht="12" customHeight="1">
      <c r="A422" s="3"/>
      <c r="F422" s="3"/>
    </row>
    <row r="423" spans="1:6" ht="12" customHeight="1">
      <c r="A423" s="3"/>
      <c r="F423" s="3"/>
    </row>
    <row r="424" spans="1:6" ht="12" customHeight="1">
      <c r="A424" s="3"/>
      <c r="F424" s="3"/>
    </row>
    <row r="425" spans="1:6" ht="12" customHeight="1">
      <c r="A425" s="3"/>
      <c r="F425" s="3"/>
    </row>
    <row r="426" spans="1:6" ht="12" customHeight="1">
      <c r="A426" s="3"/>
      <c r="F426" s="3"/>
    </row>
    <row r="427" spans="1:6" ht="12" customHeight="1">
      <c r="A427" s="3"/>
      <c r="F427" s="3"/>
    </row>
    <row r="428" spans="1:6" ht="12" customHeight="1">
      <c r="A428" s="3"/>
      <c r="F428" s="3"/>
    </row>
    <row r="429" spans="1:6" ht="12" customHeight="1">
      <c r="A429" s="3"/>
      <c r="F429" s="3"/>
    </row>
    <row r="430" spans="1:6" ht="12" customHeight="1">
      <c r="A430" s="3"/>
      <c r="F430" s="3"/>
    </row>
    <row r="431" spans="1:6" ht="12" customHeight="1">
      <c r="A431" s="3"/>
      <c r="F431" s="3"/>
    </row>
    <row r="432" spans="1:6" ht="12" customHeight="1">
      <c r="A432" s="3"/>
      <c r="F432" s="3"/>
    </row>
    <row r="433" spans="1:6" ht="12" customHeight="1">
      <c r="A433" s="3"/>
      <c r="F433" s="3"/>
    </row>
    <row r="434" spans="1:6" ht="12" customHeight="1">
      <c r="A434" s="3"/>
      <c r="F434" s="3"/>
    </row>
    <row r="435" spans="1:6" ht="12" customHeight="1">
      <c r="A435" s="3"/>
      <c r="F435" s="3"/>
    </row>
    <row r="436" spans="1:6" ht="12" customHeight="1">
      <c r="A436" s="3"/>
      <c r="F436" s="3"/>
    </row>
    <row r="437" spans="1:6" ht="12" customHeight="1">
      <c r="A437" s="3"/>
      <c r="F437" s="3"/>
    </row>
    <row r="438" spans="1:6" ht="12" customHeight="1">
      <c r="A438" s="3"/>
      <c r="F438" s="3"/>
    </row>
    <row r="439" spans="1:6" ht="12" customHeight="1">
      <c r="A439" s="3"/>
      <c r="F439" s="3"/>
    </row>
    <row r="440" spans="1:6" ht="12" customHeight="1">
      <c r="A440" s="3"/>
      <c r="F440" s="3"/>
    </row>
    <row r="441" spans="1:6" ht="12" customHeight="1">
      <c r="A441" s="3"/>
      <c r="F441" s="3"/>
    </row>
    <row r="442" spans="1:6" ht="12" customHeight="1">
      <c r="A442" s="3"/>
      <c r="F442" s="3"/>
    </row>
    <row r="443" spans="1:6" ht="12" customHeight="1">
      <c r="A443" s="3"/>
      <c r="F443" s="3"/>
    </row>
    <row r="444" spans="1:6" ht="12" customHeight="1">
      <c r="A444" s="3"/>
      <c r="F444" s="3"/>
    </row>
    <row r="445" spans="1:6" ht="12" customHeight="1">
      <c r="A445" s="3"/>
      <c r="F445" s="3"/>
    </row>
    <row r="446" spans="1:6" ht="12" customHeight="1">
      <c r="A446" s="3"/>
      <c r="F446" s="3"/>
    </row>
    <row r="447" spans="1:6" ht="12" customHeight="1">
      <c r="A447" s="3"/>
      <c r="F447" s="3"/>
    </row>
    <row r="448" spans="1:6" ht="12" customHeight="1">
      <c r="A448" s="3"/>
      <c r="F448" s="3"/>
    </row>
    <row r="449" spans="1:6" ht="12" customHeight="1">
      <c r="A449" s="3"/>
      <c r="F449" s="3"/>
    </row>
    <row r="450" spans="1:6" ht="12" customHeight="1">
      <c r="A450" s="3"/>
      <c r="F450" s="3"/>
    </row>
    <row r="451" spans="1:6" ht="12" customHeight="1">
      <c r="A451" s="3"/>
      <c r="F451" s="3"/>
    </row>
    <row r="452" spans="1:6" ht="12" customHeight="1">
      <c r="A452" s="3"/>
      <c r="F452" s="3"/>
    </row>
    <row r="453" spans="1:6" ht="12" customHeight="1">
      <c r="A453" s="3"/>
      <c r="F453" s="3"/>
    </row>
    <row r="454" spans="1:6" ht="12" customHeight="1">
      <c r="A454" s="3"/>
      <c r="F454" s="3"/>
    </row>
    <row r="455" spans="1:6" ht="12" customHeight="1">
      <c r="A455" s="3"/>
      <c r="F455" s="3"/>
    </row>
    <row r="456" spans="1:6" ht="12" customHeight="1">
      <c r="A456" s="3"/>
      <c r="F456" s="3"/>
    </row>
    <row r="457" spans="1:6" ht="12" customHeight="1">
      <c r="A457" s="3"/>
      <c r="F457" s="3"/>
    </row>
    <row r="458" spans="1:6" ht="12" customHeight="1">
      <c r="A458" s="3"/>
      <c r="F458" s="3"/>
    </row>
    <row r="459" spans="1:6" ht="12" customHeight="1">
      <c r="A459" s="3"/>
      <c r="F459" s="3"/>
    </row>
    <row r="460" spans="1:6" ht="12" customHeight="1">
      <c r="A460" s="3"/>
      <c r="F460" s="3"/>
    </row>
    <row r="461" spans="1:6" ht="12" customHeight="1">
      <c r="A461" s="3"/>
      <c r="F461" s="3"/>
    </row>
    <row r="462" spans="1:6" ht="12" customHeight="1">
      <c r="A462" s="3"/>
      <c r="F462" s="3"/>
    </row>
    <row r="463" spans="1:6" ht="12" customHeight="1">
      <c r="A463" s="3"/>
      <c r="F463" s="3"/>
    </row>
    <row r="464" spans="1:6" ht="12" customHeight="1">
      <c r="A464" s="3"/>
      <c r="F464" s="3"/>
    </row>
    <row r="465" spans="1:6" ht="12" customHeight="1">
      <c r="A465" s="3"/>
      <c r="F465" s="3"/>
    </row>
    <row r="466" spans="1:6" ht="12" customHeight="1">
      <c r="A466" s="3"/>
      <c r="F466" s="3"/>
    </row>
    <row r="467" spans="1:6" ht="12" customHeight="1">
      <c r="A467" s="3"/>
      <c r="F467" s="3"/>
    </row>
    <row r="468" spans="1:6" ht="12" customHeight="1">
      <c r="A468" s="3"/>
      <c r="F468" s="3"/>
    </row>
    <row r="469" spans="1:6" ht="12" customHeight="1">
      <c r="A469" s="3"/>
      <c r="F469" s="3"/>
    </row>
    <row r="470" spans="1:6" ht="12" customHeight="1">
      <c r="A470" s="3"/>
      <c r="F470" s="3"/>
    </row>
    <row r="471" spans="1:6" ht="12" customHeight="1">
      <c r="A471" s="3"/>
      <c r="F471" s="3"/>
    </row>
    <row r="472" spans="1:6" ht="12" customHeight="1">
      <c r="A472" s="3"/>
      <c r="F472" s="3"/>
    </row>
    <row r="473" spans="1:6" ht="12" customHeight="1">
      <c r="A473" s="3"/>
      <c r="F473" s="3"/>
    </row>
    <row r="474" spans="1:6" ht="12" customHeight="1">
      <c r="A474" s="3"/>
      <c r="F474" s="3"/>
    </row>
    <row r="475" spans="1:6" ht="12" customHeight="1">
      <c r="A475" s="3"/>
      <c r="F475" s="3"/>
    </row>
    <row r="476" spans="1:6" ht="12" customHeight="1">
      <c r="A476" s="3"/>
      <c r="F476" s="3"/>
    </row>
    <row r="477" spans="1:6" ht="12" customHeight="1">
      <c r="A477" s="3"/>
      <c r="F477" s="3"/>
    </row>
    <row r="478" spans="1:6" ht="12" customHeight="1">
      <c r="A478" s="3"/>
      <c r="F478" s="3"/>
    </row>
    <row r="479" spans="1:6" ht="12" customHeight="1">
      <c r="A479" s="3"/>
      <c r="F479" s="3"/>
    </row>
    <row r="480" spans="1:6" ht="12" customHeight="1">
      <c r="A480" s="3"/>
      <c r="F480" s="3"/>
    </row>
    <row r="481" spans="1:6" ht="12" customHeight="1">
      <c r="A481" s="3"/>
      <c r="F481" s="3"/>
    </row>
    <row r="482" spans="1:6" ht="12" customHeight="1">
      <c r="A482" s="3"/>
      <c r="F482" s="3"/>
    </row>
    <row r="483" spans="1:6" ht="12" customHeight="1">
      <c r="A483" s="3"/>
      <c r="F483" s="3"/>
    </row>
    <row r="484" spans="1:6" ht="12" customHeight="1">
      <c r="A484" s="3"/>
      <c r="F484" s="3"/>
    </row>
    <row r="485" spans="1:6" ht="12" customHeight="1">
      <c r="A485" s="3"/>
      <c r="F485" s="3"/>
    </row>
    <row r="486" spans="1:6" ht="12" customHeight="1">
      <c r="A486" s="3"/>
      <c r="F486" s="3"/>
    </row>
    <row r="487" spans="1:6" ht="12" customHeight="1">
      <c r="A487" s="3"/>
      <c r="F487" s="3"/>
    </row>
    <row r="488" spans="1:6" ht="12" customHeight="1">
      <c r="A488" s="3"/>
      <c r="F488" s="3"/>
    </row>
    <row r="489" spans="1:6" ht="12" customHeight="1">
      <c r="A489" s="3"/>
      <c r="F489" s="3"/>
    </row>
    <row r="490" spans="1:6" ht="12" customHeight="1">
      <c r="A490" s="3"/>
      <c r="F490" s="3"/>
    </row>
    <row r="491" spans="1:6" ht="12" customHeight="1">
      <c r="A491" s="3"/>
      <c r="F491" s="3"/>
    </row>
    <row r="492" spans="1:6" ht="12" customHeight="1">
      <c r="A492" s="3"/>
      <c r="F492" s="3"/>
    </row>
    <row r="493" spans="1:6" ht="12" customHeight="1">
      <c r="A493" s="3"/>
      <c r="F493" s="3"/>
    </row>
    <row r="494" spans="1:6" ht="12" customHeight="1">
      <c r="A494" s="3"/>
      <c r="F494" s="3"/>
    </row>
    <row r="495" spans="1:6" ht="12" customHeight="1">
      <c r="A495" s="3"/>
      <c r="F495" s="3"/>
    </row>
    <row r="496" spans="1:6" ht="12" customHeight="1">
      <c r="A496" s="3"/>
      <c r="F496" s="3"/>
    </row>
    <row r="497" spans="1:6" ht="12" customHeight="1">
      <c r="A497" s="3"/>
      <c r="F497" s="3"/>
    </row>
    <row r="498" spans="1:6" ht="12" customHeight="1">
      <c r="A498" s="3"/>
      <c r="F498" s="3"/>
    </row>
    <row r="499" spans="1:6" ht="12" customHeight="1">
      <c r="A499" s="3"/>
      <c r="F499" s="3"/>
    </row>
    <row r="500" spans="1:6" ht="12" customHeight="1">
      <c r="A500" s="3"/>
      <c r="F500" s="3"/>
    </row>
    <row r="501" spans="1:6" ht="12" customHeight="1">
      <c r="A501" s="3"/>
      <c r="F501" s="3"/>
    </row>
    <row r="502" spans="1:6" ht="12" customHeight="1">
      <c r="A502" s="3"/>
      <c r="F502" s="3"/>
    </row>
    <row r="503" spans="1:6" ht="12" customHeight="1">
      <c r="A503" s="3"/>
      <c r="F503" s="3"/>
    </row>
    <row r="504" spans="1:6" ht="12" customHeight="1">
      <c r="A504" s="3"/>
      <c r="F504" s="3"/>
    </row>
    <row r="505" spans="1:6" ht="12" customHeight="1">
      <c r="A505" s="3"/>
      <c r="F505" s="3"/>
    </row>
    <row r="506" spans="1:6" ht="12" customHeight="1">
      <c r="A506" s="3"/>
      <c r="F506" s="3"/>
    </row>
    <row r="507" spans="1:6" ht="12" customHeight="1">
      <c r="A507" s="3"/>
      <c r="F507" s="3"/>
    </row>
    <row r="508" spans="1:6" ht="12" customHeight="1">
      <c r="A508" s="3"/>
      <c r="F508" s="3"/>
    </row>
    <row r="509" spans="1:6" ht="12" customHeight="1">
      <c r="A509" s="3"/>
      <c r="F509" s="3"/>
    </row>
    <row r="510" spans="1:6" ht="12" customHeight="1">
      <c r="A510" s="3"/>
      <c r="F510" s="3"/>
    </row>
    <row r="511" spans="1:6" ht="12" customHeight="1">
      <c r="A511" s="3"/>
      <c r="F511" s="3"/>
    </row>
    <row r="512" spans="1:6" ht="12" customHeight="1">
      <c r="A512" s="3"/>
      <c r="F512" s="3"/>
    </row>
    <row r="513" spans="1:6" ht="12" customHeight="1">
      <c r="A513" s="3"/>
      <c r="F513" s="3"/>
    </row>
    <row r="514" spans="1:6" ht="12" customHeight="1">
      <c r="A514" s="3"/>
      <c r="F514" s="3"/>
    </row>
    <row r="515" spans="1:6" ht="12" customHeight="1">
      <c r="A515" s="3"/>
      <c r="F515" s="3"/>
    </row>
    <row r="516" spans="1:6" ht="12" customHeight="1">
      <c r="A516" s="3"/>
      <c r="F516" s="3"/>
    </row>
    <row r="517" spans="1:6" ht="12" customHeight="1">
      <c r="A517" s="3"/>
      <c r="F517" s="3"/>
    </row>
    <row r="518" spans="1:6" ht="12" customHeight="1">
      <c r="A518" s="3"/>
      <c r="F518" s="3"/>
    </row>
    <row r="519" spans="1:6" ht="12" customHeight="1">
      <c r="A519" s="3"/>
      <c r="F519" s="3"/>
    </row>
    <row r="520" spans="1:6" ht="12" customHeight="1">
      <c r="A520" s="3"/>
      <c r="F520" s="3"/>
    </row>
    <row r="521" spans="1:6" ht="12" customHeight="1">
      <c r="A521" s="3"/>
      <c r="F521" s="3"/>
    </row>
    <row r="522" spans="1:6" ht="12" customHeight="1">
      <c r="A522" s="3"/>
      <c r="F522" s="3"/>
    </row>
    <row r="523" spans="1:6" ht="12" customHeight="1">
      <c r="A523" s="3"/>
      <c r="F523" s="3"/>
    </row>
    <row r="524" spans="1:6" ht="12" customHeight="1">
      <c r="A524" s="3"/>
      <c r="F524" s="3"/>
    </row>
    <row r="525" spans="1:6" ht="12" customHeight="1">
      <c r="A525" s="3"/>
      <c r="F525" s="3"/>
    </row>
    <row r="526" spans="1:6" ht="12" customHeight="1">
      <c r="A526" s="3"/>
      <c r="F526" s="3"/>
    </row>
    <row r="527" spans="1:6" ht="12" customHeight="1">
      <c r="A527" s="3"/>
      <c r="F527" s="3"/>
    </row>
    <row r="528" spans="1:6" ht="12" customHeight="1">
      <c r="A528" s="3"/>
      <c r="F528" s="3"/>
    </row>
    <row r="529" spans="1:6" ht="12" customHeight="1">
      <c r="A529" s="3"/>
      <c r="F529" s="3"/>
    </row>
    <row r="530" spans="1:6" ht="12" customHeight="1">
      <c r="A530" s="3"/>
      <c r="F530" s="3"/>
    </row>
    <row r="531" spans="1:6" ht="12" customHeight="1">
      <c r="A531" s="3"/>
      <c r="F531" s="3"/>
    </row>
    <row r="532" spans="1:6" ht="12" customHeight="1">
      <c r="A532" s="3"/>
      <c r="F532" s="3"/>
    </row>
    <row r="533" spans="1:6" ht="12" customHeight="1">
      <c r="A533" s="3"/>
      <c r="F533" s="3"/>
    </row>
    <row r="534" spans="1:6" ht="12" customHeight="1">
      <c r="A534" s="3"/>
      <c r="F534" s="3"/>
    </row>
    <row r="535" spans="1:6" ht="12" customHeight="1">
      <c r="A535" s="3"/>
      <c r="F535" s="3"/>
    </row>
    <row r="536" spans="1:6" ht="12" customHeight="1">
      <c r="A536" s="3"/>
      <c r="F536" s="3"/>
    </row>
    <row r="537" spans="1:6" ht="12" customHeight="1">
      <c r="A537" s="3"/>
      <c r="F537" s="3"/>
    </row>
    <row r="538" spans="1:6" ht="12" customHeight="1">
      <c r="A538" s="3"/>
      <c r="F538" s="3"/>
    </row>
    <row r="539" spans="1:6" ht="12" customHeight="1">
      <c r="A539" s="3"/>
      <c r="F539" s="3"/>
    </row>
    <row r="540" spans="1:6" ht="12" customHeight="1">
      <c r="A540" s="3"/>
      <c r="F540" s="3"/>
    </row>
    <row r="541" spans="1:6" ht="12" customHeight="1">
      <c r="A541" s="3"/>
      <c r="F541" s="3"/>
    </row>
    <row r="542" spans="1:6" ht="12" customHeight="1">
      <c r="A542" s="3"/>
      <c r="F542" s="3"/>
    </row>
    <row r="543" spans="1:6" ht="12" customHeight="1">
      <c r="A543" s="3"/>
      <c r="F543" s="3"/>
    </row>
    <row r="544" spans="1:6" ht="12" customHeight="1">
      <c r="A544" s="3"/>
      <c r="F544" s="3"/>
    </row>
    <row r="545" spans="1:6" ht="12" customHeight="1">
      <c r="A545" s="3"/>
      <c r="F545" s="3"/>
    </row>
    <row r="546" spans="1:6" ht="12" customHeight="1">
      <c r="A546" s="3"/>
      <c r="F546" s="3"/>
    </row>
    <row r="547" spans="1:6" ht="12" customHeight="1">
      <c r="A547" s="3"/>
      <c r="F547" s="3"/>
    </row>
    <row r="548" spans="1:6" ht="12" customHeight="1">
      <c r="A548" s="3"/>
      <c r="F548" s="3"/>
    </row>
    <row r="549" spans="1:6" ht="12" customHeight="1">
      <c r="A549" s="3"/>
      <c r="F549" s="3"/>
    </row>
    <row r="550" spans="1:6" ht="12" customHeight="1">
      <c r="A550" s="3"/>
      <c r="F550" s="3"/>
    </row>
    <row r="551" spans="1:6" ht="12" customHeight="1">
      <c r="A551" s="3"/>
      <c r="F551" s="3"/>
    </row>
    <row r="552" spans="1:6" ht="12" customHeight="1">
      <c r="A552" s="3"/>
      <c r="F552" s="3"/>
    </row>
    <row r="553" spans="1:6" ht="12" customHeight="1">
      <c r="A553" s="3"/>
      <c r="F553" s="3"/>
    </row>
    <row r="554" spans="1:6" ht="12" customHeight="1">
      <c r="A554" s="3"/>
      <c r="F554" s="3"/>
    </row>
    <row r="555" spans="1:6" ht="12" customHeight="1">
      <c r="A555" s="3"/>
      <c r="F555" s="3"/>
    </row>
    <row r="556" spans="1:6" ht="12" customHeight="1">
      <c r="A556" s="3"/>
      <c r="F556" s="3"/>
    </row>
    <row r="557" spans="1:6" ht="12" customHeight="1">
      <c r="A557" s="3"/>
      <c r="F557" s="3"/>
    </row>
    <row r="558" spans="1:6" ht="12" customHeight="1">
      <c r="A558" s="3"/>
      <c r="F558" s="3"/>
    </row>
    <row r="559" spans="1:6" ht="12" customHeight="1">
      <c r="A559" s="3"/>
      <c r="F559" s="3"/>
    </row>
    <row r="560" spans="1:6" ht="12" customHeight="1">
      <c r="A560" s="3"/>
      <c r="F560" s="3"/>
    </row>
    <row r="561" spans="1:6" ht="12" customHeight="1">
      <c r="A561" s="3"/>
      <c r="F561" s="3"/>
    </row>
    <row r="562" spans="1:6" ht="12" customHeight="1">
      <c r="A562" s="3"/>
      <c r="F562" s="3"/>
    </row>
    <row r="563" spans="1:6" ht="12" customHeight="1">
      <c r="A563" s="3"/>
      <c r="F563" s="3"/>
    </row>
    <row r="564" spans="1:6" ht="12" customHeight="1">
      <c r="A564" s="3"/>
      <c r="F564" s="3"/>
    </row>
    <row r="565" spans="1:6" ht="12" customHeight="1">
      <c r="A565" s="3"/>
      <c r="F565" s="3"/>
    </row>
    <row r="566" spans="1:6" ht="12" customHeight="1">
      <c r="A566" s="3"/>
      <c r="F566" s="3"/>
    </row>
    <row r="567" spans="1:6" ht="12" customHeight="1">
      <c r="A567" s="3"/>
      <c r="F567" s="3"/>
    </row>
    <row r="568" spans="1:6" ht="12" customHeight="1">
      <c r="A568" s="3"/>
      <c r="F568" s="3"/>
    </row>
    <row r="569" spans="1:6" ht="12" customHeight="1">
      <c r="A569" s="3"/>
      <c r="F569" s="3"/>
    </row>
    <row r="570" spans="1:6" ht="12" customHeight="1">
      <c r="A570" s="3"/>
      <c r="F570" s="3"/>
    </row>
    <row r="571" spans="1:6" ht="12" customHeight="1">
      <c r="A571" s="3"/>
      <c r="F571" s="3"/>
    </row>
    <row r="572" spans="1:6" ht="12" customHeight="1">
      <c r="A572" s="3"/>
      <c r="F572" s="3"/>
    </row>
    <row r="573" spans="1:6" ht="12" customHeight="1">
      <c r="A573" s="3"/>
      <c r="F573" s="3"/>
    </row>
    <row r="574" spans="1:6" ht="12" customHeight="1">
      <c r="A574" s="3"/>
      <c r="F574" s="3"/>
    </row>
    <row r="575" spans="1:6" ht="12" customHeight="1">
      <c r="A575" s="3"/>
      <c r="F575" s="3"/>
    </row>
    <row r="576" spans="1:6" ht="12" customHeight="1">
      <c r="A576" s="3"/>
      <c r="F576" s="3"/>
    </row>
    <row r="577" spans="1:6" ht="12" customHeight="1">
      <c r="A577" s="3"/>
      <c r="F577" s="3"/>
    </row>
    <row r="578" spans="1:6" ht="12" customHeight="1">
      <c r="A578" s="3"/>
      <c r="F578" s="3"/>
    </row>
    <row r="579" spans="1:6" ht="12" customHeight="1">
      <c r="A579" s="3"/>
      <c r="F579" s="3"/>
    </row>
    <row r="580" spans="1:6" ht="12" customHeight="1">
      <c r="A580" s="3"/>
      <c r="F580" s="3"/>
    </row>
    <row r="581" spans="1:6" ht="12" customHeight="1">
      <c r="A581" s="3"/>
      <c r="F581" s="3"/>
    </row>
    <row r="582" spans="1:6" ht="12" customHeight="1">
      <c r="A582" s="3"/>
      <c r="F582" s="3"/>
    </row>
    <row r="583" spans="1:6" ht="12" customHeight="1">
      <c r="A583" s="3"/>
      <c r="F583" s="3"/>
    </row>
    <row r="584" spans="1:6" ht="12" customHeight="1">
      <c r="A584" s="3"/>
      <c r="F584" s="3"/>
    </row>
    <row r="585" spans="1:6" ht="12" customHeight="1">
      <c r="A585" s="3"/>
      <c r="F585" s="3"/>
    </row>
    <row r="586" spans="1:6" ht="12" customHeight="1">
      <c r="A586" s="3"/>
      <c r="F586" s="3"/>
    </row>
    <row r="587" spans="1:6" ht="12" customHeight="1">
      <c r="A587" s="3"/>
      <c r="F587" s="3"/>
    </row>
    <row r="588" spans="1:6" ht="12" customHeight="1">
      <c r="A588" s="3"/>
      <c r="F588" s="3"/>
    </row>
    <row r="589" spans="1:6" ht="12" customHeight="1">
      <c r="A589" s="3"/>
      <c r="F589" s="3"/>
    </row>
    <row r="590" spans="1:6" ht="12" customHeight="1">
      <c r="A590" s="3"/>
      <c r="F590" s="3"/>
    </row>
    <row r="591" spans="1:6" ht="12" customHeight="1">
      <c r="A591" s="3"/>
      <c r="F591" s="3"/>
    </row>
    <row r="592" spans="1:6" ht="12" customHeight="1">
      <c r="A592" s="3"/>
      <c r="F592" s="3"/>
    </row>
    <row r="593" spans="1:6" ht="12" customHeight="1">
      <c r="A593" s="3"/>
      <c r="F593" s="3"/>
    </row>
    <row r="594" spans="1:6" ht="12" customHeight="1">
      <c r="A594" s="3"/>
      <c r="F594" s="3"/>
    </row>
    <row r="595" spans="1:6" ht="12" customHeight="1">
      <c r="A595" s="3"/>
      <c r="F595" s="3"/>
    </row>
    <row r="596" spans="1:6" ht="12" customHeight="1">
      <c r="A596" s="3"/>
      <c r="F596" s="3"/>
    </row>
    <row r="597" spans="1:6" ht="12" customHeight="1">
      <c r="A597" s="3"/>
      <c r="F597" s="3"/>
    </row>
    <row r="598" spans="1:6" ht="12" customHeight="1">
      <c r="A598" s="3"/>
      <c r="F598" s="3"/>
    </row>
    <row r="599" spans="1:6" ht="12" customHeight="1">
      <c r="A599" s="3"/>
      <c r="F599" s="3"/>
    </row>
    <row r="600" spans="1:6" ht="12" customHeight="1">
      <c r="A600" s="3"/>
      <c r="F600" s="3"/>
    </row>
    <row r="601" spans="1:6" ht="12" customHeight="1">
      <c r="A601" s="3"/>
      <c r="F601" s="3"/>
    </row>
    <row r="602" spans="1:6" ht="12" customHeight="1">
      <c r="A602" s="3"/>
      <c r="F602" s="3"/>
    </row>
    <row r="603" spans="1:6" ht="12" customHeight="1">
      <c r="A603" s="3"/>
      <c r="F603" s="3"/>
    </row>
    <row r="604" spans="1:6" ht="12" customHeight="1">
      <c r="A604" s="3"/>
      <c r="F604" s="3"/>
    </row>
    <row r="605" spans="1:6" ht="12" customHeight="1">
      <c r="A605" s="3"/>
      <c r="F605" s="3"/>
    </row>
    <row r="606" spans="1:6" ht="12" customHeight="1">
      <c r="A606" s="3"/>
      <c r="F606" s="3"/>
    </row>
    <row r="607" spans="1:6" ht="12" customHeight="1">
      <c r="A607" s="3"/>
      <c r="F607" s="3"/>
    </row>
    <row r="608" spans="1:6" ht="12" customHeight="1">
      <c r="A608" s="3"/>
      <c r="F608" s="3"/>
    </row>
    <row r="609" spans="1:6" ht="12" customHeight="1">
      <c r="A609" s="3"/>
      <c r="F609" s="3"/>
    </row>
    <row r="610" spans="1:6" ht="12" customHeight="1">
      <c r="A610" s="3"/>
      <c r="F610" s="3"/>
    </row>
    <row r="611" spans="1:6" ht="12" customHeight="1">
      <c r="A611" s="3"/>
      <c r="F611" s="3"/>
    </row>
    <row r="612" spans="1:6" ht="12" customHeight="1">
      <c r="A612" s="3"/>
      <c r="F612" s="3"/>
    </row>
    <row r="613" spans="1:6" ht="12" customHeight="1">
      <c r="A613" s="3"/>
      <c r="F613" s="3"/>
    </row>
    <row r="614" spans="1:6" ht="12" customHeight="1">
      <c r="A614" s="3"/>
      <c r="F614" s="3"/>
    </row>
    <row r="615" spans="1:6" ht="12" customHeight="1">
      <c r="A615" s="3"/>
      <c r="F615" s="3"/>
    </row>
    <row r="616" spans="1:6" ht="12" customHeight="1">
      <c r="A616" s="3"/>
      <c r="F616" s="3"/>
    </row>
    <row r="617" spans="1:6" ht="12" customHeight="1">
      <c r="A617" s="3"/>
      <c r="F617" s="3"/>
    </row>
    <row r="618" spans="1:6" ht="12" customHeight="1">
      <c r="A618" s="3"/>
      <c r="F618" s="3"/>
    </row>
    <row r="619" spans="1:6" ht="12" customHeight="1">
      <c r="A619" s="3"/>
      <c r="F619" s="3"/>
    </row>
    <row r="620" spans="1:6" ht="12" customHeight="1">
      <c r="A620" s="3"/>
      <c r="F620" s="3"/>
    </row>
    <row r="621" spans="1:6" ht="12" customHeight="1">
      <c r="A621" s="3"/>
      <c r="F621" s="3"/>
    </row>
    <row r="622" spans="1:6" ht="12" customHeight="1">
      <c r="A622" s="3"/>
      <c r="F622" s="3"/>
    </row>
    <row r="623" spans="1:6" ht="12" customHeight="1">
      <c r="A623" s="3"/>
      <c r="F623" s="3"/>
    </row>
    <row r="624" spans="1:6" ht="12" customHeight="1">
      <c r="A624" s="3"/>
      <c r="F624" s="3"/>
    </row>
    <row r="625" spans="1:6" ht="12" customHeight="1">
      <c r="A625" s="3"/>
      <c r="F625" s="3"/>
    </row>
    <row r="626" spans="1:6" ht="12" customHeight="1">
      <c r="A626" s="3"/>
      <c r="F626" s="3"/>
    </row>
    <row r="627" spans="1:6" ht="12" customHeight="1">
      <c r="A627" s="3"/>
      <c r="F627" s="3"/>
    </row>
    <row r="628" spans="1:6" ht="12" customHeight="1">
      <c r="A628" s="3"/>
      <c r="F628" s="3"/>
    </row>
    <row r="629" spans="1:6" ht="12" customHeight="1">
      <c r="A629" s="3"/>
      <c r="F629" s="3"/>
    </row>
    <row r="630" spans="1:6" ht="12" customHeight="1">
      <c r="A630" s="3"/>
      <c r="F630" s="3"/>
    </row>
    <row r="631" spans="1:6" ht="12" customHeight="1">
      <c r="A631" s="3"/>
      <c r="F631" s="3"/>
    </row>
    <row r="632" spans="1:6" ht="12" customHeight="1">
      <c r="A632" s="3"/>
      <c r="F632" s="3"/>
    </row>
    <row r="633" spans="1:6" ht="12" customHeight="1">
      <c r="A633" s="3"/>
      <c r="F633" s="3"/>
    </row>
    <row r="634" spans="1:6" ht="12" customHeight="1">
      <c r="A634" s="3"/>
      <c r="F634" s="3"/>
    </row>
    <row r="635" spans="1:6" ht="12" customHeight="1">
      <c r="A635" s="3"/>
      <c r="F635" s="3"/>
    </row>
    <row r="636" spans="1:6" ht="12" customHeight="1">
      <c r="A636" s="3"/>
      <c r="F636" s="3"/>
    </row>
    <row r="637" spans="1:6" ht="12" customHeight="1">
      <c r="A637" s="3"/>
      <c r="F637" s="3"/>
    </row>
    <row r="638" spans="1:6" ht="12" customHeight="1">
      <c r="A638" s="3"/>
      <c r="F638" s="3"/>
    </row>
    <row r="639" spans="1:6" ht="12" customHeight="1">
      <c r="A639" s="3"/>
      <c r="F639" s="3"/>
    </row>
    <row r="640" spans="1:6" ht="12" customHeight="1">
      <c r="A640" s="3"/>
      <c r="F640" s="3"/>
    </row>
    <row r="641" spans="1:6" ht="12" customHeight="1">
      <c r="A641" s="3"/>
      <c r="F641" s="3"/>
    </row>
    <row r="642" spans="1:6" ht="12" customHeight="1">
      <c r="A642" s="3"/>
      <c r="F642" s="3"/>
    </row>
    <row r="643" spans="1:6" ht="12" customHeight="1">
      <c r="A643" s="3"/>
      <c r="F643" s="3"/>
    </row>
    <row r="644" spans="1:6" ht="12" customHeight="1">
      <c r="A644" s="3"/>
      <c r="F644" s="3"/>
    </row>
    <row r="645" spans="1:6" ht="12" customHeight="1">
      <c r="A645" s="3"/>
      <c r="F645" s="3"/>
    </row>
    <row r="646" spans="1:6" ht="12" customHeight="1">
      <c r="A646" s="3"/>
      <c r="F646" s="3"/>
    </row>
    <row r="647" spans="1:6" ht="12" customHeight="1">
      <c r="A647" s="3"/>
      <c r="F647" s="3"/>
    </row>
    <row r="648" spans="1:6" ht="12" customHeight="1">
      <c r="A648" s="3"/>
      <c r="F648" s="3"/>
    </row>
    <row r="649" spans="1:6" ht="12" customHeight="1">
      <c r="A649" s="3"/>
      <c r="F649" s="3"/>
    </row>
    <row r="650" spans="1:6" ht="12" customHeight="1">
      <c r="A650" s="3"/>
      <c r="F650" s="3"/>
    </row>
    <row r="651" spans="1:6" ht="12" customHeight="1">
      <c r="A651" s="3"/>
      <c r="F651" s="3"/>
    </row>
    <row r="652" spans="1:6" ht="12" customHeight="1">
      <c r="A652" s="3"/>
      <c r="F652" s="3"/>
    </row>
    <row r="653" spans="1:6" ht="12" customHeight="1">
      <c r="A653" s="3"/>
      <c r="F653" s="3"/>
    </row>
    <row r="654" spans="1:6" ht="12" customHeight="1">
      <c r="A654" s="3"/>
      <c r="F654" s="3"/>
    </row>
    <row r="655" spans="1:6" ht="12" customHeight="1">
      <c r="A655" s="3"/>
      <c r="F655" s="3"/>
    </row>
    <row r="656" spans="1:6" ht="12" customHeight="1">
      <c r="A656" s="3"/>
      <c r="F656" s="3"/>
    </row>
    <row r="657" spans="1:6" ht="12" customHeight="1">
      <c r="A657" s="3"/>
      <c r="F657" s="3"/>
    </row>
    <row r="658" spans="1:6" ht="12" customHeight="1">
      <c r="A658" s="3"/>
      <c r="F658" s="3"/>
    </row>
    <row r="659" spans="1:6" ht="12" customHeight="1">
      <c r="A659" s="3"/>
      <c r="F659" s="3"/>
    </row>
    <row r="660" spans="1:6" ht="12" customHeight="1">
      <c r="A660" s="3"/>
      <c r="F660" s="3"/>
    </row>
    <row r="661" spans="1:6" ht="12" customHeight="1">
      <c r="A661" s="3"/>
      <c r="F661" s="3"/>
    </row>
    <row r="662" spans="1:6" ht="12" customHeight="1">
      <c r="A662" s="3"/>
      <c r="F662" s="3"/>
    </row>
    <row r="663" spans="1:6" ht="12" customHeight="1">
      <c r="A663" s="3"/>
      <c r="F663" s="3"/>
    </row>
    <row r="664" spans="1:6" ht="12" customHeight="1">
      <c r="A664" s="3"/>
      <c r="F664" s="3"/>
    </row>
    <row r="665" spans="1:6" ht="12" customHeight="1">
      <c r="A665" s="3"/>
      <c r="F665" s="3"/>
    </row>
    <row r="666" spans="1:6" ht="12" customHeight="1">
      <c r="A666" s="3"/>
      <c r="F666" s="3"/>
    </row>
    <row r="667" spans="1:6" ht="12" customHeight="1">
      <c r="A667" s="3"/>
      <c r="F667" s="3"/>
    </row>
    <row r="668" spans="1:6" ht="12" customHeight="1">
      <c r="A668" s="3"/>
      <c r="F668" s="3"/>
    </row>
    <row r="669" spans="1:6" ht="12" customHeight="1">
      <c r="A669" s="3"/>
      <c r="F669" s="3"/>
    </row>
    <row r="670" spans="1:6" ht="12" customHeight="1">
      <c r="A670" s="3"/>
      <c r="F670" s="3"/>
    </row>
    <row r="671" spans="1:6" ht="12" customHeight="1">
      <c r="A671" s="3"/>
      <c r="F671" s="3"/>
    </row>
    <row r="672" spans="1:6" ht="12" customHeight="1">
      <c r="A672" s="3"/>
      <c r="F672" s="3"/>
    </row>
    <row r="673" spans="1:6" ht="12" customHeight="1">
      <c r="A673" s="3"/>
      <c r="F673" s="3"/>
    </row>
    <row r="674" spans="1:6" ht="12" customHeight="1">
      <c r="A674" s="3"/>
      <c r="F674" s="3"/>
    </row>
    <row r="675" spans="1:6" ht="12" customHeight="1">
      <c r="A675" s="3"/>
      <c r="F675" s="3"/>
    </row>
    <row r="676" spans="1:6" ht="12" customHeight="1">
      <c r="A676" s="3"/>
      <c r="F676" s="3"/>
    </row>
    <row r="677" spans="1:6" ht="12" customHeight="1">
      <c r="A677" s="3"/>
      <c r="F677" s="3"/>
    </row>
    <row r="678" spans="1:6" ht="12" customHeight="1">
      <c r="A678" s="3"/>
      <c r="F678" s="3"/>
    </row>
    <row r="679" spans="1:6" ht="12" customHeight="1">
      <c r="A679" s="3"/>
      <c r="F679" s="3"/>
    </row>
    <row r="680" spans="1:6" ht="12" customHeight="1">
      <c r="A680" s="3"/>
      <c r="F680" s="3"/>
    </row>
    <row r="681" spans="1:6" ht="12" customHeight="1">
      <c r="A681" s="3"/>
      <c r="F681" s="3"/>
    </row>
    <row r="682" spans="1:6" ht="12" customHeight="1">
      <c r="A682" s="3"/>
      <c r="F682" s="3"/>
    </row>
    <row r="683" spans="1:6" ht="12" customHeight="1">
      <c r="A683" s="3"/>
      <c r="F683" s="3"/>
    </row>
    <row r="684" spans="1:6" ht="12" customHeight="1">
      <c r="A684" s="3"/>
      <c r="F684" s="3"/>
    </row>
    <row r="685" spans="1:6" ht="12" customHeight="1">
      <c r="A685" s="3"/>
      <c r="F685" s="3"/>
    </row>
    <row r="686" spans="1:6" ht="12" customHeight="1">
      <c r="A686" s="3"/>
      <c r="F686" s="3"/>
    </row>
    <row r="687" spans="1:6" ht="12" customHeight="1">
      <c r="A687" s="3"/>
      <c r="F687" s="3"/>
    </row>
    <row r="688" spans="1:6" ht="12" customHeight="1">
      <c r="A688" s="3"/>
      <c r="F688" s="3"/>
    </row>
    <row r="689" spans="1:6" ht="12" customHeight="1">
      <c r="A689" s="3"/>
      <c r="F689" s="3"/>
    </row>
    <row r="690" spans="1:6" ht="12" customHeight="1">
      <c r="A690" s="3"/>
      <c r="F690" s="3"/>
    </row>
    <row r="691" spans="1:6" ht="12" customHeight="1">
      <c r="A691" s="3"/>
      <c r="F691" s="3"/>
    </row>
    <row r="692" spans="1:6" ht="12" customHeight="1">
      <c r="A692" s="3"/>
      <c r="F692" s="3"/>
    </row>
    <row r="693" spans="1:6" ht="12" customHeight="1">
      <c r="A693" s="3"/>
      <c r="F693" s="3"/>
    </row>
    <row r="694" spans="1:6" ht="12" customHeight="1">
      <c r="A694" s="3"/>
      <c r="F694" s="3"/>
    </row>
    <row r="695" spans="1:6" ht="12" customHeight="1">
      <c r="A695" s="3"/>
      <c r="F695" s="3"/>
    </row>
    <row r="696" spans="1:6" ht="12" customHeight="1">
      <c r="A696" s="3"/>
      <c r="F696" s="3"/>
    </row>
    <row r="697" spans="1:6" ht="12" customHeight="1">
      <c r="A697" s="3"/>
      <c r="F697" s="3"/>
    </row>
    <row r="698" spans="1:6" ht="12" customHeight="1">
      <c r="A698" s="3"/>
      <c r="F698" s="3"/>
    </row>
    <row r="699" spans="1:6" ht="12" customHeight="1">
      <c r="A699" s="3"/>
      <c r="F699" s="3"/>
    </row>
    <row r="700" spans="1:6" ht="12" customHeight="1">
      <c r="A700" s="3"/>
      <c r="F700" s="3"/>
    </row>
    <row r="701" spans="1:6" ht="12" customHeight="1">
      <c r="A701" s="3"/>
      <c r="F701" s="3"/>
    </row>
    <row r="702" spans="1:6" ht="12" customHeight="1">
      <c r="A702" s="3"/>
      <c r="F702" s="3"/>
    </row>
    <row r="703" spans="1:6" ht="12" customHeight="1">
      <c r="A703" s="3"/>
      <c r="F703" s="3"/>
    </row>
    <row r="704" spans="1:6" ht="12" customHeight="1">
      <c r="A704" s="3"/>
      <c r="F704" s="3"/>
    </row>
    <row r="705" spans="1:6" ht="12" customHeight="1">
      <c r="A705" s="3"/>
      <c r="F705" s="3"/>
    </row>
    <row r="706" spans="1:6" ht="12" customHeight="1">
      <c r="A706" s="3"/>
      <c r="F706" s="3"/>
    </row>
    <row r="707" spans="1:6" ht="12" customHeight="1">
      <c r="A707" s="3"/>
      <c r="F707" s="3"/>
    </row>
    <row r="708" spans="1:6" ht="12" customHeight="1">
      <c r="A708" s="3"/>
      <c r="F708" s="3"/>
    </row>
    <row r="709" spans="1:6" ht="12" customHeight="1">
      <c r="A709" s="3"/>
      <c r="F709" s="3"/>
    </row>
    <row r="710" spans="1:6" ht="12" customHeight="1">
      <c r="A710" s="3"/>
      <c r="F710" s="3"/>
    </row>
    <row r="711" spans="1:6" ht="12" customHeight="1">
      <c r="A711" s="3"/>
      <c r="F711" s="3"/>
    </row>
    <row r="712" spans="1:6" ht="12" customHeight="1">
      <c r="A712" s="3"/>
      <c r="F712" s="3"/>
    </row>
    <row r="713" spans="1:6" ht="12" customHeight="1">
      <c r="A713" s="3"/>
      <c r="F713" s="3"/>
    </row>
    <row r="714" spans="1:6" ht="12" customHeight="1">
      <c r="A714" s="3"/>
      <c r="F714" s="3"/>
    </row>
    <row r="715" spans="1:6" ht="12" customHeight="1">
      <c r="A715" s="3"/>
      <c r="F715" s="3"/>
    </row>
    <row r="716" spans="1:6" ht="12" customHeight="1">
      <c r="A716" s="3"/>
      <c r="F716" s="3"/>
    </row>
    <row r="717" spans="1:6" ht="12" customHeight="1">
      <c r="A717" s="3"/>
      <c r="F717" s="3"/>
    </row>
    <row r="718" spans="1:6" ht="12" customHeight="1">
      <c r="A718" s="3"/>
      <c r="F718" s="3"/>
    </row>
    <row r="719" spans="1:6" ht="12" customHeight="1">
      <c r="A719" s="3"/>
      <c r="F719" s="3"/>
    </row>
    <row r="720" spans="1:6" ht="12" customHeight="1">
      <c r="A720" s="3"/>
      <c r="F720" s="3"/>
    </row>
    <row r="721" spans="1:6" ht="12" customHeight="1">
      <c r="A721" s="3"/>
      <c r="F721" s="3"/>
    </row>
    <row r="722" spans="1:6" ht="12" customHeight="1">
      <c r="A722" s="3"/>
      <c r="F722" s="3"/>
    </row>
    <row r="723" spans="1:6" ht="12" customHeight="1">
      <c r="A723" s="3"/>
      <c r="F723" s="3"/>
    </row>
    <row r="724" spans="1:6" ht="12" customHeight="1">
      <c r="A724" s="3"/>
      <c r="F724" s="3"/>
    </row>
    <row r="725" spans="1:6" ht="12" customHeight="1">
      <c r="A725" s="3"/>
      <c r="F725" s="3"/>
    </row>
    <row r="726" spans="1:6" ht="12" customHeight="1">
      <c r="A726" s="3"/>
      <c r="F726" s="3"/>
    </row>
    <row r="727" spans="1:6" ht="12" customHeight="1">
      <c r="A727" s="3"/>
      <c r="F727" s="3"/>
    </row>
    <row r="728" spans="1:6" ht="12" customHeight="1">
      <c r="A728" s="3"/>
      <c r="F728" s="3"/>
    </row>
    <row r="729" spans="1:6" ht="12" customHeight="1">
      <c r="A729" s="3"/>
      <c r="F729" s="3"/>
    </row>
    <row r="730" spans="1:6" ht="12" customHeight="1">
      <c r="A730" s="3"/>
      <c r="F730" s="3"/>
    </row>
    <row r="731" spans="1:6" ht="12" customHeight="1">
      <c r="A731" s="3"/>
      <c r="F731" s="3"/>
    </row>
    <row r="732" spans="1:6" ht="12" customHeight="1">
      <c r="A732" s="3"/>
      <c r="F732" s="3"/>
    </row>
    <row r="733" spans="1:6" ht="12" customHeight="1">
      <c r="A733" s="3"/>
      <c r="F733" s="3"/>
    </row>
    <row r="734" spans="1:6" ht="12" customHeight="1">
      <c r="A734" s="3"/>
      <c r="F734" s="3"/>
    </row>
    <row r="735" spans="1:6" ht="12" customHeight="1">
      <c r="A735" s="3"/>
      <c r="F735" s="3"/>
    </row>
    <row r="736" spans="1:6" ht="12" customHeight="1">
      <c r="A736" s="3"/>
      <c r="F736" s="3"/>
    </row>
    <row r="737" spans="1:6" ht="12" customHeight="1">
      <c r="A737" s="3"/>
      <c r="F737" s="3"/>
    </row>
    <row r="738" spans="1:6" ht="12" customHeight="1">
      <c r="A738" s="3"/>
      <c r="F738" s="3"/>
    </row>
    <row r="739" spans="1:6" ht="12" customHeight="1">
      <c r="A739" s="3"/>
      <c r="F739" s="3"/>
    </row>
    <row r="740" spans="1:6" ht="12" customHeight="1">
      <c r="A740" s="3"/>
      <c r="F740" s="3"/>
    </row>
    <row r="741" spans="1:6" ht="12" customHeight="1">
      <c r="A741" s="3"/>
      <c r="F741" s="3"/>
    </row>
    <row r="742" spans="1:6" ht="12" customHeight="1">
      <c r="A742" s="3"/>
      <c r="F742" s="3"/>
    </row>
    <row r="743" spans="1:6" ht="12" customHeight="1">
      <c r="A743" s="3"/>
      <c r="F743" s="3"/>
    </row>
    <row r="744" spans="1:6" ht="12" customHeight="1">
      <c r="A744" s="3"/>
      <c r="F744" s="3"/>
    </row>
    <row r="745" spans="1:6" ht="12" customHeight="1">
      <c r="A745" s="3"/>
      <c r="F745" s="3"/>
    </row>
    <row r="746" spans="1:6" ht="12" customHeight="1">
      <c r="A746" s="3"/>
      <c r="F746" s="3"/>
    </row>
    <row r="747" spans="1:6" ht="12" customHeight="1">
      <c r="A747" s="3"/>
      <c r="F747" s="3"/>
    </row>
    <row r="748" spans="1:6" ht="12" customHeight="1">
      <c r="A748" s="3"/>
      <c r="F748" s="3"/>
    </row>
    <row r="749" spans="1:6" ht="12" customHeight="1">
      <c r="A749" s="3"/>
      <c r="F749" s="3"/>
    </row>
    <row r="750" spans="1:6" ht="12" customHeight="1">
      <c r="A750" s="3"/>
      <c r="F750" s="3"/>
    </row>
    <row r="751" spans="1:6" ht="12" customHeight="1">
      <c r="A751" s="3"/>
      <c r="F751" s="3"/>
    </row>
    <row r="752" spans="1:6" ht="12" customHeight="1">
      <c r="A752" s="3"/>
      <c r="F752" s="3"/>
    </row>
    <row r="753" spans="1:6" ht="12" customHeight="1">
      <c r="A753" s="3"/>
      <c r="F753" s="3"/>
    </row>
    <row r="754" spans="1:6" ht="12" customHeight="1">
      <c r="A754" s="3"/>
      <c r="F754" s="3"/>
    </row>
    <row r="755" spans="1:6" ht="12" customHeight="1">
      <c r="A755" s="3"/>
      <c r="F755" s="3"/>
    </row>
    <row r="756" spans="1:6" ht="12" customHeight="1">
      <c r="A756" s="3"/>
      <c r="F756" s="3"/>
    </row>
    <row r="757" spans="1:6" ht="12" customHeight="1">
      <c r="A757" s="3"/>
      <c r="F757" s="3"/>
    </row>
    <row r="758" spans="1:6" ht="12" customHeight="1">
      <c r="A758" s="3"/>
      <c r="F758" s="3"/>
    </row>
    <row r="759" spans="1:6" ht="12" customHeight="1">
      <c r="A759" s="3"/>
      <c r="F759" s="3"/>
    </row>
    <row r="760" spans="1:6" ht="12" customHeight="1">
      <c r="A760" s="3"/>
      <c r="F760" s="3"/>
    </row>
    <row r="761" spans="1:6" ht="12" customHeight="1">
      <c r="A761" s="3"/>
      <c r="F761" s="3"/>
    </row>
    <row r="762" spans="1:6" ht="12" customHeight="1">
      <c r="A762" s="3"/>
      <c r="F762" s="3"/>
    </row>
    <row r="763" spans="1:6" ht="12" customHeight="1">
      <c r="A763" s="3"/>
      <c r="F763" s="3"/>
    </row>
    <row r="764" spans="1:6" ht="12" customHeight="1">
      <c r="A764" s="3"/>
      <c r="F764" s="3"/>
    </row>
    <row r="765" spans="1:6" ht="12" customHeight="1">
      <c r="A765" s="3"/>
      <c r="F765" s="3"/>
    </row>
    <row r="766" spans="1:6" ht="12" customHeight="1">
      <c r="A766" s="3"/>
      <c r="F766" s="3"/>
    </row>
    <row r="767" spans="1:6" ht="12" customHeight="1">
      <c r="A767" s="3"/>
      <c r="F767" s="3"/>
    </row>
    <row r="768" spans="1:6" ht="12" customHeight="1">
      <c r="A768" s="3"/>
      <c r="F768" s="3"/>
    </row>
    <row r="769" spans="1:6" ht="12" customHeight="1">
      <c r="A769" s="3"/>
      <c r="F769" s="3"/>
    </row>
    <row r="770" spans="1:6" ht="12" customHeight="1">
      <c r="A770" s="3"/>
      <c r="F770" s="3"/>
    </row>
    <row r="771" spans="1:6" ht="12" customHeight="1">
      <c r="A771" s="3"/>
      <c r="F771" s="3"/>
    </row>
    <row r="772" spans="1:6" ht="12" customHeight="1">
      <c r="A772" s="3"/>
      <c r="F772" s="3"/>
    </row>
    <row r="773" spans="1:6" ht="12" customHeight="1">
      <c r="A773" s="3"/>
      <c r="F773" s="3"/>
    </row>
    <row r="774" spans="1:6" ht="12" customHeight="1">
      <c r="A774" s="3"/>
      <c r="F774" s="3"/>
    </row>
    <row r="775" spans="1:6" ht="12" customHeight="1">
      <c r="A775" s="3"/>
      <c r="F775" s="3"/>
    </row>
    <row r="776" spans="1:6" ht="12" customHeight="1">
      <c r="A776" s="3"/>
      <c r="F776" s="3"/>
    </row>
    <row r="777" spans="1:6" ht="12" customHeight="1">
      <c r="A777" s="3"/>
      <c r="F777" s="3"/>
    </row>
    <row r="778" spans="1:6" ht="12" customHeight="1">
      <c r="A778" s="3"/>
      <c r="F778" s="3"/>
    </row>
    <row r="779" spans="1:6" ht="12" customHeight="1">
      <c r="A779" s="3"/>
      <c r="F779" s="3"/>
    </row>
    <row r="780" spans="1:6" ht="12" customHeight="1">
      <c r="A780" s="3"/>
      <c r="F780" s="3"/>
    </row>
    <row r="781" spans="1:6" ht="12" customHeight="1">
      <c r="A781" s="3"/>
      <c r="F781" s="3"/>
    </row>
    <row r="782" spans="1:6" ht="12" customHeight="1">
      <c r="A782" s="3"/>
      <c r="F782" s="3"/>
    </row>
    <row r="783" spans="1:6" ht="12" customHeight="1">
      <c r="A783" s="3"/>
      <c r="F783" s="3"/>
    </row>
    <row r="784" spans="1:6" ht="12" customHeight="1">
      <c r="A784" s="3"/>
      <c r="F784" s="3"/>
    </row>
    <row r="785" spans="1:6" ht="12" customHeight="1">
      <c r="A785" s="3"/>
      <c r="F785" s="3"/>
    </row>
    <row r="786" spans="1:6" ht="12" customHeight="1">
      <c r="A786" s="3"/>
      <c r="F786" s="3"/>
    </row>
    <row r="787" spans="1:6" ht="12" customHeight="1">
      <c r="A787" s="3"/>
      <c r="F787" s="3"/>
    </row>
    <row r="788" spans="1:6" ht="12" customHeight="1">
      <c r="A788" s="3"/>
      <c r="F788" s="3"/>
    </row>
    <row r="789" spans="1:6" ht="12" customHeight="1">
      <c r="A789" s="3"/>
      <c r="F789" s="3"/>
    </row>
    <row r="790" spans="1:6" ht="12" customHeight="1">
      <c r="A790" s="3"/>
      <c r="F790" s="3"/>
    </row>
    <row r="791" spans="1:6" ht="12" customHeight="1">
      <c r="A791" s="3"/>
      <c r="F791" s="3"/>
    </row>
    <row r="792" spans="1:6" ht="12" customHeight="1">
      <c r="A792" s="3"/>
      <c r="F792" s="3"/>
    </row>
    <row r="793" spans="1:6" ht="12" customHeight="1">
      <c r="A793" s="3"/>
      <c r="F793" s="3"/>
    </row>
    <row r="794" spans="1:6" ht="12" customHeight="1">
      <c r="A794" s="3"/>
      <c r="F794" s="3"/>
    </row>
    <row r="795" spans="1:6" ht="12" customHeight="1">
      <c r="A795" s="3"/>
      <c r="F795" s="3"/>
    </row>
    <row r="796" spans="1:6" ht="12" customHeight="1">
      <c r="A796" s="3"/>
      <c r="F796" s="3"/>
    </row>
    <row r="797" spans="1:6" ht="12" customHeight="1">
      <c r="A797" s="3"/>
      <c r="F797" s="3"/>
    </row>
    <row r="798" spans="1:6" ht="12" customHeight="1">
      <c r="A798" s="3"/>
      <c r="F798" s="3"/>
    </row>
    <row r="799" spans="1:6" ht="12" customHeight="1">
      <c r="A799" s="3"/>
      <c r="F799" s="3"/>
    </row>
    <row r="800" spans="1:6" ht="12" customHeight="1">
      <c r="A800" s="3"/>
      <c r="F800" s="3"/>
    </row>
    <row r="801" spans="1:6" ht="12" customHeight="1">
      <c r="A801" s="3"/>
      <c r="F801" s="3"/>
    </row>
    <row r="802" spans="1:6" ht="12" customHeight="1">
      <c r="A802" s="3"/>
      <c r="F802" s="3"/>
    </row>
    <row r="803" spans="1:6" ht="12" customHeight="1">
      <c r="A803" s="3"/>
      <c r="F803" s="3"/>
    </row>
    <row r="804" spans="1:6" ht="12" customHeight="1">
      <c r="A804" s="3"/>
      <c r="F804" s="3"/>
    </row>
    <row r="805" spans="1:6" ht="12" customHeight="1">
      <c r="A805" s="3"/>
      <c r="F805" s="3"/>
    </row>
    <row r="806" spans="1:6" ht="12" customHeight="1">
      <c r="A806" s="3"/>
      <c r="F806" s="3"/>
    </row>
    <row r="807" spans="1:6" ht="12" customHeight="1">
      <c r="A807" s="3"/>
      <c r="F807" s="3"/>
    </row>
    <row r="808" spans="1:6" ht="12" customHeight="1">
      <c r="A808" s="3"/>
      <c r="F808" s="3"/>
    </row>
    <row r="809" spans="1:6" ht="12" customHeight="1">
      <c r="A809" s="3"/>
      <c r="F809" s="3"/>
    </row>
    <row r="810" spans="1:6" ht="12" customHeight="1">
      <c r="A810" s="3"/>
      <c r="F810" s="3"/>
    </row>
    <row r="811" spans="1:6" ht="12" customHeight="1">
      <c r="A811" s="3"/>
      <c r="F811" s="3"/>
    </row>
    <row r="812" spans="1:6" ht="12" customHeight="1">
      <c r="A812" s="3"/>
      <c r="F812" s="3"/>
    </row>
    <row r="813" spans="1:6" ht="12" customHeight="1">
      <c r="A813" s="3"/>
      <c r="F813" s="3"/>
    </row>
    <row r="814" spans="1:6" ht="12" customHeight="1">
      <c r="A814" s="3"/>
      <c r="F814" s="3"/>
    </row>
    <row r="815" spans="1:6" ht="12" customHeight="1">
      <c r="A815" s="3"/>
      <c r="F815" s="3"/>
    </row>
    <row r="816" spans="1:6" ht="12" customHeight="1">
      <c r="A816" s="3"/>
      <c r="F816" s="3"/>
    </row>
    <row r="817" spans="1:6" ht="12" customHeight="1">
      <c r="A817" s="3"/>
      <c r="F817" s="3"/>
    </row>
    <row r="818" spans="1:6" ht="12" customHeight="1">
      <c r="A818" s="3"/>
      <c r="F818" s="3"/>
    </row>
    <row r="819" spans="1:6" ht="12" customHeight="1">
      <c r="A819" s="3"/>
      <c r="F819" s="3"/>
    </row>
    <row r="820" spans="1:6" ht="12" customHeight="1">
      <c r="A820" s="3"/>
      <c r="F820" s="3"/>
    </row>
    <row r="821" spans="1:6" ht="12" customHeight="1">
      <c r="A821" s="3"/>
      <c r="F821" s="3"/>
    </row>
    <row r="822" spans="1:6" ht="12" customHeight="1">
      <c r="A822" s="3"/>
      <c r="F822" s="3"/>
    </row>
    <row r="823" spans="1:6" ht="12" customHeight="1">
      <c r="A823" s="3"/>
      <c r="F823" s="3"/>
    </row>
    <row r="824" spans="1:6" ht="12" customHeight="1">
      <c r="A824" s="3"/>
      <c r="F824" s="3"/>
    </row>
    <row r="825" spans="1:6" ht="12" customHeight="1">
      <c r="A825" s="3"/>
      <c r="F825" s="3"/>
    </row>
    <row r="826" spans="1:6" ht="12" customHeight="1">
      <c r="A826" s="3"/>
      <c r="F826" s="3"/>
    </row>
    <row r="827" spans="1:6" ht="12" customHeight="1">
      <c r="A827" s="3"/>
      <c r="F827" s="3"/>
    </row>
    <row r="828" spans="1:6" ht="12" customHeight="1">
      <c r="A828" s="3"/>
      <c r="F828" s="3"/>
    </row>
    <row r="829" spans="1:6" ht="12" customHeight="1">
      <c r="A829" s="3"/>
      <c r="F829" s="3"/>
    </row>
    <row r="830" spans="1:6" ht="12" customHeight="1">
      <c r="A830" s="3"/>
      <c r="F830" s="3"/>
    </row>
    <row r="831" spans="1:6" ht="12" customHeight="1">
      <c r="A831" s="3"/>
      <c r="F831" s="3"/>
    </row>
    <row r="832" spans="1:6" ht="12" customHeight="1">
      <c r="A832" s="3"/>
      <c r="F832" s="3"/>
    </row>
    <row r="833" spans="1:6" ht="12" customHeight="1">
      <c r="A833" s="3"/>
      <c r="F833" s="3"/>
    </row>
    <row r="834" spans="1:6" ht="12" customHeight="1">
      <c r="A834" s="3"/>
      <c r="F834" s="3"/>
    </row>
    <row r="835" spans="1:6" ht="12" customHeight="1">
      <c r="A835" s="3"/>
      <c r="F835" s="3"/>
    </row>
    <row r="836" spans="1:6" ht="12" customHeight="1">
      <c r="A836" s="3"/>
      <c r="F836" s="3"/>
    </row>
    <row r="837" spans="1:6" ht="12" customHeight="1">
      <c r="A837" s="3"/>
      <c r="F837" s="3"/>
    </row>
    <row r="838" spans="1:6" ht="12" customHeight="1">
      <c r="A838" s="3"/>
      <c r="F838" s="3"/>
    </row>
    <row r="839" spans="1:6" ht="12" customHeight="1">
      <c r="A839" s="3"/>
      <c r="F839" s="3"/>
    </row>
    <row r="840" spans="1:6" ht="12" customHeight="1">
      <c r="A840" s="3"/>
      <c r="F840" s="3"/>
    </row>
    <row r="841" spans="1:6" ht="12" customHeight="1">
      <c r="A841" s="3"/>
      <c r="F841" s="3"/>
    </row>
    <row r="842" spans="1:6" ht="12" customHeight="1">
      <c r="A842" s="3"/>
      <c r="F842" s="3"/>
    </row>
    <row r="843" spans="1:6" ht="12" customHeight="1">
      <c r="A843" s="3"/>
      <c r="F843" s="3"/>
    </row>
    <row r="844" spans="1:6" ht="12" customHeight="1">
      <c r="A844" s="3"/>
      <c r="F844" s="3"/>
    </row>
    <row r="845" spans="1:6" ht="12" customHeight="1">
      <c r="A845" s="3"/>
      <c r="F845" s="3"/>
    </row>
    <row r="846" spans="1:6" ht="12" customHeight="1">
      <c r="A846" s="3"/>
      <c r="F846" s="3"/>
    </row>
    <row r="847" spans="1:6" ht="12" customHeight="1">
      <c r="A847" s="3"/>
      <c r="F847" s="3"/>
    </row>
    <row r="848" spans="1:6" ht="12" customHeight="1">
      <c r="A848" s="3"/>
      <c r="F848" s="3"/>
    </row>
    <row r="849" spans="1:6" ht="12" customHeight="1">
      <c r="A849" s="3"/>
      <c r="F849" s="3"/>
    </row>
    <row r="850" spans="1:6" ht="12" customHeight="1">
      <c r="A850" s="3"/>
      <c r="F850" s="3"/>
    </row>
    <row r="851" spans="1:6" ht="12" customHeight="1">
      <c r="A851" s="3"/>
      <c r="F851" s="3"/>
    </row>
    <row r="852" spans="1:6" ht="12" customHeight="1">
      <c r="A852" s="3"/>
      <c r="F852" s="3"/>
    </row>
    <row r="853" spans="1:6" ht="12" customHeight="1">
      <c r="A853" s="3"/>
      <c r="F853" s="3"/>
    </row>
    <row r="854" spans="1:6" ht="12" customHeight="1">
      <c r="A854" s="3"/>
      <c r="F854" s="3"/>
    </row>
    <row r="855" spans="1:6" ht="12" customHeight="1">
      <c r="A855" s="3"/>
      <c r="F855" s="3"/>
    </row>
    <row r="856" spans="1:6" ht="12" customHeight="1">
      <c r="A856" s="3"/>
      <c r="F856" s="3"/>
    </row>
    <row r="857" spans="1:6" ht="12" customHeight="1">
      <c r="A857" s="3"/>
      <c r="F857" s="3"/>
    </row>
    <row r="858" spans="1:6" ht="12" customHeight="1">
      <c r="A858" s="3"/>
      <c r="F858" s="3"/>
    </row>
    <row r="859" spans="1:6" ht="12" customHeight="1">
      <c r="A859" s="3"/>
      <c r="F859" s="3"/>
    </row>
    <row r="860" spans="1:6" ht="12" customHeight="1">
      <c r="A860" s="3"/>
      <c r="F860" s="3"/>
    </row>
    <row r="861" spans="1:6" ht="12" customHeight="1">
      <c r="A861" s="3"/>
      <c r="F861" s="3"/>
    </row>
    <row r="862" spans="1:6" ht="12" customHeight="1">
      <c r="A862" s="3"/>
      <c r="F862" s="3"/>
    </row>
    <row r="863" spans="1:6" ht="12" customHeight="1">
      <c r="A863" s="3"/>
      <c r="F863" s="3"/>
    </row>
    <row r="864" spans="1:6" ht="12" customHeight="1">
      <c r="A864" s="3"/>
      <c r="F864" s="3"/>
    </row>
    <row r="865" spans="1:6" ht="12" customHeight="1">
      <c r="A865" s="3"/>
      <c r="F865" s="3"/>
    </row>
    <row r="866" spans="1:6" ht="12" customHeight="1">
      <c r="A866" s="3"/>
      <c r="F866" s="3"/>
    </row>
    <row r="867" spans="1:6" ht="12" customHeight="1">
      <c r="A867" s="3"/>
      <c r="F867" s="3"/>
    </row>
    <row r="868" spans="1:6" ht="12" customHeight="1">
      <c r="A868" s="3"/>
      <c r="F868" s="3"/>
    </row>
    <row r="869" spans="1:6" ht="12" customHeight="1">
      <c r="A869" s="3"/>
      <c r="F869" s="3"/>
    </row>
    <row r="870" spans="1:6" ht="12" customHeight="1">
      <c r="A870" s="3"/>
      <c r="F870" s="3"/>
    </row>
    <row r="871" spans="1:6" ht="12" customHeight="1">
      <c r="A871" s="3"/>
      <c r="F871" s="3"/>
    </row>
    <row r="872" spans="1:6" ht="12" customHeight="1">
      <c r="A872" s="3"/>
      <c r="F872" s="3"/>
    </row>
    <row r="873" spans="1:6" ht="12" customHeight="1">
      <c r="A873" s="3"/>
      <c r="F873" s="3"/>
    </row>
    <row r="874" spans="1:6" ht="12" customHeight="1">
      <c r="A874" s="3"/>
      <c r="F874" s="3"/>
    </row>
    <row r="875" spans="1:6" ht="12" customHeight="1">
      <c r="A875" s="3"/>
      <c r="F875" s="3"/>
    </row>
    <row r="876" spans="1:6" ht="12" customHeight="1">
      <c r="A876" s="3"/>
      <c r="F876" s="3"/>
    </row>
    <row r="877" spans="1:6" ht="12" customHeight="1">
      <c r="A877" s="3"/>
      <c r="F877" s="3"/>
    </row>
    <row r="878" spans="1:6" ht="12" customHeight="1">
      <c r="A878" s="3"/>
      <c r="F878" s="3"/>
    </row>
    <row r="879" spans="1:6" ht="12" customHeight="1">
      <c r="A879" s="3"/>
      <c r="F879" s="3"/>
    </row>
    <row r="880" spans="1:6" ht="12" customHeight="1">
      <c r="A880" s="3"/>
      <c r="F880" s="3"/>
    </row>
    <row r="881" spans="1:6" ht="12" customHeight="1">
      <c r="A881" s="3"/>
      <c r="F881" s="3"/>
    </row>
    <row r="882" spans="1:6" ht="12" customHeight="1">
      <c r="A882" s="3"/>
      <c r="F882" s="3"/>
    </row>
    <row r="883" spans="1:6" ht="12" customHeight="1">
      <c r="A883" s="3"/>
      <c r="F883" s="3"/>
    </row>
    <row r="884" spans="1:6" ht="12" customHeight="1">
      <c r="A884" s="3"/>
      <c r="F884" s="3"/>
    </row>
    <row r="885" spans="1:6" ht="12" customHeight="1">
      <c r="A885" s="3"/>
      <c r="F885" s="3"/>
    </row>
    <row r="886" spans="1:6" ht="12" customHeight="1">
      <c r="A886" s="3"/>
      <c r="F886" s="3"/>
    </row>
    <row r="887" spans="1:6" ht="12" customHeight="1">
      <c r="A887" s="3"/>
      <c r="F887" s="3"/>
    </row>
    <row r="888" spans="1:6" ht="12" customHeight="1">
      <c r="A888" s="3"/>
      <c r="F888" s="3"/>
    </row>
    <row r="889" spans="1:6" ht="12" customHeight="1">
      <c r="A889" s="3"/>
      <c r="F889" s="3"/>
    </row>
    <row r="890" spans="1:6" ht="12" customHeight="1">
      <c r="A890" s="3"/>
      <c r="F890" s="3"/>
    </row>
    <row r="891" spans="1:6" ht="12" customHeight="1">
      <c r="A891" s="3"/>
      <c r="F891" s="3"/>
    </row>
    <row r="892" spans="1:6" ht="12" customHeight="1">
      <c r="A892" s="3"/>
      <c r="F892" s="3"/>
    </row>
    <row r="893" spans="1:6" ht="12" customHeight="1">
      <c r="A893" s="3"/>
      <c r="F893" s="3"/>
    </row>
    <row r="894" spans="1:6" ht="12" customHeight="1">
      <c r="A894" s="3"/>
      <c r="F894" s="3"/>
    </row>
    <row r="895" spans="1:6" ht="12" customHeight="1">
      <c r="A895" s="3"/>
      <c r="F895" s="3"/>
    </row>
    <row r="896" spans="1:6" ht="12" customHeight="1">
      <c r="A896" s="3"/>
      <c r="F896" s="3"/>
    </row>
    <row r="897" spans="1:6" ht="12" customHeight="1">
      <c r="A897" s="3"/>
      <c r="F897" s="3"/>
    </row>
    <row r="898" spans="1:6" ht="12" customHeight="1">
      <c r="A898" s="3"/>
      <c r="F898" s="3"/>
    </row>
    <row r="899" spans="1:6" ht="12" customHeight="1">
      <c r="A899" s="3"/>
      <c r="F899" s="3"/>
    </row>
    <row r="900" spans="1:6" ht="12" customHeight="1">
      <c r="A900" s="3"/>
      <c r="F900" s="3"/>
    </row>
    <row r="901" spans="1:6" ht="12" customHeight="1">
      <c r="A901" s="3"/>
      <c r="F901" s="3"/>
    </row>
    <row r="902" spans="1:6" ht="12" customHeight="1">
      <c r="A902" s="3"/>
      <c r="F902" s="3"/>
    </row>
    <row r="903" spans="1:6" ht="12" customHeight="1">
      <c r="A903" s="3"/>
      <c r="F903" s="3"/>
    </row>
    <row r="904" spans="1:6" ht="12" customHeight="1">
      <c r="A904" s="3"/>
      <c r="F904" s="3"/>
    </row>
    <row r="905" spans="1:6" ht="12" customHeight="1">
      <c r="A905" s="3"/>
      <c r="F905" s="3"/>
    </row>
    <row r="906" spans="1:6" ht="12" customHeight="1">
      <c r="A906" s="3"/>
      <c r="F906" s="3"/>
    </row>
    <row r="907" spans="1:6" ht="12" customHeight="1">
      <c r="A907" s="3"/>
      <c r="F907" s="3"/>
    </row>
    <row r="908" spans="1:6" ht="12" customHeight="1">
      <c r="A908" s="3"/>
      <c r="F908" s="3"/>
    </row>
    <row r="909" spans="1:6" ht="12" customHeight="1">
      <c r="A909" s="3"/>
      <c r="F909" s="3"/>
    </row>
    <row r="910" spans="1:6" ht="12" customHeight="1">
      <c r="A910" s="3"/>
      <c r="F910" s="3"/>
    </row>
    <row r="911" spans="1:6" ht="12" customHeight="1">
      <c r="A911" s="3"/>
      <c r="F911" s="3"/>
    </row>
    <row r="912" spans="1:6" ht="12" customHeight="1">
      <c r="A912" s="3"/>
      <c r="F912" s="3"/>
    </row>
    <row r="913" spans="1:6" ht="12" customHeight="1">
      <c r="A913" s="3"/>
      <c r="F913" s="3"/>
    </row>
    <row r="914" spans="1:6" ht="12" customHeight="1">
      <c r="A914" s="3"/>
      <c r="F914" s="3"/>
    </row>
    <row r="915" spans="1:6" ht="12" customHeight="1">
      <c r="A915" s="3"/>
      <c r="F915" s="3"/>
    </row>
    <row r="916" spans="1:6" ht="12" customHeight="1">
      <c r="A916" s="3"/>
      <c r="F916" s="3"/>
    </row>
    <row r="917" spans="1:6" ht="12" customHeight="1">
      <c r="A917" s="3"/>
      <c r="F917" s="3"/>
    </row>
    <row r="918" spans="1:6" ht="12" customHeight="1">
      <c r="A918" s="3"/>
      <c r="F918" s="3"/>
    </row>
    <row r="919" spans="1:6" ht="12" customHeight="1">
      <c r="A919" s="3"/>
      <c r="F919" s="3"/>
    </row>
    <row r="920" spans="1:6" ht="12" customHeight="1">
      <c r="A920" s="3"/>
      <c r="F920" s="3"/>
    </row>
    <row r="921" spans="1:6" ht="12" customHeight="1">
      <c r="A921" s="3"/>
      <c r="F921" s="3"/>
    </row>
    <row r="922" spans="1:6" ht="12" customHeight="1">
      <c r="A922" s="3"/>
      <c r="F922" s="3"/>
    </row>
    <row r="923" spans="1:6" ht="12" customHeight="1">
      <c r="A923" s="3"/>
      <c r="F923" s="3"/>
    </row>
    <row r="924" spans="1:6" ht="12" customHeight="1">
      <c r="A924" s="3"/>
      <c r="F924" s="3"/>
    </row>
    <row r="925" spans="1:6" ht="12" customHeight="1">
      <c r="A925" s="3"/>
      <c r="F925" s="3"/>
    </row>
    <row r="926" spans="1:6" ht="12" customHeight="1">
      <c r="A926" s="3"/>
      <c r="F926" s="3"/>
    </row>
    <row r="927" spans="1:6" ht="12" customHeight="1">
      <c r="A927" s="3"/>
      <c r="F927" s="3"/>
    </row>
    <row r="928" spans="1:6" ht="12" customHeight="1">
      <c r="A928" s="3"/>
      <c r="F928" s="3"/>
    </row>
    <row r="929" spans="1:6" ht="12" customHeight="1">
      <c r="A929" s="3"/>
      <c r="F929" s="3"/>
    </row>
    <row r="930" spans="1:6" ht="12" customHeight="1">
      <c r="A930" s="3"/>
      <c r="F930" s="3"/>
    </row>
    <row r="931" spans="1:6" ht="12" customHeight="1">
      <c r="A931" s="3"/>
      <c r="F931" s="3"/>
    </row>
    <row r="932" spans="1:6" ht="12" customHeight="1">
      <c r="A932" s="3"/>
      <c r="F932" s="3"/>
    </row>
    <row r="933" spans="1:6" ht="12" customHeight="1">
      <c r="A933" s="3"/>
      <c r="F933" s="3"/>
    </row>
    <row r="934" spans="1:6" ht="12" customHeight="1">
      <c r="A934" s="3"/>
      <c r="F934" s="3"/>
    </row>
    <row r="935" spans="1:6" ht="12" customHeight="1">
      <c r="A935" s="3"/>
      <c r="F935" s="3"/>
    </row>
    <row r="936" spans="1:6" ht="12" customHeight="1">
      <c r="A936" s="3"/>
      <c r="F936" s="3"/>
    </row>
    <row r="937" spans="1:6" ht="12" customHeight="1">
      <c r="A937" s="3"/>
      <c r="F937" s="3"/>
    </row>
    <row r="938" spans="1:6" ht="12" customHeight="1">
      <c r="A938" s="3"/>
      <c r="F938" s="3"/>
    </row>
    <row r="939" spans="1:6" ht="12" customHeight="1">
      <c r="A939" s="3"/>
      <c r="F939" s="3"/>
    </row>
    <row r="940" spans="1:6" ht="12" customHeight="1">
      <c r="A940" s="3"/>
      <c r="F940" s="3"/>
    </row>
    <row r="941" spans="1:6" ht="12" customHeight="1">
      <c r="A941" s="3"/>
      <c r="F941" s="3"/>
    </row>
    <row r="942" spans="1:6" ht="12" customHeight="1">
      <c r="A942" s="3"/>
      <c r="F942" s="3"/>
    </row>
    <row r="943" spans="1:6" ht="12" customHeight="1">
      <c r="A943" s="3"/>
      <c r="F943" s="3"/>
    </row>
    <row r="944" spans="1:6" ht="12" customHeight="1">
      <c r="A944" s="3"/>
      <c r="F944" s="3"/>
    </row>
    <row r="945" spans="1:6" ht="12" customHeight="1">
      <c r="A945" s="3"/>
      <c r="F945" s="3"/>
    </row>
    <row r="946" spans="1:6" ht="12" customHeight="1">
      <c r="A946" s="3"/>
      <c r="F946" s="3"/>
    </row>
    <row r="947" spans="1:6" ht="12" customHeight="1">
      <c r="A947" s="3"/>
      <c r="F947" s="3"/>
    </row>
    <row r="948" spans="1:6" ht="12" customHeight="1">
      <c r="A948" s="3"/>
      <c r="F948" s="3"/>
    </row>
    <row r="949" spans="1:6" ht="12" customHeight="1">
      <c r="A949" s="3"/>
      <c r="F949" s="3"/>
    </row>
    <row r="950" spans="1:6" ht="12" customHeight="1">
      <c r="A950" s="3"/>
      <c r="F950" s="3"/>
    </row>
    <row r="951" spans="1:6" ht="12" customHeight="1">
      <c r="A951" s="3"/>
      <c r="F951" s="3"/>
    </row>
    <row r="952" spans="1:6" ht="12" customHeight="1">
      <c r="A952" s="3"/>
      <c r="F952" s="3"/>
    </row>
    <row r="953" spans="1:6" ht="12" customHeight="1">
      <c r="A953" s="3"/>
      <c r="F953" s="3"/>
    </row>
    <row r="954" spans="1:6" ht="12" customHeight="1">
      <c r="A954" s="3"/>
      <c r="F954" s="3"/>
    </row>
    <row r="955" spans="1:6" ht="12" customHeight="1">
      <c r="A955" s="3"/>
      <c r="F955" s="3"/>
    </row>
    <row r="956" spans="1:6" ht="12" customHeight="1">
      <c r="A956" s="3"/>
      <c r="F956" s="3"/>
    </row>
    <row r="957" spans="1:6" ht="12" customHeight="1">
      <c r="A957" s="3"/>
      <c r="F957" s="3"/>
    </row>
    <row r="958" spans="1:6" ht="12" customHeight="1">
      <c r="A958" s="3"/>
      <c r="F958" s="3"/>
    </row>
    <row r="959" spans="1:6" ht="12" customHeight="1">
      <c r="A959" s="3"/>
      <c r="F959" s="3"/>
    </row>
    <row r="960" spans="1:6" ht="12" customHeight="1">
      <c r="A960" s="3"/>
      <c r="F960" s="3"/>
    </row>
    <row r="961" spans="1:6" ht="12" customHeight="1">
      <c r="A961" s="3"/>
      <c r="F961" s="3"/>
    </row>
    <row r="962" spans="1:6" ht="12" customHeight="1">
      <c r="A962" s="3"/>
      <c r="F962" s="3"/>
    </row>
    <row r="963" spans="1:6" ht="12" customHeight="1">
      <c r="A963" s="3"/>
      <c r="F963" s="3"/>
    </row>
    <row r="964" spans="1:6" ht="12" customHeight="1">
      <c r="A964" s="3"/>
      <c r="F964" s="3"/>
    </row>
    <row r="965" spans="1:6" ht="12" customHeight="1">
      <c r="A965" s="3"/>
      <c r="F965" s="3"/>
    </row>
    <row r="966" spans="1:6" ht="12" customHeight="1">
      <c r="A966" s="3"/>
      <c r="F966" s="3"/>
    </row>
    <row r="967" spans="1:6" ht="12" customHeight="1">
      <c r="A967" s="3"/>
      <c r="F967" s="3"/>
    </row>
    <row r="968" spans="1:6" ht="12" customHeight="1">
      <c r="A968" s="3"/>
      <c r="F968" s="3"/>
    </row>
    <row r="969" spans="1:6" ht="12" customHeight="1">
      <c r="A969" s="3"/>
      <c r="F969" s="3"/>
    </row>
    <row r="970" spans="1:6" ht="12" customHeight="1">
      <c r="A970" s="3"/>
      <c r="F970" s="3"/>
    </row>
    <row r="971" spans="1:6" ht="12" customHeight="1">
      <c r="A971" s="3"/>
      <c r="F971" s="3"/>
    </row>
    <row r="972" spans="1:6" ht="12" customHeight="1">
      <c r="A972" s="3"/>
      <c r="F972" s="3"/>
    </row>
    <row r="973" spans="1:6" ht="12" customHeight="1">
      <c r="A973" s="3"/>
      <c r="F973" s="3"/>
    </row>
    <row r="974" spans="1:6" ht="12" customHeight="1">
      <c r="A974" s="3"/>
      <c r="F974" s="3"/>
    </row>
    <row r="975" spans="1:6" ht="12" customHeight="1">
      <c r="A975" s="3"/>
      <c r="F975" s="3"/>
    </row>
    <row r="976" spans="1:6" ht="12" customHeight="1">
      <c r="A976" s="3"/>
      <c r="F976" s="3"/>
    </row>
    <row r="977" spans="1:6" ht="12" customHeight="1">
      <c r="A977" s="3"/>
      <c r="F977" s="3"/>
    </row>
    <row r="978" spans="1:6" ht="12" customHeight="1">
      <c r="A978" s="3"/>
      <c r="F978" s="3"/>
    </row>
    <row r="979" spans="1:6" ht="12" customHeight="1">
      <c r="A979" s="3"/>
      <c r="F979" s="3"/>
    </row>
    <row r="980" spans="1:6" ht="12" customHeight="1">
      <c r="A980" s="3"/>
      <c r="F980" s="3"/>
    </row>
    <row r="981" spans="1:6" ht="12" customHeight="1">
      <c r="A981" s="3"/>
      <c r="F981" s="3"/>
    </row>
    <row r="982" spans="1:6" ht="12" customHeight="1">
      <c r="A982" s="3"/>
      <c r="F982" s="3"/>
    </row>
    <row r="983" spans="1:6" ht="12" customHeight="1">
      <c r="A983" s="3"/>
      <c r="F983" s="3"/>
    </row>
    <row r="984" spans="1:6" ht="12" customHeight="1">
      <c r="A984" s="3"/>
      <c r="F984" s="3"/>
    </row>
    <row r="985" spans="1:6" ht="12" customHeight="1">
      <c r="A985" s="3"/>
      <c r="F985" s="3"/>
    </row>
    <row r="986" spans="1:6" ht="12" customHeight="1">
      <c r="A986" s="3"/>
      <c r="F986" s="3"/>
    </row>
    <row r="987" spans="1:6" ht="12" customHeight="1">
      <c r="A987" s="3"/>
      <c r="F987" s="3"/>
    </row>
    <row r="988" spans="1:6" ht="12" customHeight="1">
      <c r="A988" s="3"/>
      <c r="F988" s="3"/>
    </row>
    <row r="989" spans="1:6" ht="12" customHeight="1">
      <c r="A989" s="3"/>
      <c r="F989" s="3"/>
    </row>
    <row r="990" spans="1:6" ht="12" customHeight="1">
      <c r="A990" s="3"/>
      <c r="F990" s="3"/>
    </row>
    <row r="991" spans="1:6" ht="12" customHeight="1">
      <c r="A991" s="3"/>
      <c r="F991" s="3"/>
    </row>
    <row r="992" spans="1:6" ht="12" customHeight="1">
      <c r="A992" s="3"/>
      <c r="F992" s="3"/>
    </row>
    <row r="993" spans="1:6" ht="12" customHeight="1">
      <c r="A993" s="3"/>
      <c r="F993" s="3"/>
    </row>
    <row r="994" spans="1:6" ht="12" customHeight="1">
      <c r="A994" s="3"/>
      <c r="F994" s="3"/>
    </row>
    <row r="995" spans="1:6" ht="12" customHeight="1">
      <c r="A995" s="3"/>
      <c r="F995" s="3"/>
    </row>
    <row r="996" spans="1:6" ht="12" customHeight="1">
      <c r="A996" s="3"/>
      <c r="F996" s="3"/>
    </row>
    <row r="997" spans="1:6" ht="12" customHeight="1">
      <c r="A997" s="3"/>
      <c r="F997" s="3"/>
    </row>
    <row r="998" spans="1:6" ht="12" customHeight="1">
      <c r="A998" s="3"/>
      <c r="F998" s="3"/>
    </row>
    <row r="999" spans="1:6" ht="12" customHeight="1">
      <c r="A999" s="3"/>
      <c r="F999" s="3"/>
    </row>
    <row r="1000" spans="1:6" ht="12" customHeight="1">
      <c r="A1000" s="3"/>
      <c r="F1000" s="3"/>
    </row>
  </sheetData>
  <autoFilter ref="A1:E1000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G2349"/>
  <sheetViews>
    <sheetView zoomScale="125" workbookViewId="0">
      <selection activeCell="E7" sqref="E7"/>
    </sheetView>
  </sheetViews>
  <sheetFormatPr baseColWidth="10" defaultColWidth="12.6640625" defaultRowHeight="15.75" customHeight="1"/>
  <cols>
    <col min="1" max="1" width="23.33203125" customWidth="1"/>
    <col min="2" max="2" width="10.6640625" customWidth="1"/>
    <col min="3" max="3" width="17.83203125" customWidth="1"/>
    <col min="4" max="4" width="15.5" customWidth="1"/>
    <col min="5" max="5" width="14.6640625" customWidth="1"/>
    <col min="6" max="6" width="16.6640625" customWidth="1"/>
    <col min="7" max="26" width="8.6640625" customWidth="1"/>
  </cols>
  <sheetData>
    <row r="1" spans="1:7" ht="12" customHeight="1">
      <c r="A1" s="1" t="s">
        <v>153</v>
      </c>
      <c r="B1" s="2" t="s">
        <v>154</v>
      </c>
      <c r="C1" s="1" t="s">
        <v>155</v>
      </c>
      <c r="D1" s="1" t="s">
        <v>156</v>
      </c>
      <c r="E1" s="1" t="s">
        <v>157</v>
      </c>
      <c r="F1" s="20" t="s">
        <v>3</v>
      </c>
      <c r="G1" s="20" t="s">
        <v>172</v>
      </c>
    </row>
    <row r="2" spans="1:7" ht="12" customHeight="1">
      <c r="A2" s="6">
        <v>44654</v>
      </c>
      <c r="B2" s="7">
        <v>142634985</v>
      </c>
      <c r="C2" s="3">
        <v>5540246188047</v>
      </c>
      <c r="D2" s="6">
        <v>44696</v>
      </c>
      <c r="E2" s="8">
        <v>116</v>
      </c>
      <c r="F2" s="23" t="str">
        <f>IFERROR(VLOOKUP(C2, 'Catégorie des articles'!$A:$D, 4, FALSE), "")</f>
        <v>EMBALLAGES</v>
      </c>
      <c r="G2">
        <f>YEAR(D2)*100 + MONTH(D2)</f>
        <v>202205</v>
      </c>
    </row>
    <row r="3" spans="1:7" ht="12" customHeight="1">
      <c r="A3" s="6">
        <v>44655</v>
      </c>
      <c r="B3" s="7">
        <v>142634989</v>
      </c>
      <c r="C3" s="3">
        <v>5540246174174</v>
      </c>
      <c r="D3" s="6">
        <v>44657</v>
      </c>
      <c r="E3" s="8">
        <v>47</v>
      </c>
      <c r="F3" s="23" t="str">
        <f>IFERROR(VLOOKUP(C3, 'Catégorie des articles'!$A:$D, 4, FALSE), "")</f>
        <v>CREMERIE</v>
      </c>
      <c r="G3">
        <f t="shared" ref="G3:G66" si="0">YEAR(D3)*100 + MONTH(D3)</f>
        <v>202204</v>
      </c>
    </row>
    <row r="4" spans="1:7" ht="12" customHeight="1">
      <c r="A4" s="6">
        <v>44655</v>
      </c>
      <c r="B4" s="7">
        <v>142634990</v>
      </c>
      <c r="C4" s="3">
        <v>5540246193316</v>
      </c>
      <c r="D4" s="6">
        <v>44658</v>
      </c>
      <c r="E4" s="8">
        <v>446</v>
      </c>
      <c r="F4" s="23" t="str">
        <f>IFERROR(VLOOKUP(C4, 'Catégorie des articles'!$A:$D, 4, FALSE), "")</f>
        <v>BOULANGERIE</v>
      </c>
      <c r="G4">
        <f t="shared" si="0"/>
        <v>202204</v>
      </c>
    </row>
    <row r="5" spans="1:7" ht="12" customHeight="1">
      <c r="A5" s="6">
        <v>44656</v>
      </c>
      <c r="B5" s="7">
        <v>142635006</v>
      </c>
      <c r="C5" s="3">
        <v>5540246192505</v>
      </c>
      <c r="D5" s="6">
        <v>44669</v>
      </c>
      <c r="E5" s="8">
        <v>18338</v>
      </c>
      <c r="F5" s="23" t="str">
        <f>IFERROR(VLOOKUP(C5, 'Catégorie des articles'!$A:$D, 4, FALSE), "")</f>
        <v>MIX LEGUMES</v>
      </c>
      <c r="G5">
        <f t="shared" si="0"/>
        <v>202204</v>
      </c>
    </row>
    <row r="6" spans="1:7" ht="12" customHeight="1">
      <c r="A6" s="6">
        <v>44656</v>
      </c>
      <c r="B6" s="7">
        <v>142635013</v>
      </c>
      <c r="C6" s="3">
        <v>5540246171933</v>
      </c>
      <c r="D6" s="6">
        <v>44658</v>
      </c>
      <c r="E6" s="8">
        <v>279</v>
      </c>
      <c r="F6" s="23" t="str">
        <f>IFERROR(VLOOKUP(C6, 'Catégorie des articles'!$A:$D, 4, FALSE), "")</f>
        <v>CREMERIE</v>
      </c>
      <c r="G6">
        <f t="shared" si="0"/>
        <v>202204</v>
      </c>
    </row>
    <row r="7" spans="1:7" ht="12" customHeight="1">
      <c r="A7" s="9">
        <v>44656</v>
      </c>
      <c r="B7" s="10">
        <v>142635013</v>
      </c>
      <c r="C7" s="3">
        <v>5540246172669</v>
      </c>
      <c r="D7" s="9">
        <v>44658</v>
      </c>
      <c r="E7" s="11">
        <v>140</v>
      </c>
      <c r="F7" s="23" t="str">
        <f>IFERROR(VLOOKUP(C7, 'Catégorie des articles'!$A:$D, 4, FALSE), "")</f>
        <v>CREMERIE</v>
      </c>
      <c r="G7">
        <f t="shared" si="0"/>
        <v>202204</v>
      </c>
    </row>
    <row r="8" spans="1:7" ht="12" customHeight="1">
      <c r="A8" s="9">
        <v>44656</v>
      </c>
      <c r="B8" s="10">
        <v>142635013</v>
      </c>
      <c r="C8" s="3">
        <v>5540246176294</v>
      </c>
      <c r="D8" s="9">
        <v>44658</v>
      </c>
      <c r="E8" s="11">
        <v>2228</v>
      </c>
      <c r="F8" s="23" t="str">
        <f>IFERROR(VLOOKUP(C8, 'Catégorie des articles'!$A:$D, 4, FALSE), "")</f>
        <v>CREMERIE</v>
      </c>
      <c r="G8">
        <f t="shared" si="0"/>
        <v>202204</v>
      </c>
    </row>
    <row r="9" spans="1:7" ht="12" customHeight="1">
      <c r="A9" s="6">
        <v>44656</v>
      </c>
      <c r="B9" s="7">
        <v>142635013</v>
      </c>
      <c r="C9" s="3">
        <v>5540246176295</v>
      </c>
      <c r="D9" s="6">
        <v>44658</v>
      </c>
      <c r="E9" s="8">
        <v>5568</v>
      </c>
      <c r="F9" s="23" t="str">
        <f>IFERROR(VLOOKUP(C9, 'Catégorie des articles'!$A:$D, 4, FALSE), "")</f>
        <v>CREMERIE</v>
      </c>
      <c r="G9">
        <f t="shared" si="0"/>
        <v>202204</v>
      </c>
    </row>
    <row r="10" spans="1:7" ht="12" customHeight="1">
      <c r="A10" s="9">
        <v>44656</v>
      </c>
      <c r="B10" s="10">
        <v>142635013</v>
      </c>
      <c r="C10" s="3">
        <v>5540246184808</v>
      </c>
      <c r="D10" s="9">
        <v>44658</v>
      </c>
      <c r="E10" s="11">
        <v>836</v>
      </c>
      <c r="F10" s="23" t="str">
        <f>IFERROR(VLOOKUP(C10, 'Catégorie des articles'!$A:$D, 4, FALSE), "")</f>
        <v>CREMERIE</v>
      </c>
      <c r="G10">
        <f t="shared" si="0"/>
        <v>202204</v>
      </c>
    </row>
    <row r="11" spans="1:7" ht="12" customHeight="1">
      <c r="A11" s="6">
        <v>44656</v>
      </c>
      <c r="B11" s="7">
        <v>142635013</v>
      </c>
      <c r="C11" s="3">
        <v>5540246187987</v>
      </c>
      <c r="D11" s="6">
        <v>44658</v>
      </c>
      <c r="E11" s="8">
        <v>1114</v>
      </c>
      <c r="F11" s="23" t="str">
        <f>IFERROR(VLOOKUP(C11, 'Catégorie des articles'!$A:$D, 4, FALSE), "")</f>
        <v>CREMERIE</v>
      </c>
      <c r="G11">
        <f t="shared" si="0"/>
        <v>202204</v>
      </c>
    </row>
    <row r="12" spans="1:7" ht="12" customHeight="1">
      <c r="A12" s="9">
        <v>44656</v>
      </c>
      <c r="B12" s="10">
        <v>142635013</v>
      </c>
      <c r="C12" s="3">
        <v>5540246188200</v>
      </c>
      <c r="D12" s="9">
        <v>44658</v>
      </c>
      <c r="E12" s="11">
        <v>372</v>
      </c>
      <c r="F12" s="23" t="str">
        <f>IFERROR(VLOOKUP(C12, 'Catégorie des articles'!$A:$D, 4, FALSE), "")</f>
        <v>CREMERIE</v>
      </c>
      <c r="G12">
        <f t="shared" si="0"/>
        <v>202204</v>
      </c>
    </row>
    <row r="13" spans="1:7" ht="12" customHeight="1">
      <c r="A13" s="9">
        <v>44656</v>
      </c>
      <c r="B13" s="10">
        <v>142635015</v>
      </c>
      <c r="C13" s="3">
        <v>5540246183589</v>
      </c>
      <c r="D13" s="9">
        <v>44665</v>
      </c>
      <c r="E13" s="11">
        <v>1300</v>
      </c>
      <c r="F13" s="23" t="str">
        <f>IFERROR(VLOOKUP(C13, 'Catégorie des articles'!$A:$D, 4, FALSE), "")</f>
        <v>MIX LEGUMES</v>
      </c>
      <c r="G13">
        <f t="shared" si="0"/>
        <v>202204</v>
      </c>
    </row>
    <row r="14" spans="1:7" ht="12" customHeight="1">
      <c r="A14" s="6">
        <v>44656</v>
      </c>
      <c r="B14" s="7">
        <v>142635018</v>
      </c>
      <c r="C14" s="3">
        <v>5540246191596</v>
      </c>
      <c r="D14" s="6">
        <v>44664</v>
      </c>
      <c r="E14" s="8">
        <v>75</v>
      </c>
      <c r="F14" s="23" t="str">
        <f>IFERROR(VLOOKUP(C14, 'Catégorie des articles'!$A:$D, 4, FALSE), "")</f>
        <v>BOULANGERIE</v>
      </c>
      <c r="G14">
        <f t="shared" si="0"/>
        <v>202204</v>
      </c>
    </row>
    <row r="15" spans="1:7" ht="12" customHeight="1">
      <c r="A15" s="6">
        <v>44656</v>
      </c>
      <c r="B15" s="7">
        <v>142635022</v>
      </c>
      <c r="C15" s="3">
        <v>5540246177132</v>
      </c>
      <c r="D15" s="6">
        <v>44661</v>
      </c>
      <c r="E15" s="8">
        <v>6032</v>
      </c>
      <c r="F15" s="23" t="str">
        <f>IFERROR(VLOOKUP(C15, 'Catégorie des articles'!$A:$D, 4, FALSE), "")</f>
        <v>MIX LEGUMES</v>
      </c>
      <c r="G15">
        <f t="shared" si="0"/>
        <v>202204</v>
      </c>
    </row>
    <row r="16" spans="1:7" ht="12" customHeight="1">
      <c r="A16" s="9">
        <v>44656</v>
      </c>
      <c r="B16" s="10">
        <v>142635022</v>
      </c>
      <c r="C16" s="3">
        <v>5540246177133</v>
      </c>
      <c r="D16" s="9">
        <v>44661</v>
      </c>
      <c r="E16" s="11">
        <v>3898</v>
      </c>
      <c r="F16" s="23" t="str">
        <f>IFERROR(VLOOKUP(C16, 'Catégorie des articles'!$A:$D, 4, FALSE), "")</f>
        <v>MIX LEGUMES</v>
      </c>
      <c r="G16">
        <f t="shared" si="0"/>
        <v>202204</v>
      </c>
    </row>
    <row r="17" spans="1:7" ht="12" customHeight="1">
      <c r="A17" s="6">
        <v>44656</v>
      </c>
      <c r="B17" s="7">
        <v>142635022</v>
      </c>
      <c r="C17" s="3">
        <v>5540246192518</v>
      </c>
      <c r="D17" s="6">
        <v>44661</v>
      </c>
      <c r="E17" s="8">
        <v>16704</v>
      </c>
      <c r="F17" s="23" t="str">
        <f>IFERROR(VLOOKUP(C17, 'Catégorie des articles'!$A:$D, 4, FALSE), "")</f>
        <v>MIX LEGUMES</v>
      </c>
      <c r="G17">
        <f t="shared" si="0"/>
        <v>202204</v>
      </c>
    </row>
    <row r="18" spans="1:7" ht="12" customHeight="1">
      <c r="A18" s="6">
        <v>44657</v>
      </c>
      <c r="B18" s="7">
        <v>142635028</v>
      </c>
      <c r="C18" s="3">
        <v>5540246191594</v>
      </c>
      <c r="D18" s="6">
        <v>44661</v>
      </c>
      <c r="E18" s="8">
        <v>279</v>
      </c>
      <c r="F18" s="23" t="str">
        <f>IFERROR(VLOOKUP(C18, 'Catégorie des articles'!$A:$D, 4, FALSE), "")</f>
        <v>CREMERIE</v>
      </c>
      <c r="G18">
        <f t="shared" si="0"/>
        <v>202204</v>
      </c>
    </row>
    <row r="19" spans="1:7" ht="12" customHeight="1">
      <c r="A19" s="9">
        <v>44657</v>
      </c>
      <c r="B19" s="10">
        <v>142635028</v>
      </c>
      <c r="C19" s="3">
        <v>5540246191598</v>
      </c>
      <c r="D19" s="9">
        <v>44661</v>
      </c>
      <c r="E19" s="11">
        <v>696</v>
      </c>
      <c r="F19" s="23" t="str">
        <f>IFERROR(VLOOKUP(C19, 'Catégorie des articles'!$A:$D, 4, FALSE), "")</f>
        <v>CREMERIE</v>
      </c>
      <c r="G19">
        <f t="shared" si="0"/>
        <v>202204</v>
      </c>
    </row>
    <row r="20" spans="1:7" ht="12" customHeight="1">
      <c r="A20" s="9">
        <v>44657</v>
      </c>
      <c r="B20" s="10">
        <v>142635028</v>
      </c>
      <c r="C20" s="3">
        <v>5540246192102</v>
      </c>
      <c r="D20" s="9">
        <v>44661</v>
      </c>
      <c r="E20" s="11">
        <v>4009</v>
      </c>
      <c r="F20" s="23" t="str">
        <f>IFERROR(VLOOKUP(C20, 'Catégorie des articles'!$A:$D, 4, FALSE), "")</f>
        <v>CREMERIE</v>
      </c>
      <c r="G20">
        <f t="shared" si="0"/>
        <v>202204</v>
      </c>
    </row>
    <row r="21" spans="1:7" ht="12" customHeight="1">
      <c r="A21" s="9">
        <v>44657</v>
      </c>
      <c r="B21" s="10">
        <v>142635033</v>
      </c>
      <c r="C21" s="3">
        <v>5540246175050</v>
      </c>
      <c r="D21" s="9">
        <v>44663</v>
      </c>
      <c r="E21" s="11">
        <v>279</v>
      </c>
      <c r="F21" s="23" t="str">
        <f>IFERROR(VLOOKUP(C21, 'Catégorie des articles'!$A:$D, 4, FALSE), "")</f>
        <v>CREMERIE</v>
      </c>
      <c r="G21">
        <f t="shared" si="0"/>
        <v>202204</v>
      </c>
    </row>
    <row r="22" spans="1:7" ht="12" customHeight="1">
      <c r="A22" s="9">
        <v>44657</v>
      </c>
      <c r="B22" s="10">
        <v>142635034</v>
      </c>
      <c r="C22" s="3">
        <v>5540246185429</v>
      </c>
      <c r="D22" s="9">
        <v>44661</v>
      </c>
      <c r="E22" s="11">
        <v>140</v>
      </c>
      <c r="F22" s="23" t="str">
        <f>IFERROR(VLOOKUP(C22, 'Catégorie des articles'!$A:$D, 4, FALSE), "")</f>
        <v>CREMERIE</v>
      </c>
      <c r="G22">
        <f t="shared" si="0"/>
        <v>202204</v>
      </c>
    </row>
    <row r="23" spans="1:7" ht="12" customHeight="1">
      <c r="A23" s="6">
        <v>44657</v>
      </c>
      <c r="B23" s="7">
        <v>142635034</v>
      </c>
      <c r="C23" s="3">
        <v>5540246185562</v>
      </c>
      <c r="D23" s="6">
        <v>44661</v>
      </c>
      <c r="E23" s="8">
        <v>279</v>
      </c>
      <c r="F23" s="23" t="str">
        <f>IFERROR(VLOOKUP(C23, 'Catégorie des articles'!$A:$D, 4, FALSE), "")</f>
        <v>CREMERIE</v>
      </c>
      <c r="G23">
        <f t="shared" si="0"/>
        <v>202204</v>
      </c>
    </row>
    <row r="24" spans="1:7" ht="12" customHeight="1">
      <c r="A24" s="9">
        <v>44657</v>
      </c>
      <c r="B24" s="10">
        <v>142635034</v>
      </c>
      <c r="C24" s="3">
        <v>5540246186325</v>
      </c>
      <c r="D24" s="9">
        <v>44661</v>
      </c>
      <c r="E24" s="11">
        <v>279</v>
      </c>
      <c r="F24" s="23" t="str">
        <f>IFERROR(VLOOKUP(C24, 'Catégorie des articles'!$A:$D, 4, FALSE), "")</f>
        <v>CREMERIE</v>
      </c>
      <c r="G24">
        <f t="shared" si="0"/>
        <v>202204</v>
      </c>
    </row>
    <row r="25" spans="1:7" ht="12" customHeight="1">
      <c r="A25" s="6">
        <v>44657</v>
      </c>
      <c r="B25" s="7">
        <v>142635039</v>
      </c>
      <c r="C25" s="3">
        <v>5540246193249</v>
      </c>
      <c r="D25" s="6">
        <v>44670</v>
      </c>
      <c r="E25" s="8">
        <v>1392</v>
      </c>
      <c r="F25" s="23" t="str">
        <f>IFERROR(VLOOKUP(C25, 'Catégorie des articles'!$A:$D, 4, FALSE), "")</f>
        <v>EMBALLAGES</v>
      </c>
      <c r="G25">
        <f t="shared" si="0"/>
        <v>202204</v>
      </c>
    </row>
    <row r="26" spans="1:7" ht="12" customHeight="1">
      <c r="A26" s="9">
        <v>44657</v>
      </c>
      <c r="B26" s="10">
        <v>142635040</v>
      </c>
      <c r="C26" s="3">
        <v>5540246187995</v>
      </c>
      <c r="D26" s="9">
        <v>44787</v>
      </c>
      <c r="E26" s="11">
        <v>2320</v>
      </c>
      <c r="F26" s="23" t="str">
        <f>IFERROR(VLOOKUP(C26, 'Catégorie des articles'!$A:$D, 4, FALSE), "")</f>
        <v>EMBALLAGES</v>
      </c>
      <c r="G26">
        <f t="shared" si="0"/>
        <v>202208</v>
      </c>
    </row>
    <row r="27" spans="1:7" ht="12" customHeight="1">
      <c r="A27" s="6">
        <v>44657</v>
      </c>
      <c r="B27" s="7">
        <v>142635044</v>
      </c>
      <c r="C27" s="3">
        <v>5540246183547</v>
      </c>
      <c r="D27" s="6">
        <v>44665</v>
      </c>
      <c r="E27" s="8">
        <v>11136</v>
      </c>
      <c r="F27" s="23" t="str">
        <f>IFERROR(VLOOKUP(C27, 'Catégorie des articles'!$A:$D, 4, FALSE), "")</f>
        <v>VOLAILLE</v>
      </c>
      <c r="G27">
        <f t="shared" si="0"/>
        <v>202204</v>
      </c>
    </row>
    <row r="28" spans="1:7" ht="12" customHeight="1">
      <c r="A28" s="6">
        <v>44658</v>
      </c>
      <c r="B28" s="7">
        <v>142645057</v>
      </c>
      <c r="C28" s="3">
        <v>5540246171933</v>
      </c>
      <c r="D28" s="6">
        <v>44662</v>
      </c>
      <c r="E28" s="8">
        <v>279</v>
      </c>
      <c r="F28" s="23" t="str">
        <f>IFERROR(VLOOKUP(C28, 'Catégorie des articles'!$A:$D, 4, FALSE), "")</f>
        <v>CREMERIE</v>
      </c>
      <c r="G28">
        <f t="shared" si="0"/>
        <v>202204</v>
      </c>
    </row>
    <row r="29" spans="1:7" ht="12" customHeight="1">
      <c r="A29" s="9">
        <v>44658</v>
      </c>
      <c r="B29" s="10">
        <v>142645057</v>
      </c>
      <c r="C29" s="3">
        <v>5540246174174</v>
      </c>
      <c r="D29" s="9">
        <v>44662</v>
      </c>
      <c r="E29" s="11">
        <v>58</v>
      </c>
      <c r="F29" s="23" t="str">
        <f>IFERROR(VLOOKUP(C29, 'Catégorie des articles'!$A:$D, 4, FALSE), "")</f>
        <v>CREMERIE</v>
      </c>
      <c r="G29">
        <f t="shared" si="0"/>
        <v>202204</v>
      </c>
    </row>
    <row r="30" spans="1:7" ht="12" customHeight="1">
      <c r="A30" s="6">
        <v>44658</v>
      </c>
      <c r="B30" s="7">
        <v>142645057</v>
      </c>
      <c r="C30" s="3">
        <v>5540246176294</v>
      </c>
      <c r="D30" s="6">
        <v>44662</v>
      </c>
      <c r="E30" s="8">
        <v>1485</v>
      </c>
      <c r="F30" s="23" t="str">
        <f>IFERROR(VLOOKUP(C30, 'Catégorie des articles'!$A:$D, 4, FALSE), "")</f>
        <v>CREMERIE</v>
      </c>
      <c r="G30">
        <f t="shared" si="0"/>
        <v>202204</v>
      </c>
    </row>
    <row r="31" spans="1:7" ht="12" customHeight="1">
      <c r="A31" s="9">
        <v>44658</v>
      </c>
      <c r="B31" s="10">
        <v>142645057</v>
      </c>
      <c r="C31" s="3">
        <v>5540246176295</v>
      </c>
      <c r="D31" s="9">
        <v>44662</v>
      </c>
      <c r="E31" s="11">
        <v>4455</v>
      </c>
      <c r="F31" s="23" t="str">
        <f>IFERROR(VLOOKUP(C31, 'Catégorie des articles'!$A:$D, 4, FALSE), "")</f>
        <v>CREMERIE</v>
      </c>
      <c r="G31">
        <f t="shared" si="0"/>
        <v>202204</v>
      </c>
    </row>
    <row r="32" spans="1:7" ht="12" customHeight="1">
      <c r="A32" s="6">
        <v>44658</v>
      </c>
      <c r="B32" s="7">
        <v>142645057</v>
      </c>
      <c r="C32" s="3">
        <v>5540246184808</v>
      </c>
      <c r="D32" s="6">
        <v>44662</v>
      </c>
      <c r="E32" s="8">
        <v>1044</v>
      </c>
      <c r="F32" s="23" t="str">
        <f>IFERROR(VLOOKUP(C32, 'Catégorie des articles'!$A:$D, 4, FALSE), "")</f>
        <v>CREMERIE</v>
      </c>
      <c r="G32">
        <f t="shared" si="0"/>
        <v>202204</v>
      </c>
    </row>
    <row r="33" spans="1:7" ht="12" customHeight="1">
      <c r="A33" s="6">
        <v>44658</v>
      </c>
      <c r="B33" s="7">
        <v>142645057</v>
      </c>
      <c r="C33" s="3">
        <v>5540246187987</v>
      </c>
      <c r="D33" s="6">
        <v>44662</v>
      </c>
      <c r="E33" s="8">
        <v>2228</v>
      </c>
      <c r="F33" s="23" t="str">
        <f>IFERROR(VLOOKUP(C33, 'Catégorie des articles'!$A:$D, 4, FALSE), "")</f>
        <v>CREMERIE</v>
      </c>
      <c r="G33">
        <f t="shared" si="0"/>
        <v>202204</v>
      </c>
    </row>
    <row r="34" spans="1:7" ht="12" customHeight="1">
      <c r="A34" s="9">
        <v>44658</v>
      </c>
      <c r="B34" s="10">
        <v>142645057</v>
      </c>
      <c r="C34" s="3">
        <v>5540246188200</v>
      </c>
      <c r="D34" s="9">
        <v>44662</v>
      </c>
      <c r="E34" s="11">
        <v>743</v>
      </c>
      <c r="F34" s="23" t="str">
        <f>IFERROR(VLOOKUP(C34, 'Catégorie des articles'!$A:$D, 4, FALSE), "")</f>
        <v>CREMERIE</v>
      </c>
      <c r="G34">
        <f t="shared" si="0"/>
        <v>202204</v>
      </c>
    </row>
    <row r="35" spans="1:7" ht="12" customHeight="1">
      <c r="A35" s="6">
        <v>44658</v>
      </c>
      <c r="B35" s="7">
        <v>142645060</v>
      </c>
      <c r="C35" s="3">
        <v>5540246173472</v>
      </c>
      <c r="D35" s="6">
        <v>44665</v>
      </c>
      <c r="E35" s="8">
        <v>140</v>
      </c>
      <c r="F35" s="23" t="str">
        <f>IFERROR(VLOOKUP(C35, 'Catégorie des articles'!$A:$D, 4, FALSE), "")</f>
        <v>CREMERIE</v>
      </c>
      <c r="G35">
        <f t="shared" si="0"/>
        <v>202204</v>
      </c>
    </row>
    <row r="36" spans="1:7" ht="12" customHeight="1">
      <c r="A36" s="9">
        <v>44658</v>
      </c>
      <c r="B36" s="10">
        <v>142645060</v>
      </c>
      <c r="C36" s="3">
        <v>5540246174095</v>
      </c>
      <c r="D36" s="9">
        <v>44665</v>
      </c>
      <c r="E36" s="11">
        <v>140</v>
      </c>
      <c r="F36" s="23" t="str">
        <f>IFERROR(VLOOKUP(C36, 'Catégorie des articles'!$A:$D, 4, FALSE), "")</f>
        <v>CREMERIE</v>
      </c>
      <c r="G36">
        <f t="shared" si="0"/>
        <v>202204</v>
      </c>
    </row>
    <row r="37" spans="1:7" ht="12" customHeight="1">
      <c r="A37" s="6">
        <v>44658</v>
      </c>
      <c r="B37" s="7">
        <v>142645060</v>
      </c>
      <c r="C37" s="3">
        <v>5540246175047</v>
      </c>
      <c r="D37" s="6">
        <v>44665</v>
      </c>
      <c r="E37" s="8">
        <v>209</v>
      </c>
      <c r="F37" s="23" t="str">
        <f>IFERROR(VLOOKUP(C37, 'Catégorie des articles'!$A:$D, 4, FALSE), "")</f>
        <v>CREMERIE</v>
      </c>
      <c r="G37">
        <f t="shared" si="0"/>
        <v>202204</v>
      </c>
    </row>
    <row r="38" spans="1:7" ht="12" customHeight="1">
      <c r="A38" s="9">
        <v>44658</v>
      </c>
      <c r="B38" s="10">
        <v>142645060</v>
      </c>
      <c r="C38" s="3">
        <v>5540246175050</v>
      </c>
      <c r="D38" s="9">
        <v>44665</v>
      </c>
      <c r="E38" s="11">
        <v>279</v>
      </c>
      <c r="F38" s="23" t="str">
        <f>IFERROR(VLOOKUP(C38, 'Catégorie des articles'!$A:$D, 4, FALSE), "")</f>
        <v>CREMERIE</v>
      </c>
      <c r="G38">
        <f t="shared" si="0"/>
        <v>202204</v>
      </c>
    </row>
    <row r="39" spans="1:7" ht="12" customHeight="1">
      <c r="A39" s="6">
        <v>44658</v>
      </c>
      <c r="B39" s="7">
        <v>142645078</v>
      </c>
      <c r="C39" s="3">
        <v>5540246186010</v>
      </c>
      <c r="D39" s="6">
        <v>44672</v>
      </c>
      <c r="E39" s="8">
        <v>42</v>
      </c>
      <c r="F39" s="23" t="str">
        <f>IFERROR(VLOOKUP(C39, 'Catégorie des articles'!$A:$D, 4, FALSE), "")</f>
        <v>EMBALLAGES</v>
      </c>
      <c r="G39">
        <f t="shared" si="0"/>
        <v>202204</v>
      </c>
    </row>
    <row r="40" spans="1:7" ht="12" customHeight="1">
      <c r="A40" s="9">
        <v>44658</v>
      </c>
      <c r="B40" s="10">
        <v>142645078</v>
      </c>
      <c r="C40" s="3">
        <v>5540246186011</v>
      </c>
      <c r="D40" s="9">
        <v>44672</v>
      </c>
      <c r="E40" s="11">
        <v>128</v>
      </c>
      <c r="F40" s="23" t="str">
        <f>IFERROR(VLOOKUP(C40, 'Catégorie des articles'!$A:$D, 4, FALSE), "")</f>
        <v>EMBALLAGES</v>
      </c>
      <c r="G40">
        <f t="shared" si="0"/>
        <v>202204</v>
      </c>
    </row>
    <row r="41" spans="1:7" ht="12" customHeight="1">
      <c r="A41" s="9">
        <v>44660</v>
      </c>
      <c r="B41" s="10">
        <v>142645084</v>
      </c>
      <c r="C41" s="3">
        <v>5540246188047</v>
      </c>
      <c r="D41" s="9">
        <v>44696</v>
      </c>
      <c r="E41" s="11">
        <v>116</v>
      </c>
      <c r="F41" s="23" t="str">
        <f>IFERROR(VLOOKUP(C41, 'Catégorie des articles'!$A:$D, 4, FALSE), "")</f>
        <v>EMBALLAGES</v>
      </c>
      <c r="G41">
        <f t="shared" si="0"/>
        <v>202205</v>
      </c>
    </row>
    <row r="42" spans="1:7" ht="12" customHeight="1">
      <c r="A42" s="9">
        <v>44661</v>
      </c>
      <c r="B42" s="10">
        <v>142645089</v>
      </c>
      <c r="C42" s="3">
        <v>5540246171933</v>
      </c>
      <c r="D42" s="9">
        <v>44663</v>
      </c>
      <c r="E42" s="11">
        <v>836</v>
      </c>
      <c r="F42" s="23" t="str">
        <f>IFERROR(VLOOKUP(C42, 'Catégorie des articles'!$A:$D, 4, FALSE), "")</f>
        <v>CREMERIE</v>
      </c>
      <c r="G42">
        <f t="shared" si="0"/>
        <v>202204</v>
      </c>
    </row>
    <row r="43" spans="1:7" ht="12" customHeight="1">
      <c r="A43" s="9">
        <v>44661</v>
      </c>
      <c r="B43" s="10">
        <v>142645089</v>
      </c>
      <c r="C43" s="3">
        <v>5540246176294</v>
      </c>
      <c r="D43" s="9">
        <v>44663</v>
      </c>
      <c r="E43" s="11">
        <v>1485</v>
      </c>
      <c r="F43" s="23" t="str">
        <f>IFERROR(VLOOKUP(C43, 'Catégorie des articles'!$A:$D, 4, FALSE), "")</f>
        <v>CREMERIE</v>
      </c>
      <c r="G43">
        <f t="shared" si="0"/>
        <v>202204</v>
      </c>
    </row>
    <row r="44" spans="1:7" ht="12" customHeight="1">
      <c r="A44" s="6">
        <v>44661</v>
      </c>
      <c r="B44" s="7">
        <v>142645089</v>
      </c>
      <c r="C44" s="3">
        <v>5540246176295</v>
      </c>
      <c r="D44" s="6">
        <v>44663</v>
      </c>
      <c r="E44" s="8">
        <v>4455</v>
      </c>
      <c r="F44" s="23" t="str">
        <f>IFERROR(VLOOKUP(C44, 'Catégorie des articles'!$A:$D, 4, FALSE), "")</f>
        <v>CREMERIE</v>
      </c>
      <c r="G44">
        <f t="shared" si="0"/>
        <v>202204</v>
      </c>
    </row>
    <row r="45" spans="1:7" ht="12" customHeight="1">
      <c r="A45" s="6">
        <v>44661</v>
      </c>
      <c r="B45" s="7">
        <v>142645089</v>
      </c>
      <c r="C45" s="3">
        <v>5540246184808</v>
      </c>
      <c r="D45" s="6">
        <v>44663</v>
      </c>
      <c r="E45" s="8">
        <v>1044</v>
      </c>
      <c r="F45" s="23" t="str">
        <f>IFERROR(VLOOKUP(C45, 'Catégorie des articles'!$A:$D, 4, FALSE), "")</f>
        <v>CREMERIE</v>
      </c>
      <c r="G45">
        <f t="shared" si="0"/>
        <v>202204</v>
      </c>
    </row>
    <row r="46" spans="1:7" ht="12" customHeight="1">
      <c r="A46" s="6">
        <v>44661</v>
      </c>
      <c r="B46" s="7">
        <v>142645089</v>
      </c>
      <c r="C46" s="3">
        <v>5540246187987</v>
      </c>
      <c r="D46" s="6">
        <v>44663</v>
      </c>
      <c r="E46" s="8">
        <v>2228</v>
      </c>
      <c r="F46" s="23" t="str">
        <f>IFERROR(VLOOKUP(C46, 'Catégorie des articles'!$A:$D, 4, FALSE), "")</f>
        <v>CREMERIE</v>
      </c>
      <c r="G46">
        <f t="shared" si="0"/>
        <v>202204</v>
      </c>
    </row>
    <row r="47" spans="1:7" ht="12" customHeight="1">
      <c r="A47" s="9">
        <v>44662</v>
      </c>
      <c r="B47" s="10">
        <v>142645120</v>
      </c>
      <c r="C47" s="3">
        <v>5540246173492</v>
      </c>
      <c r="D47" s="9">
        <v>44670</v>
      </c>
      <c r="E47" s="11">
        <v>4176</v>
      </c>
      <c r="F47" s="23" t="str">
        <f>IFERROR(VLOOKUP(C47, 'Catégorie des articles'!$A:$D, 4, FALSE), "")</f>
        <v>VOLAILLE</v>
      </c>
      <c r="G47">
        <f t="shared" si="0"/>
        <v>202204</v>
      </c>
    </row>
    <row r="48" spans="1:7" ht="12" customHeight="1">
      <c r="A48" s="6">
        <v>44662</v>
      </c>
      <c r="B48" s="7">
        <v>142645121</v>
      </c>
      <c r="C48" s="3">
        <v>5540246181016</v>
      </c>
      <c r="D48" s="6">
        <v>44672</v>
      </c>
      <c r="E48" s="8">
        <v>2729</v>
      </c>
      <c r="F48" s="23" t="str">
        <f>IFERROR(VLOOKUP(C48, 'Catégorie des articles'!$A:$D, 4, FALSE), "")</f>
        <v>VOLAILLE</v>
      </c>
      <c r="G48">
        <f t="shared" si="0"/>
        <v>202204</v>
      </c>
    </row>
    <row r="49" spans="1:7" ht="12" customHeight="1">
      <c r="A49" s="9">
        <v>44662</v>
      </c>
      <c r="B49" s="10">
        <v>142645122</v>
      </c>
      <c r="C49" s="3">
        <v>5540246191594</v>
      </c>
      <c r="D49" s="9">
        <v>44663</v>
      </c>
      <c r="E49" s="11">
        <v>655</v>
      </c>
      <c r="F49" s="23" t="str">
        <f>IFERROR(VLOOKUP(C49, 'Catégorie des articles'!$A:$D, 4, FALSE), "")</f>
        <v>CREMERIE</v>
      </c>
      <c r="G49">
        <f t="shared" si="0"/>
        <v>202204</v>
      </c>
    </row>
    <row r="50" spans="1:7" ht="12" customHeight="1">
      <c r="A50" s="6">
        <v>44662</v>
      </c>
      <c r="B50" s="7">
        <v>142645122</v>
      </c>
      <c r="C50" s="3">
        <v>5540246191598</v>
      </c>
      <c r="D50" s="6">
        <v>44663</v>
      </c>
      <c r="E50" s="8">
        <v>1072</v>
      </c>
      <c r="F50" s="23" t="str">
        <f>IFERROR(VLOOKUP(C50, 'Catégorie des articles'!$A:$D, 4, FALSE), "")</f>
        <v>CREMERIE</v>
      </c>
      <c r="G50">
        <f t="shared" si="0"/>
        <v>202204</v>
      </c>
    </row>
    <row r="51" spans="1:7" ht="12" customHeight="1">
      <c r="A51" s="9">
        <v>44662</v>
      </c>
      <c r="B51" s="10">
        <v>142645123</v>
      </c>
      <c r="C51" s="3">
        <v>5540246174174</v>
      </c>
      <c r="D51" s="9">
        <v>44664</v>
      </c>
      <c r="E51" s="11">
        <v>58</v>
      </c>
      <c r="F51" s="23" t="str">
        <f>IFERROR(VLOOKUP(C51, 'Catégorie des articles'!$A:$D, 4, FALSE), "")</f>
        <v>CREMERIE</v>
      </c>
      <c r="G51">
        <f t="shared" si="0"/>
        <v>202204</v>
      </c>
    </row>
    <row r="52" spans="1:7" ht="12" customHeight="1">
      <c r="A52" s="6">
        <v>44662</v>
      </c>
      <c r="B52" s="7">
        <v>142645123</v>
      </c>
      <c r="C52" s="3">
        <v>5540246176295</v>
      </c>
      <c r="D52" s="6">
        <v>44664</v>
      </c>
      <c r="E52" s="8">
        <v>7424</v>
      </c>
      <c r="F52" s="23" t="str">
        <f>IFERROR(VLOOKUP(C52, 'Catégorie des articles'!$A:$D, 4, FALSE), "")</f>
        <v>CREMERIE</v>
      </c>
      <c r="G52">
        <f t="shared" si="0"/>
        <v>202204</v>
      </c>
    </row>
    <row r="53" spans="1:7" ht="12" customHeight="1">
      <c r="A53" s="6">
        <v>44662</v>
      </c>
      <c r="B53" s="7">
        <v>142645123</v>
      </c>
      <c r="C53" s="3">
        <v>5540246187987</v>
      </c>
      <c r="D53" s="6">
        <v>44664</v>
      </c>
      <c r="E53" s="8">
        <v>2228</v>
      </c>
      <c r="F53" s="23" t="str">
        <f>IFERROR(VLOOKUP(C53, 'Catégorie des articles'!$A:$D, 4, FALSE), "")</f>
        <v>CREMERIE</v>
      </c>
      <c r="G53">
        <f t="shared" si="0"/>
        <v>202204</v>
      </c>
    </row>
    <row r="54" spans="1:7" ht="12" customHeight="1">
      <c r="A54" s="6">
        <v>44662</v>
      </c>
      <c r="B54" s="7">
        <v>142645130</v>
      </c>
      <c r="C54" s="3">
        <v>5540246183560</v>
      </c>
      <c r="D54" s="6">
        <v>44672</v>
      </c>
      <c r="E54" s="8">
        <v>223</v>
      </c>
      <c r="F54" s="23" t="str">
        <f>IFERROR(VLOOKUP(C54, 'Catégorie des articles'!$A:$D, 4, FALSE), "")</f>
        <v>MIX LEGUMES</v>
      </c>
      <c r="G54">
        <f t="shared" si="0"/>
        <v>202204</v>
      </c>
    </row>
    <row r="55" spans="1:7" ht="12" customHeight="1">
      <c r="A55" s="9">
        <v>44662</v>
      </c>
      <c r="B55" s="10">
        <v>142645130</v>
      </c>
      <c r="C55" s="3">
        <v>5540246192209</v>
      </c>
      <c r="D55" s="9">
        <v>44672</v>
      </c>
      <c r="E55" s="11">
        <v>1114</v>
      </c>
      <c r="F55" s="23" t="str">
        <f>IFERROR(VLOOKUP(C55, 'Catégorie des articles'!$A:$D, 4, FALSE), "")</f>
        <v>MIX LEGUMES</v>
      </c>
      <c r="G55">
        <f t="shared" si="0"/>
        <v>202204</v>
      </c>
    </row>
    <row r="56" spans="1:7" ht="12" customHeight="1">
      <c r="A56" s="9">
        <v>44662</v>
      </c>
      <c r="B56" s="10">
        <v>142645131</v>
      </c>
      <c r="C56" s="3">
        <v>5540246185562</v>
      </c>
      <c r="D56" s="9">
        <v>44665</v>
      </c>
      <c r="E56" s="11">
        <v>140</v>
      </c>
      <c r="F56" s="23" t="str">
        <f>IFERROR(VLOOKUP(C56, 'Catégorie des articles'!$A:$D, 4, FALSE), "")</f>
        <v>CREMERIE</v>
      </c>
      <c r="G56">
        <f t="shared" si="0"/>
        <v>202204</v>
      </c>
    </row>
    <row r="57" spans="1:7" ht="12" customHeight="1">
      <c r="A57" s="6">
        <v>44662</v>
      </c>
      <c r="B57" s="7">
        <v>142645131</v>
      </c>
      <c r="C57" s="3">
        <v>5540246186325</v>
      </c>
      <c r="D57" s="6">
        <v>44665</v>
      </c>
      <c r="E57" s="8">
        <v>140</v>
      </c>
      <c r="F57" s="23" t="str">
        <f>IFERROR(VLOOKUP(C57, 'Catégorie des articles'!$A:$D, 4, FALSE), "")</f>
        <v>CREMERIE</v>
      </c>
      <c r="G57">
        <f t="shared" si="0"/>
        <v>202204</v>
      </c>
    </row>
    <row r="58" spans="1:7" ht="12" customHeight="1">
      <c r="A58" s="6">
        <v>44662</v>
      </c>
      <c r="B58" s="7">
        <v>142645132</v>
      </c>
      <c r="C58" s="3">
        <v>5540246177132</v>
      </c>
      <c r="D58" s="6">
        <v>44669</v>
      </c>
      <c r="E58" s="8">
        <v>8816</v>
      </c>
      <c r="F58" s="23" t="str">
        <f>IFERROR(VLOOKUP(C58, 'Catégorie des articles'!$A:$D, 4, FALSE), "")</f>
        <v>MIX LEGUMES</v>
      </c>
      <c r="G58">
        <f t="shared" si="0"/>
        <v>202204</v>
      </c>
    </row>
    <row r="59" spans="1:7" ht="12" customHeight="1">
      <c r="A59" s="9">
        <v>44662</v>
      </c>
      <c r="B59" s="10">
        <v>142645132</v>
      </c>
      <c r="C59" s="3">
        <v>5540246177133</v>
      </c>
      <c r="D59" s="9">
        <v>44669</v>
      </c>
      <c r="E59" s="11">
        <v>2784</v>
      </c>
      <c r="F59" s="23" t="str">
        <f>IFERROR(VLOOKUP(C59, 'Catégorie des articles'!$A:$D, 4, FALSE), "")</f>
        <v>MIX LEGUMES</v>
      </c>
      <c r="G59">
        <f t="shared" si="0"/>
        <v>202204</v>
      </c>
    </row>
    <row r="60" spans="1:7" ht="12" customHeight="1">
      <c r="A60" s="6">
        <v>44662</v>
      </c>
      <c r="B60" s="7">
        <v>142645132</v>
      </c>
      <c r="C60" s="3">
        <v>5540246183542</v>
      </c>
      <c r="D60" s="6">
        <v>44669</v>
      </c>
      <c r="E60" s="8">
        <v>140</v>
      </c>
      <c r="F60" s="23" t="str">
        <f>IFERROR(VLOOKUP(C60, 'Catégorie des articles'!$A:$D, 4, FALSE), "")</f>
        <v>MIX LEGUMES</v>
      </c>
      <c r="G60">
        <f t="shared" si="0"/>
        <v>202204</v>
      </c>
    </row>
    <row r="61" spans="1:7" ht="12" customHeight="1">
      <c r="A61" s="6">
        <v>44662</v>
      </c>
      <c r="B61" s="7">
        <v>142645133</v>
      </c>
      <c r="C61" s="3">
        <v>5540246186351</v>
      </c>
      <c r="D61" s="6">
        <v>44668</v>
      </c>
      <c r="E61" s="8">
        <v>564</v>
      </c>
      <c r="F61" s="23" t="str">
        <f>IFERROR(VLOOKUP(C61, 'Catégorie des articles'!$A:$D, 4, FALSE), "")</f>
        <v>MIX LEGUMES</v>
      </c>
      <c r="G61">
        <f t="shared" si="0"/>
        <v>202204</v>
      </c>
    </row>
    <row r="62" spans="1:7" ht="12" customHeight="1">
      <c r="A62" s="6">
        <v>44662</v>
      </c>
      <c r="B62" s="7">
        <v>142645138</v>
      </c>
      <c r="C62" s="3">
        <v>5540246173686</v>
      </c>
      <c r="D62" s="6">
        <v>44670</v>
      </c>
      <c r="E62" s="8">
        <v>406</v>
      </c>
      <c r="F62" s="23" t="str">
        <f>IFERROR(VLOOKUP(C62, 'Catégorie des articles'!$A:$D, 4, FALSE), "")</f>
        <v>EMBALLAGES</v>
      </c>
      <c r="G62">
        <f t="shared" si="0"/>
        <v>202204</v>
      </c>
    </row>
    <row r="63" spans="1:7" ht="12" customHeight="1">
      <c r="A63" s="9">
        <v>44662</v>
      </c>
      <c r="B63" s="10">
        <v>142645141</v>
      </c>
      <c r="C63" s="3">
        <v>5540246192907</v>
      </c>
      <c r="D63" s="9">
        <v>44679</v>
      </c>
      <c r="E63" s="11">
        <v>11136</v>
      </c>
      <c r="F63" s="23" t="str">
        <f>IFERROR(VLOOKUP(C63, 'Catégorie des articles'!$A:$D, 4, FALSE), "")</f>
        <v>VOLAILLE</v>
      </c>
      <c r="G63">
        <f t="shared" si="0"/>
        <v>202204</v>
      </c>
    </row>
    <row r="64" spans="1:7" ht="12" customHeight="1">
      <c r="A64" s="9">
        <v>44663</v>
      </c>
      <c r="B64" s="10">
        <v>142645146</v>
      </c>
      <c r="C64" s="3">
        <v>5540246171933</v>
      </c>
      <c r="D64" s="9">
        <v>44665</v>
      </c>
      <c r="E64" s="11">
        <v>1114</v>
      </c>
      <c r="F64" s="23" t="str">
        <f>IFERROR(VLOOKUP(C64, 'Catégorie des articles'!$A:$D, 4, FALSE), "")</f>
        <v>CREMERIE</v>
      </c>
      <c r="G64">
        <f t="shared" si="0"/>
        <v>202204</v>
      </c>
    </row>
    <row r="65" spans="1:7" ht="12" customHeight="1">
      <c r="A65" s="9">
        <v>44663</v>
      </c>
      <c r="B65" s="10">
        <v>142645146</v>
      </c>
      <c r="C65" s="3">
        <v>5540246174174</v>
      </c>
      <c r="D65" s="9">
        <v>44665</v>
      </c>
      <c r="E65" s="11">
        <v>348</v>
      </c>
      <c r="F65" s="23" t="str">
        <f>IFERROR(VLOOKUP(C65, 'Catégorie des articles'!$A:$D, 4, FALSE), "")</f>
        <v>CREMERIE</v>
      </c>
      <c r="G65">
        <f t="shared" si="0"/>
        <v>202204</v>
      </c>
    </row>
    <row r="66" spans="1:7" ht="12" customHeight="1">
      <c r="A66" s="6">
        <v>44663</v>
      </c>
      <c r="B66" s="7">
        <v>142645146</v>
      </c>
      <c r="C66" s="3">
        <v>5540246176294</v>
      </c>
      <c r="D66" s="6">
        <v>44665</v>
      </c>
      <c r="E66" s="8">
        <v>1485</v>
      </c>
      <c r="F66" s="23" t="str">
        <f>IFERROR(VLOOKUP(C66, 'Catégorie des articles'!$A:$D, 4, FALSE), "")</f>
        <v>CREMERIE</v>
      </c>
      <c r="G66">
        <f t="shared" si="0"/>
        <v>202204</v>
      </c>
    </row>
    <row r="67" spans="1:7" ht="12" customHeight="1">
      <c r="A67" s="9">
        <v>44663</v>
      </c>
      <c r="B67" s="10">
        <v>142645146</v>
      </c>
      <c r="C67" s="3">
        <v>5540246176295</v>
      </c>
      <c r="D67" s="9">
        <v>44665</v>
      </c>
      <c r="E67" s="11">
        <v>2228</v>
      </c>
      <c r="F67" s="23" t="str">
        <f>IFERROR(VLOOKUP(C67, 'Catégorie des articles'!$A:$D, 4, FALSE), "")</f>
        <v>CREMERIE</v>
      </c>
      <c r="G67">
        <f t="shared" ref="G67:G130" si="1">YEAR(D67)*100 + MONTH(D67)</f>
        <v>202204</v>
      </c>
    </row>
    <row r="68" spans="1:7" ht="12" customHeight="1">
      <c r="A68" s="6">
        <v>44663</v>
      </c>
      <c r="B68" s="7">
        <v>142645146</v>
      </c>
      <c r="C68" s="3">
        <v>5540246184808</v>
      </c>
      <c r="D68" s="6">
        <v>44665</v>
      </c>
      <c r="E68" s="8">
        <v>1044</v>
      </c>
      <c r="F68" s="23" t="str">
        <f>IFERROR(VLOOKUP(C68, 'Catégorie des articles'!$A:$D, 4, FALSE), "")</f>
        <v>CREMERIE</v>
      </c>
      <c r="G68">
        <f t="shared" si="1"/>
        <v>202204</v>
      </c>
    </row>
    <row r="69" spans="1:7" ht="12" customHeight="1">
      <c r="A69" s="6">
        <v>44663</v>
      </c>
      <c r="B69" s="7">
        <v>142645146</v>
      </c>
      <c r="C69" s="3">
        <v>5540246187987</v>
      </c>
      <c r="D69" s="6">
        <v>44665</v>
      </c>
      <c r="E69" s="8">
        <v>1114</v>
      </c>
      <c r="F69" s="23" t="str">
        <f>IFERROR(VLOOKUP(C69, 'Catégorie des articles'!$A:$D, 4, FALSE), "")</f>
        <v>CREMERIE</v>
      </c>
      <c r="G69">
        <f t="shared" si="1"/>
        <v>202204</v>
      </c>
    </row>
    <row r="70" spans="1:7" ht="12" customHeight="1">
      <c r="A70" s="9">
        <v>44663</v>
      </c>
      <c r="B70" s="10">
        <v>142645146</v>
      </c>
      <c r="C70" s="3">
        <v>5540246188200</v>
      </c>
      <c r="D70" s="9">
        <v>44665</v>
      </c>
      <c r="E70" s="11">
        <v>743</v>
      </c>
      <c r="F70" s="23" t="str">
        <f>IFERROR(VLOOKUP(C70, 'Catégorie des articles'!$A:$D, 4, FALSE), "")</f>
        <v>CREMERIE</v>
      </c>
      <c r="G70">
        <f t="shared" si="1"/>
        <v>202204</v>
      </c>
    </row>
    <row r="71" spans="1:7" ht="12" customHeight="1">
      <c r="A71" s="6">
        <v>44663</v>
      </c>
      <c r="B71" s="7">
        <v>142645149</v>
      </c>
      <c r="C71" s="3">
        <v>5540246172669</v>
      </c>
      <c r="D71" s="6">
        <v>44668</v>
      </c>
      <c r="E71" s="8">
        <v>140</v>
      </c>
      <c r="F71" s="23" t="str">
        <f>IFERROR(VLOOKUP(C71, 'Catégorie des articles'!$A:$D, 4, FALSE), "")</f>
        <v>CREMERIE</v>
      </c>
      <c r="G71">
        <f t="shared" si="1"/>
        <v>202204</v>
      </c>
    </row>
    <row r="72" spans="1:7" ht="12" customHeight="1">
      <c r="A72" s="6">
        <v>44663</v>
      </c>
      <c r="B72" s="7">
        <v>142645151</v>
      </c>
      <c r="C72" s="3">
        <v>5540246175050</v>
      </c>
      <c r="D72" s="6">
        <v>44670</v>
      </c>
      <c r="E72" s="8">
        <v>279</v>
      </c>
      <c r="F72" s="23" t="str">
        <f>IFERROR(VLOOKUP(C72, 'Catégorie des articles'!$A:$D, 4, FALSE), "")</f>
        <v>CREMERIE</v>
      </c>
      <c r="G72">
        <f t="shared" si="1"/>
        <v>202204</v>
      </c>
    </row>
    <row r="73" spans="1:7" ht="12" customHeight="1">
      <c r="A73" s="6">
        <v>44664</v>
      </c>
      <c r="B73" s="7">
        <v>142645172</v>
      </c>
      <c r="C73" s="3">
        <v>5540246171933</v>
      </c>
      <c r="D73" s="6">
        <v>44668</v>
      </c>
      <c r="E73" s="8">
        <v>1114</v>
      </c>
      <c r="F73" s="23" t="str">
        <f>IFERROR(VLOOKUP(C73, 'Catégorie des articles'!$A:$D, 4, FALSE), "")</f>
        <v>CREMERIE</v>
      </c>
      <c r="G73">
        <f t="shared" si="1"/>
        <v>202204</v>
      </c>
    </row>
    <row r="74" spans="1:7" ht="12" customHeight="1">
      <c r="A74" s="6">
        <v>44664</v>
      </c>
      <c r="B74" s="7">
        <v>142645172</v>
      </c>
      <c r="C74" s="3">
        <v>5540246172978</v>
      </c>
      <c r="D74" s="6">
        <v>44668</v>
      </c>
      <c r="E74" s="8">
        <v>836</v>
      </c>
      <c r="F74" s="23" t="str">
        <f>IFERROR(VLOOKUP(C74, 'Catégorie des articles'!$A:$D, 4, FALSE), "")</f>
        <v>CREMERIE</v>
      </c>
      <c r="G74">
        <f t="shared" si="1"/>
        <v>202204</v>
      </c>
    </row>
    <row r="75" spans="1:7" ht="12" customHeight="1">
      <c r="A75" s="9">
        <v>44664</v>
      </c>
      <c r="B75" s="10">
        <v>142645172</v>
      </c>
      <c r="C75" s="3">
        <v>5540246174174</v>
      </c>
      <c r="D75" s="9">
        <v>44668</v>
      </c>
      <c r="E75" s="11">
        <v>464</v>
      </c>
      <c r="F75" s="23" t="str">
        <f>IFERROR(VLOOKUP(C75, 'Catégorie des articles'!$A:$D, 4, FALSE), "")</f>
        <v>CREMERIE</v>
      </c>
      <c r="G75">
        <f t="shared" si="1"/>
        <v>202204</v>
      </c>
    </row>
    <row r="76" spans="1:7" ht="12" customHeight="1">
      <c r="A76" s="6">
        <v>44664</v>
      </c>
      <c r="B76" s="7">
        <v>142645172</v>
      </c>
      <c r="C76" s="3">
        <v>5540246176295</v>
      </c>
      <c r="D76" s="6">
        <v>44668</v>
      </c>
      <c r="E76" s="8">
        <v>1485</v>
      </c>
      <c r="F76" s="23" t="str">
        <f>IFERROR(VLOOKUP(C76, 'Catégorie des articles'!$A:$D, 4, FALSE), "")</f>
        <v>CREMERIE</v>
      </c>
      <c r="G76">
        <f t="shared" si="1"/>
        <v>202204</v>
      </c>
    </row>
    <row r="77" spans="1:7" ht="12" customHeight="1">
      <c r="A77" s="9">
        <v>44664</v>
      </c>
      <c r="B77" s="10">
        <v>142645172</v>
      </c>
      <c r="C77" s="3">
        <v>5540246188200</v>
      </c>
      <c r="D77" s="9">
        <v>44668</v>
      </c>
      <c r="E77" s="11">
        <v>372</v>
      </c>
      <c r="F77" s="23" t="str">
        <f>IFERROR(VLOOKUP(C77, 'Catégorie des articles'!$A:$D, 4, FALSE), "")</f>
        <v>CREMERIE</v>
      </c>
      <c r="G77">
        <f t="shared" si="1"/>
        <v>202204</v>
      </c>
    </row>
    <row r="78" spans="1:7" ht="12" customHeight="1">
      <c r="A78" s="6">
        <v>44664</v>
      </c>
      <c r="B78" s="7">
        <v>142645179</v>
      </c>
      <c r="C78" s="3">
        <v>5540246183554</v>
      </c>
      <c r="D78" s="6">
        <v>44670</v>
      </c>
      <c r="E78" s="8">
        <v>891</v>
      </c>
      <c r="F78" s="23" t="str">
        <f>IFERROR(VLOOKUP(C78, 'Catégorie des articles'!$A:$D, 4, FALSE), "")</f>
        <v>MIX LEGUMES</v>
      </c>
      <c r="G78">
        <f t="shared" si="1"/>
        <v>202204</v>
      </c>
    </row>
    <row r="79" spans="1:7" ht="12" customHeight="1">
      <c r="A79" s="9">
        <v>44664</v>
      </c>
      <c r="B79" s="10">
        <v>142645180</v>
      </c>
      <c r="C79" s="3">
        <v>5540246191594</v>
      </c>
      <c r="D79" s="9">
        <v>44665</v>
      </c>
      <c r="E79" s="11">
        <v>1504</v>
      </c>
      <c r="F79" s="23" t="str">
        <f>IFERROR(VLOOKUP(C79, 'Catégorie des articles'!$A:$D, 4, FALSE), "")</f>
        <v>CREMERIE</v>
      </c>
      <c r="G79">
        <f t="shared" si="1"/>
        <v>202204</v>
      </c>
    </row>
    <row r="80" spans="1:7" ht="12" customHeight="1">
      <c r="A80" s="6">
        <v>44664</v>
      </c>
      <c r="B80" s="7">
        <v>142645180</v>
      </c>
      <c r="C80" s="3">
        <v>5540246191598</v>
      </c>
      <c r="D80" s="6">
        <v>44665</v>
      </c>
      <c r="E80" s="8">
        <v>2924</v>
      </c>
      <c r="F80" s="23" t="str">
        <f>IFERROR(VLOOKUP(C80, 'Catégorie des articles'!$A:$D, 4, FALSE), "")</f>
        <v>CREMERIE</v>
      </c>
      <c r="G80">
        <f t="shared" si="1"/>
        <v>202204</v>
      </c>
    </row>
    <row r="81" spans="1:7" ht="12" customHeight="1">
      <c r="A81" s="9">
        <v>44664</v>
      </c>
      <c r="B81" s="10">
        <v>142645181</v>
      </c>
      <c r="C81" s="3">
        <v>5540246186352</v>
      </c>
      <c r="D81" s="9">
        <v>44669</v>
      </c>
      <c r="E81" s="11">
        <v>940</v>
      </c>
      <c r="F81" s="23" t="str">
        <f>IFERROR(VLOOKUP(C81, 'Catégorie des articles'!$A:$D, 4, FALSE), "")</f>
        <v>MIX LEGUMES</v>
      </c>
      <c r="G81">
        <f t="shared" si="1"/>
        <v>202204</v>
      </c>
    </row>
    <row r="82" spans="1:7" ht="12" customHeight="1">
      <c r="A82" s="9">
        <v>44664</v>
      </c>
      <c r="B82" s="10">
        <v>142645182</v>
      </c>
      <c r="C82" s="3">
        <v>5540246185429</v>
      </c>
      <c r="D82" s="9">
        <v>44669</v>
      </c>
      <c r="E82" s="11">
        <v>140</v>
      </c>
      <c r="F82" s="23" t="str">
        <f>IFERROR(VLOOKUP(C82, 'Catégorie des articles'!$A:$D, 4, FALSE), "")</f>
        <v>CREMERIE</v>
      </c>
      <c r="G82">
        <f t="shared" si="1"/>
        <v>202204</v>
      </c>
    </row>
    <row r="83" spans="1:7" ht="12" customHeight="1">
      <c r="A83" s="6">
        <v>44664</v>
      </c>
      <c r="B83" s="7">
        <v>142645182</v>
      </c>
      <c r="C83" s="3">
        <v>5540246186325</v>
      </c>
      <c r="D83" s="6">
        <v>44669</v>
      </c>
      <c r="E83" s="8">
        <v>209</v>
      </c>
      <c r="F83" s="23" t="str">
        <f>IFERROR(VLOOKUP(C83, 'Catégorie des articles'!$A:$D, 4, FALSE), "")</f>
        <v>CREMERIE</v>
      </c>
      <c r="G83">
        <f t="shared" si="1"/>
        <v>202204</v>
      </c>
    </row>
    <row r="84" spans="1:7" ht="12" customHeight="1">
      <c r="A84" s="9">
        <v>44664</v>
      </c>
      <c r="B84" s="10">
        <v>142645185</v>
      </c>
      <c r="C84" s="3">
        <v>5540246180522</v>
      </c>
      <c r="D84" s="9">
        <v>44669</v>
      </c>
      <c r="E84" s="11">
        <v>1727</v>
      </c>
      <c r="F84" s="23" t="str">
        <f>IFERROR(VLOOKUP(C84, 'Catégorie des articles'!$A:$D, 4, FALSE), "")</f>
        <v>BOULANGERIE</v>
      </c>
      <c r="G84">
        <f t="shared" si="1"/>
        <v>202204</v>
      </c>
    </row>
    <row r="85" spans="1:7" ht="12" customHeight="1">
      <c r="A85" s="6">
        <v>44664</v>
      </c>
      <c r="B85" s="7">
        <v>142645185</v>
      </c>
      <c r="C85" s="3">
        <v>5540246193409</v>
      </c>
      <c r="D85" s="6">
        <v>44669</v>
      </c>
      <c r="E85" s="8">
        <v>130</v>
      </c>
      <c r="F85" s="23" t="str">
        <f>IFERROR(VLOOKUP(C85, 'Catégorie des articles'!$A:$D, 4, FALSE), "")</f>
        <v>BOULANGERIE</v>
      </c>
      <c r="G85">
        <f t="shared" si="1"/>
        <v>202204</v>
      </c>
    </row>
    <row r="86" spans="1:7" ht="12" customHeight="1">
      <c r="A86" s="6">
        <v>44664</v>
      </c>
      <c r="B86" s="7">
        <v>142645188</v>
      </c>
      <c r="C86" s="3">
        <v>5540246190727</v>
      </c>
      <c r="D86" s="6">
        <v>44684</v>
      </c>
      <c r="E86" s="8">
        <v>877</v>
      </c>
      <c r="F86" s="23" t="str">
        <f>IFERROR(VLOOKUP(C86, 'Catégorie des articles'!$A:$D, 4, FALSE), "")</f>
        <v>BOULANGERIE</v>
      </c>
      <c r="G86">
        <f t="shared" si="1"/>
        <v>202205</v>
      </c>
    </row>
    <row r="87" spans="1:7" ht="12" customHeight="1">
      <c r="A87" s="9">
        <v>44664</v>
      </c>
      <c r="B87" s="10">
        <v>142645192</v>
      </c>
      <c r="C87" s="3">
        <v>5540246192264</v>
      </c>
      <c r="D87" s="9">
        <v>44686</v>
      </c>
      <c r="E87" s="11">
        <v>1300</v>
      </c>
      <c r="F87" s="23" t="str">
        <f>IFERROR(VLOOKUP(C87, 'Catégorie des articles'!$A:$D, 4, FALSE), "")</f>
        <v>CREMERIE</v>
      </c>
      <c r="G87">
        <f t="shared" si="1"/>
        <v>202205</v>
      </c>
    </row>
    <row r="88" spans="1:7" ht="12" customHeight="1">
      <c r="A88" s="6">
        <v>44664</v>
      </c>
      <c r="B88" s="7">
        <v>142645192</v>
      </c>
      <c r="C88" s="3">
        <v>5540246192265</v>
      </c>
      <c r="D88" s="6">
        <v>44686</v>
      </c>
      <c r="E88" s="8">
        <v>483</v>
      </c>
      <c r="F88" s="23" t="str">
        <f>IFERROR(VLOOKUP(C88, 'Catégorie des articles'!$A:$D, 4, FALSE), "")</f>
        <v>CREMERIE</v>
      </c>
      <c r="G88">
        <f t="shared" si="1"/>
        <v>202205</v>
      </c>
    </row>
    <row r="89" spans="1:7" ht="12" customHeight="1">
      <c r="A89" s="9">
        <v>44665</v>
      </c>
      <c r="B89" s="10">
        <v>142655196</v>
      </c>
      <c r="C89" s="3">
        <v>5540246184617</v>
      </c>
      <c r="D89" s="9">
        <v>44678</v>
      </c>
      <c r="E89" s="11">
        <v>13753</v>
      </c>
      <c r="F89" s="23" t="str">
        <f>IFERROR(VLOOKUP(C89, 'Catégorie des articles'!$A:$D, 4, FALSE), "")</f>
        <v>MIX LEGUMES</v>
      </c>
      <c r="G89">
        <f t="shared" si="1"/>
        <v>202204</v>
      </c>
    </row>
    <row r="90" spans="1:7" ht="12" customHeight="1">
      <c r="A90" s="6">
        <v>44665</v>
      </c>
      <c r="B90" s="7">
        <v>142655202</v>
      </c>
      <c r="C90" s="3">
        <v>5540246172978</v>
      </c>
      <c r="D90" s="6">
        <v>44669</v>
      </c>
      <c r="E90" s="8">
        <v>1671</v>
      </c>
      <c r="F90" s="23" t="str">
        <f>IFERROR(VLOOKUP(C90, 'Catégorie des articles'!$A:$D, 4, FALSE), "")</f>
        <v>CREMERIE</v>
      </c>
      <c r="G90">
        <f t="shared" si="1"/>
        <v>202204</v>
      </c>
    </row>
    <row r="91" spans="1:7" ht="12" customHeight="1">
      <c r="A91" s="9">
        <v>44665</v>
      </c>
      <c r="B91" s="10">
        <v>142655202</v>
      </c>
      <c r="C91" s="3">
        <v>5540246174174</v>
      </c>
      <c r="D91" s="9">
        <v>44669</v>
      </c>
      <c r="E91" s="11">
        <v>464</v>
      </c>
      <c r="F91" s="23" t="str">
        <f>IFERROR(VLOOKUP(C91, 'Catégorie des articles'!$A:$D, 4, FALSE), "")</f>
        <v>CREMERIE</v>
      </c>
      <c r="G91">
        <f t="shared" si="1"/>
        <v>202204</v>
      </c>
    </row>
    <row r="92" spans="1:7" ht="12" customHeight="1">
      <c r="A92" s="6">
        <v>44665</v>
      </c>
      <c r="B92" s="7">
        <v>142655202</v>
      </c>
      <c r="C92" s="3">
        <v>5540246176295</v>
      </c>
      <c r="D92" s="6">
        <v>44669</v>
      </c>
      <c r="E92" s="8">
        <v>2970</v>
      </c>
      <c r="F92" s="23" t="str">
        <f>IFERROR(VLOOKUP(C92, 'Catégorie des articles'!$A:$D, 4, FALSE), "")</f>
        <v>CREMERIE</v>
      </c>
      <c r="G92">
        <f t="shared" si="1"/>
        <v>202204</v>
      </c>
    </row>
    <row r="93" spans="1:7" ht="12" customHeight="1">
      <c r="A93" s="9">
        <v>44665</v>
      </c>
      <c r="B93" s="10">
        <v>142655202</v>
      </c>
      <c r="C93" s="3">
        <v>5540246184808</v>
      </c>
      <c r="D93" s="9">
        <v>44669</v>
      </c>
      <c r="E93" s="11">
        <v>1044</v>
      </c>
      <c r="F93" s="23" t="str">
        <f>IFERROR(VLOOKUP(C93, 'Catégorie des articles'!$A:$D, 4, FALSE), "")</f>
        <v>CREMERIE</v>
      </c>
      <c r="G93">
        <f t="shared" si="1"/>
        <v>202204</v>
      </c>
    </row>
    <row r="94" spans="1:7" ht="12" customHeight="1">
      <c r="A94" s="9">
        <v>44665</v>
      </c>
      <c r="B94" s="10">
        <v>142655221</v>
      </c>
      <c r="C94" s="3">
        <v>5540246192505</v>
      </c>
      <c r="D94" s="9">
        <v>44670</v>
      </c>
      <c r="E94" s="11">
        <v>4585</v>
      </c>
      <c r="F94" s="23" t="str">
        <f>IFERROR(VLOOKUP(C94, 'Catégorie des articles'!$A:$D, 4, FALSE), "")</f>
        <v>MIX LEGUMES</v>
      </c>
      <c r="G94">
        <f t="shared" si="1"/>
        <v>202204</v>
      </c>
    </row>
    <row r="95" spans="1:7" ht="12" customHeight="1">
      <c r="A95" s="9">
        <v>44668</v>
      </c>
      <c r="B95" s="10">
        <v>142655227</v>
      </c>
      <c r="C95" s="3">
        <v>5540246172669</v>
      </c>
      <c r="D95" s="9">
        <v>44670</v>
      </c>
      <c r="E95" s="11">
        <v>279</v>
      </c>
      <c r="F95" s="23" t="str">
        <f>IFERROR(VLOOKUP(C95, 'Catégorie des articles'!$A:$D, 4, FALSE), "")</f>
        <v>CREMERIE</v>
      </c>
      <c r="G95">
        <f t="shared" si="1"/>
        <v>202204</v>
      </c>
    </row>
    <row r="96" spans="1:7" ht="12" customHeight="1">
      <c r="A96" s="6">
        <v>44668</v>
      </c>
      <c r="B96" s="7">
        <v>142655227</v>
      </c>
      <c r="C96" s="3">
        <v>5540246172978</v>
      </c>
      <c r="D96" s="6">
        <v>44670</v>
      </c>
      <c r="E96" s="8">
        <v>836</v>
      </c>
      <c r="F96" s="23" t="str">
        <f>IFERROR(VLOOKUP(C96, 'Catégorie des articles'!$A:$D, 4, FALSE), "")</f>
        <v>CREMERIE</v>
      </c>
      <c r="G96">
        <f t="shared" si="1"/>
        <v>202204</v>
      </c>
    </row>
    <row r="97" spans="1:7" ht="12" customHeight="1">
      <c r="A97" s="6">
        <v>44668</v>
      </c>
      <c r="B97" s="7">
        <v>142655227</v>
      </c>
      <c r="C97" s="3">
        <v>5540246184808</v>
      </c>
      <c r="D97" s="6">
        <v>44670</v>
      </c>
      <c r="E97" s="8">
        <v>1044</v>
      </c>
      <c r="F97" s="23" t="str">
        <f>IFERROR(VLOOKUP(C97, 'Catégorie des articles'!$A:$D, 4, FALSE), "")</f>
        <v>CREMERIE</v>
      </c>
      <c r="G97">
        <f t="shared" si="1"/>
        <v>202204</v>
      </c>
    </row>
    <row r="98" spans="1:7" ht="12" customHeight="1">
      <c r="A98" s="6">
        <v>44668</v>
      </c>
      <c r="B98" s="7">
        <v>142655227</v>
      </c>
      <c r="C98" s="3">
        <v>5540246187987</v>
      </c>
      <c r="D98" s="6">
        <v>44670</v>
      </c>
      <c r="E98" s="8">
        <v>3341</v>
      </c>
      <c r="F98" s="23" t="str">
        <f>IFERROR(VLOOKUP(C98, 'Catégorie des articles'!$A:$D, 4, FALSE), "")</f>
        <v>CREMERIE</v>
      </c>
      <c r="G98">
        <f t="shared" si="1"/>
        <v>202204</v>
      </c>
    </row>
    <row r="99" spans="1:7" ht="12" customHeight="1">
      <c r="A99" s="9">
        <v>44668</v>
      </c>
      <c r="B99" s="10">
        <v>142655227</v>
      </c>
      <c r="C99" s="3">
        <v>5540246188200</v>
      </c>
      <c r="D99" s="9">
        <v>44670</v>
      </c>
      <c r="E99" s="11">
        <v>743</v>
      </c>
      <c r="F99" s="23" t="str">
        <f>IFERROR(VLOOKUP(C99, 'Catégorie des articles'!$A:$D, 4, FALSE), "")</f>
        <v>CREMERIE</v>
      </c>
      <c r="G99">
        <f t="shared" si="1"/>
        <v>202204</v>
      </c>
    </row>
    <row r="100" spans="1:7" ht="12" customHeight="1">
      <c r="A100" s="9">
        <v>44668</v>
      </c>
      <c r="B100" s="10">
        <v>142655227</v>
      </c>
      <c r="C100" s="3">
        <v>5540246191594</v>
      </c>
      <c r="D100" s="9">
        <v>44670</v>
      </c>
      <c r="E100" s="11">
        <v>696</v>
      </c>
      <c r="F100" s="23" t="str">
        <f>IFERROR(VLOOKUP(C100, 'Catégorie des articles'!$A:$D, 4, FALSE), "")</f>
        <v>CREMERIE</v>
      </c>
      <c r="G100">
        <f t="shared" si="1"/>
        <v>202204</v>
      </c>
    </row>
    <row r="101" spans="1:7" ht="12" customHeight="1">
      <c r="A101" s="6">
        <v>44668</v>
      </c>
      <c r="B101" s="7">
        <v>142655227</v>
      </c>
      <c r="C101" s="3">
        <v>5540246191598</v>
      </c>
      <c r="D101" s="6">
        <v>44670</v>
      </c>
      <c r="E101" s="8">
        <v>1462</v>
      </c>
      <c r="F101" s="23" t="str">
        <f>IFERROR(VLOOKUP(C101, 'Catégorie des articles'!$A:$D, 4, FALSE), "")</f>
        <v>CREMERIE</v>
      </c>
      <c r="G101">
        <f t="shared" si="1"/>
        <v>202204</v>
      </c>
    </row>
    <row r="102" spans="1:7" ht="12" customHeight="1">
      <c r="A102" s="9">
        <v>44669</v>
      </c>
      <c r="B102" s="10">
        <v>142655256</v>
      </c>
      <c r="C102" s="3">
        <v>5540246183589</v>
      </c>
      <c r="D102" s="9">
        <v>44669</v>
      </c>
      <c r="E102" s="11">
        <v>1300</v>
      </c>
      <c r="F102" s="23" t="str">
        <f>IFERROR(VLOOKUP(C102, 'Catégorie des articles'!$A:$D, 4, FALSE), "")</f>
        <v>MIX LEGUMES</v>
      </c>
      <c r="G102">
        <f t="shared" si="1"/>
        <v>202204</v>
      </c>
    </row>
    <row r="103" spans="1:7" ht="12" customHeight="1">
      <c r="A103" s="6">
        <v>44669</v>
      </c>
      <c r="B103" s="7">
        <v>142655260</v>
      </c>
      <c r="C103" s="3">
        <v>5540246184617</v>
      </c>
      <c r="D103" s="6">
        <v>44671</v>
      </c>
      <c r="E103" s="8">
        <v>9169</v>
      </c>
      <c r="F103" s="23" t="str">
        <f>IFERROR(VLOOKUP(C103, 'Catégorie des articles'!$A:$D, 4, FALSE), "")</f>
        <v>MIX LEGUMES</v>
      </c>
      <c r="G103">
        <f t="shared" si="1"/>
        <v>202204</v>
      </c>
    </row>
    <row r="104" spans="1:7" ht="12" customHeight="1">
      <c r="A104" s="9">
        <v>44669</v>
      </c>
      <c r="B104" s="10">
        <v>142655264</v>
      </c>
      <c r="C104" s="3">
        <v>5540246171933</v>
      </c>
      <c r="D104" s="9">
        <v>44671</v>
      </c>
      <c r="E104" s="11">
        <v>557</v>
      </c>
      <c r="F104" s="23" t="str">
        <f>IFERROR(VLOOKUP(C104, 'Catégorie des articles'!$A:$D, 4, FALSE), "")</f>
        <v>CREMERIE</v>
      </c>
      <c r="G104">
        <f t="shared" si="1"/>
        <v>202204</v>
      </c>
    </row>
    <row r="105" spans="1:7" ht="12" customHeight="1">
      <c r="A105" s="6">
        <v>44669</v>
      </c>
      <c r="B105" s="7">
        <v>142655264</v>
      </c>
      <c r="C105" s="3">
        <v>5540246172978</v>
      </c>
      <c r="D105" s="6">
        <v>44671</v>
      </c>
      <c r="E105" s="8">
        <v>1253</v>
      </c>
      <c r="F105" s="23" t="str">
        <f>IFERROR(VLOOKUP(C105, 'Catégorie des articles'!$A:$D, 4, FALSE), "")</f>
        <v>CREMERIE</v>
      </c>
      <c r="G105">
        <f t="shared" si="1"/>
        <v>202204</v>
      </c>
    </row>
    <row r="106" spans="1:7" ht="12" customHeight="1">
      <c r="A106" s="9">
        <v>44669</v>
      </c>
      <c r="B106" s="10">
        <v>142655264</v>
      </c>
      <c r="C106" s="3">
        <v>5540246176295</v>
      </c>
      <c r="D106" s="9">
        <v>44671</v>
      </c>
      <c r="E106" s="11">
        <v>4455</v>
      </c>
      <c r="F106" s="23" t="str">
        <f>IFERROR(VLOOKUP(C106, 'Catégorie des articles'!$A:$D, 4, FALSE), "")</f>
        <v>CREMERIE</v>
      </c>
      <c r="G106">
        <f t="shared" si="1"/>
        <v>202204</v>
      </c>
    </row>
    <row r="107" spans="1:7" ht="12" customHeight="1">
      <c r="A107" s="6">
        <v>44669</v>
      </c>
      <c r="B107" s="7">
        <v>142655264</v>
      </c>
      <c r="C107" s="3">
        <v>5540246184808</v>
      </c>
      <c r="D107" s="6">
        <v>44671</v>
      </c>
      <c r="E107" s="8">
        <v>1044</v>
      </c>
      <c r="F107" s="23" t="str">
        <f>IFERROR(VLOOKUP(C107, 'Catégorie des articles'!$A:$D, 4, FALSE), "")</f>
        <v>CREMERIE</v>
      </c>
      <c r="G107">
        <f t="shared" si="1"/>
        <v>202204</v>
      </c>
    </row>
    <row r="108" spans="1:7" ht="12" customHeight="1">
      <c r="A108" s="6">
        <v>44669</v>
      </c>
      <c r="B108" s="7">
        <v>142655264</v>
      </c>
      <c r="C108" s="3">
        <v>5540246188200</v>
      </c>
      <c r="D108" s="6">
        <v>44671</v>
      </c>
      <c r="E108" s="8">
        <v>372</v>
      </c>
      <c r="F108" s="23" t="str">
        <f>IFERROR(VLOOKUP(C108, 'Catégorie des articles'!$A:$D, 4, FALSE), "")</f>
        <v>CREMERIE</v>
      </c>
      <c r="G108">
        <f t="shared" si="1"/>
        <v>202204</v>
      </c>
    </row>
    <row r="109" spans="1:7" ht="12" customHeight="1">
      <c r="A109" s="9">
        <v>44669</v>
      </c>
      <c r="B109" s="10">
        <v>142655276</v>
      </c>
      <c r="C109" s="3">
        <v>5540246177132</v>
      </c>
      <c r="D109" s="9">
        <v>44675</v>
      </c>
      <c r="E109" s="11">
        <v>11600</v>
      </c>
      <c r="F109" s="23" t="str">
        <f>IFERROR(VLOOKUP(C109, 'Catégorie des articles'!$A:$D, 4, FALSE), "")</f>
        <v>MIX LEGUMES</v>
      </c>
      <c r="G109">
        <f t="shared" si="1"/>
        <v>202204</v>
      </c>
    </row>
    <row r="110" spans="1:7" ht="12" customHeight="1">
      <c r="A110" s="6">
        <v>44669</v>
      </c>
      <c r="B110" s="7">
        <v>142655276</v>
      </c>
      <c r="C110" s="3">
        <v>5540246177133</v>
      </c>
      <c r="D110" s="6">
        <v>44675</v>
      </c>
      <c r="E110" s="8">
        <v>4455</v>
      </c>
      <c r="F110" s="23" t="str">
        <f>IFERROR(VLOOKUP(C110, 'Catégorie des articles'!$A:$D, 4, FALSE), "")</f>
        <v>MIX LEGUMES</v>
      </c>
      <c r="G110">
        <f t="shared" si="1"/>
        <v>202204</v>
      </c>
    </row>
    <row r="111" spans="1:7" ht="12" customHeight="1">
      <c r="A111" s="6">
        <v>44669</v>
      </c>
      <c r="B111" s="7">
        <v>142655278</v>
      </c>
      <c r="C111" s="3">
        <v>5540246183547</v>
      </c>
      <c r="D111" s="6">
        <v>44678</v>
      </c>
      <c r="E111" s="8">
        <v>6682</v>
      </c>
      <c r="F111" s="23" t="str">
        <f>IFERROR(VLOOKUP(C111, 'Catégorie des articles'!$A:$D, 4, FALSE), "")</f>
        <v>VOLAILLE</v>
      </c>
      <c r="G111">
        <f t="shared" si="1"/>
        <v>202204</v>
      </c>
    </row>
    <row r="112" spans="1:7" ht="12" customHeight="1">
      <c r="A112" s="6">
        <v>44669</v>
      </c>
      <c r="B112" s="7">
        <v>142655279</v>
      </c>
      <c r="C112" s="3">
        <v>5540246173492</v>
      </c>
      <c r="D112" s="6">
        <v>44677</v>
      </c>
      <c r="E112" s="8">
        <v>940</v>
      </c>
      <c r="F112" s="23" t="str">
        <f>IFERROR(VLOOKUP(C112, 'Catégorie des articles'!$A:$D, 4, FALSE), "")</f>
        <v>VOLAILLE</v>
      </c>
      <c r="G112">
        <f t="shared" si="1"/>
        <v>202204</v>
      </c>
    </row>
    <row r="113" spans="1:7" ht="12" customHeight="1">
      <c r="A113" s="6">
        <v>44669</v>
      </c>
      <c r="B113" s="7">
        <v>142655282</v>
      </c>
      <c r="C113" s="3">
        <v>5540246183130</v>
      </c>
      <c r="D113" s="6">
        <v>44676</v>
      </c>
      <c r="E113" s="8">
        <v>2819</v>
      </c>
      <c r="F113" s="23" t="str">
        <f>IFERROR(VLOOKUP(C113, 'Catégorie des articles'!$A:$D, 4, FALSE), "")</f>
        <v>MIX LEGUMES</v>
      </c>
      <c r="G113">
        <f t="shared" si="1"/>
        <v>202204</v>
      </c>
    </row>
    <row r="114" spans="1:7" ht="12" customHeight="1">
      <c r="A114" s="6">
        <v>44669</v>
      </c>
      <c r="B114" s="7">
        <v>142655287</v>
      </c>
      <c r="C114" s="3">
        <v>5540246183587</v>
      </c>
      <c r="D114" s="6">
        <v>44678</v>
      </c>
      <c r="E114" s="8">
        <v>1003</v>
      </c>
      <c r="F114" s="23" t="str">
        <f>IFERROR(VLOOKUP(C114, 'Catégorie des articles'!$A:$D, 4, FALSE), "")</f>
        <v>MIX LEGUMES</v>
      </c>
      <c r="G114">
        <f t="shared" si="1"/>
        <v>202204</v>
      </c>
    </row>
    <row r="115" spans="1:7" ht="12" customHeight="1">
      <c r="A115" s="9">
        <v>44669</v>
      </c>
      <c r="B115" s="10">
        <v>142655290</v>
      </c>
      <c r="C115" s="3">
        <v>5540246184036</v>
      </c>
      <c r="D115" s="9">
        <v>44678</v>
      </c>
      <c r="E115" s="11">
        <v>130</v>
      </c>
      <c r="F115" s="23" t="str">
        <f>IFERROR(VLOOKUP(C115, 'Catégorie des articles'!$A:$D, 4, FALSE), "")</f>
        <v>BOULANGERIE</v>
      </c>
      <c r="G115">
        <f t="shared" si="1"/>
        <v>202204</v>
      </c>
    </row>
    <row r="116" spans="1:7" ht="12" customHeight="1">
      <c r="A116" s="9">
        <v>44669</v>
      </c>
      <c r="B116" s="10">
        <v>142655291</v>
      </c>
      <c r="C116" s="3">
        <v>5540246188583</v>
      </c>
      <c r="D116" s="9">
        <v>44672</v>
      </c>
      <c r="E116" s="11">
        <v>3898</v>
      </c>
      <c r="F116" s="23" t="str">
        <f>IFERROR(VLOOKUP(C116, 'Catégorie des articles'!$A:$D, 4, FALSE), "")</f>
        <v>BOULANGERIE</v>
      </c>
      <c r="G116">
        <f t="shared" si="1"/>
        <v>202204</v>
      </c>
    </row>
    <row r="117" spans="1:7" ht="12" customHeight="1">
      <c r="A117" s="6">
        <v>44670</v>
      </c>
      <c r="B117" s="7">
        <v>142655305</v>
      </c>
      <c r="C117" s="3">
        <v>5540246171933</v>
      </c>
      <c r="D117" s="6">
        <v>44672</v>
      </c>
      <c r="E117" s="8">
        <v>836</v>
      </c>
      <c r="F117" s="23" t="str">
        <f>IFERROR(VLOOKUP(C117, 'Catégorie des articles'!$A:$D, 4, FALSE), "")</f>
        <v>CREMERIE</v>
      </c>
      <c r="G117">
        <f t="shared" si="1"/>
        <v>202204</v>
      </c>
    </row>
    <row r="118" spans="1:7" ht="12" customHeight="1">
      <c r="A118" s="6">
        <v>44670</v>
      </c>
      <c r="B118" s="7">
        <v>142655305</v>
      </c>
      <c r="C118" s="3">
        <v>5540246172669</v>
      </c>
      <c r="D118" s="6">
        <v>44672</v>
      </c>
      <c r="E118" s="8">
        <v>279</v>
      </c>
      <c r="F118" s="23" t="str">
        <f>IFERROR(VLOOKUP(C118, 'Catégorie des articles'!$A:$D, 4, FALSE), "")</f>
        <v>CREMERIE</v>
      </c>
      <c r="G118">
        <f t="shared" si="1"/>
        <v>202204</v>
      </c>
    </row>
    <row r="119" spans="1:7" ht="12" customHeight="1">
      <c r="A119" s="9">
        <v>44670</v>
      </c>
      <c r="B119" s="10">
        <v>142655305</v>
      </c>
      <c r="C119" s="3">
        <v>5540246172978</v>
      </c>
      <c r="D119" s="9">
        <v>44672</v>
      </c>
      <c r="E119" s="11">
        <v>836</v>
      </c>
      <c r="F119" s="23" t="str">
        <f>IFERROR(VLOOKUP(C119, 'Catégorie des articles'!$A:$D, 4, FALSE), "")</f>
        <v>CREMERIE</v>
      </c>
      <c r="G119">
        <f t="shared" si="1"/>
        <v>202204</v>
      </c>
    </row>
    <row r="120" spans="1:7" ht="12" customHeight="1">
      <c r="A120" s="6">
        <v>44670</v>
      </c>
      <c r="B120" s="7">
        <v>142655305</v>
      </c>
      <c r="C120" s="3">
        <v>5540246176294</v>
      </c>
      <c r="D120" s="6">
        <v>44672</v>
      </c>
      <c r="E120" s="8">
        <v>4455</v>
      </c>
      <c r="F120" s="23" t="str">
        <f>IFERROR(VLOOKUP(C120, 'Catégorie des articles'!$A:$D, 4, FALSE), "")</f>
        <v>CREMERIE</v>
      </c>
      <c r="G120">
        <f t="shared" si="1"/>
        <v>202204</v>
      </c>
    </row>
    <row r="121" spans="1:7" ht="12" customHeight="1">
      <c r="A121" s="9">
        <v>44670</v>
      </c>
      <c r="B121" s="10">
        <v>142655305</v>
      </c>
      <c r="C121" s="3">
        <v>5540246176295</v>
      </c>
      <c r="D121" s="9">
        <v>44672</v>
      </c>
      <c r="E121" s="11">
        <v>7424</v>
      </c>
      <c r="F121" s="23" t="str">
        <f>IFERROR(VLOOKUP(C121, 'Catégorie des articles'!$A:$D, 4, FALSE), "")</f>
        <v>CREMERIE</v>
      </c>
      <c r="G121">
        <f t="shared" si="1"/>
        <v>202204</v>
      </c>
    </row>
    <row r="122" spans="1:7" ht="12" customHeight="1">
      <c r="A122" s="6">
        <v>44670</v>
      </c>
      <c r="B122" s="7">
        <v>142655305</v>
      </c>
      <c r="C122" s="3">
        <v>5540246184808</v>
      </c>
      <c r="D122" s="6">
        <v>44672</v>
      </c>
      <c r="E122" s="8">
        <v>2088</v>
      </c>
      <c r="F122" s="23" t="str">
        <f>IFERROR(VLOOKUP(C122, 'Catégorie des articles'!$A:$D, 4, FALSE), "")</f>
        <v>CREMERIE</v>
      </c>
      <c r="G122">
        <f t="shared" si="1"/>
        <v>202204</v>
      </c>
    </row>
    <row r="123" spans="1:7" ht="12" customHeight="1">
      <c r="A123" s="9">
        <v>44670</v>
      </c>
      <c r="B123" s="10">
        <v>142655305</v>
      </c>
      <c r="C123" s="3">
        <v>5540246187987</v>
      </c>
      <c r="D123" s="9">
        <v>44672</v>
      </c>
      <c r="E123" s="11">
        <v>4455</v>
      </c>
      <c r="F123" s="23" t="str">
        <f>IFERROR(VLOOKUP(C123, 'Catégorie des articles'!$A:$D, 4, FALSE), "")</f>
        <v>CREMERIE</v>
      </c>
      <c r="G123">
        <f t="shared" si="1"/>
        <v>202204</v>
      </c>
    </row>
    <row r="124" spans="1:7" ht="12" customHeight="1">
      <c r="A124" s="9">
        <v>44670</v>
      </c>
      <c r="B124" s="10">
        <v>142655305</v>
      </c>
      <c r="C124" s="3">
        <v>5540246188200</v>
      </c>
      <c r="D124" s="9">
        <v>44672</v>
      </c>
      <c r="E124" s="11">
        <v>372</v>
      </c>
      <c r="F124" s="23" t="str">
        <f>IFERROR(VLOOKUP(C124, 'Catégorie des articles'!$A:$D, 4, FALSE), "")</f>
        <v>CREMERIE</v>
      </c>
      <c r="G124">
        <f t="shared" si="1"/>
        <v>202204</v>
      </c>
    </row>
    <row r="125" spans="1:7" ht="12" customHeight="1">
      <c r="A125" s="6">
        <v>44671</v>
      </c>
      <c r="B125" s="7">
        <v>142655325</v>
      </c>
      <c r="C125" s="3">
        <v>5540246176294</v>
      </c>
      <c r="D125" s="6">
        <v>44675</v>
      </c>
      <c r="E125" s="8">
        <v>1485</v>
      </c>
      <c r="F125" s="23" t="str">
        <f>IFERROR(VLOOKUP(C125, 'Catégorie des articles'!$A:$D, 4, FALSE), "")</f>
        <v>CREMERIE</v>
      </c>
      <c r="G125">
        <f t="shared" si="1"/>
        <v>202204</v>
      </c>
    </row>
    <row r="126" spans="1:7" ht="12" customHeight="1">
      <c r="A126" s="9">
        <v>44671</v>
      </c>
      <c r="B126" s="10">
        <v>142655325</v>
      </c>
      <c r="C126" s="3">
        <v>5540246176295</v>
      </c>
      <c r="D126" s="9">
        <v>44675</v>
      </c>
      <c r="E126" s="11">
        <v>7424</v>
      </c>
      <c r="F126" s="23" t="str">
        <f>IFERROR(VLOOKUP(C126, 'Catégorie des articles'!$A:$D, 4, FALSE), "")</f>
        <v>CREMERIE</v>
      </c>
      <c r="G126">
        <f t="shared" si="1"/>
        <v>202204</v>
      </c>
    </row>
    <row r="127" spans="1:7" ht="12" customHeight="1">
      <c r="A127" s="9">
        <v>44671</v>
      </c>
      <c r="B127" s="10">
        <v>142655325</v>
      </c>
      <c r="C127" s="3">
        <v>5540246184808</v>
      </c>
      <c r="D127" s="9">
        <v>44675</v>
      </c>
      <c r="E127" s="11">
        <v>2088</v>
      </c>
      <c r="F127" s="23" t="str">
        <f>IFERROR(VLOOKUP(C127, 'Catégorie des articles'!$A:$D, 4, FALSE), "")</f>
        <v>CREMERIE</v>
      </c>
      <c r="G127">
        <f t="shared" si="1"/>
        <v>202204</v>
      </c>
    </row>
    <row r="128" spans="1:7" ht="12" customHeight="1">
      <c r="A128" s="6">
        <v>44671</v>
      </c>
      <c r="B128" s="7">
        <v>142655325</v>
      </c>
      <c r="C128" s="3">
        <v>5540246188200</v>
      </c>
      <c r="D128" s="6">
        <v>44675</v>
      </c>
      <c r="E128" s="8">
        <v>743</v>
      </c>
      <c r="F128" s="23" t="str">
        <f>IFERROR(VLOOKUP(C128, 'Catégorie des articles'!$A:$D, 4, FALSE), "")</f>
        <v>CREMERIE</v>
      </c>
      <c r="G128">
        <f t="shared" si="1"/>
        <v>202204</v>
      </c>
    </row>
    <row r="129" spans="1:7" ht="12" customHeight="1">
      <c r="A129" s="9">
        <v>44671</v>
      </c>
      <c r="B129" s="10">
        <v>142655331</v>
      </c>
      <c r="C129" s="3">
        <v>5540246172539</v>
      </c>
      <c r="D129" s="9">
        <v>44675</v>
      </c>
      <c r="E129" s="11">
        <v>47</v>
      </c>
      <c r="F129" s="23" t="str">
        <f>IFERROR(VLOOKUP(C129, 'Catégorie des articles'!$A:$D, 4, FALSE), "")</f>
        <v>CREMERIE</v>
      </c>
      <c r="G129">
        <f t="shared" si="1"/>
        <v>202204</v>
      </c>
    </row>
    <row r="130" spans="1:7" ht="12" customHeight="1">
      <c r="A130" s="6">
        <v>44671</v>
      </c>
      <c r="B130" s="7">
        <v>142655334</v>
      </c>
      <c r="C130" s="3">
        <v>5540246185429</v>
      </c>
      <c r="D130" s="6">
        <v>44678</v>
      </c>
      <c r="E130" s="8">
        <v>140</v>
      </c>
      <c r="F130" s="23" t="str">
        <f>IFERROR(VLOOKUP(C130, 'Catégorie des articles'!$A:$D, 4, FALSE), "")</f>
        <v>CREMERIE</v>
      </c>
      <c r="G130">
        <f t="shared" si="1"/>
        <v>202204</v>
      </c>
    </row>
    <row r="131" spans="1:7" ht="12" customHeight="1">
      <c r="A131" s="9">
        <v>44671</v>
      </c>
      <c r="B131" s="10">
        <v>142655334</v>
      </c>
      <c r="C131" s="3">
        <v>5540246185562</v>
      </c>
      <c r="D131" s="9">
        <v>44678</v>
      </c>
      <c r="E131" s="11">
        <v>279</v>
      </c>
      <c r="F131" s="23" t="str">
        <f>IFERROR(VLOOKUP(C131, 'Catégorie des articles'!$A:$D, 4, FALSE), "")</f>
        <v>CREMERIE</v>
      </c>
      <c r="G131">
        <f t="shared" ref="G131:G194" si="2">YEAR(D131)*100 + MONTH(D131)</f>
        <v>202204</v>
      </c>
    </row>
    <row r="132" spans="1:7" ht="12" customHeight="1">
      <c r="A132" s="6">
        <v>44671</v>
      </c>
      <c r="B132" s="7">
        <v>142655334</v>
      </c>
      <c r="C132" s="3">
        <v>5540246186325</v>
      </c>
      <c r="D132" s="6">
        <v>44678</v>
      </c>
      <c r="E132" s="8">
        <v>279</v>
      </c>
      <c r="F132" s="23" t="str">
        <f>IFERROR(VLOOKUP(C132, 'Catégorie des articles'!$A:$D, 4, FALSE), "")</f>
        <v>CREMERIE</v>
      </c>
      <c r="G132">
        <f t="shared" si="2"/>
        <v>202204</v>
      </c>
    </row>
    <row r="133" spans="1:7" ht="12" customHeight="1">
      <c r="A133" s="6">
        <v>44671</v>
      </c>
      <c r="B133" s="7">
        <v>142655344</v>
      </c>
      <c r="C133" s="3">
        <v>5540246183547</v>
      </c>
      <c r="D133" s="6">
        <v>44684</v>
      </c>
      <c r="E133" s="8">
        <v>6682</v>
      </c>
      <c r="F133" s="23" t="str">
        <f>IFERROR(VLOOKUP(C133, 'Catégorie des articles'!$A:$D, 4, FALSE), "")</f>
        <v>VOLAILLE</v>
      </c>
      <c r="G133">
        <f t="shared" si="2"/>
        <v>202205</v>
      </c>
    </row>
    <row r="134" spans="1:7" ht="12" customHeight="1">
      <c r="A134" s="9">
        <v>44671</v>
      </c>
      <c r="B134" s="10">
        <v>142655344</v>
      </c>
      <c r="C134" s="3">
        <v>5540246185278</v>
      </c>
      <c r="D134" s="9">
        <v>44684</v>
      </c>
      <c r="E134" s="11">
        <v>3358</v>
      </c>
      <c r="F134" s="23" t="str">
        <f>IFERROR(VLOOKUP(C134, 'Catégorie des articles'!$A:$D, 4, FALSE), "")</f>
        <v>VOLAILLE</v>
      </c>
      <c r="G134">
        <f t="shared" si="2"/>
        <v>202205</v>
      </c>
    </row>
    <row r="135" spans="1:7" ht="12" customHeight="1">
      <c r="A135" s="6">
        <v>44671</v>
      </c>
      <c r="B135" s="7">
        <v>142655345</v>
      </c>
      <c r="C135" s="3">
        <v>5540246181061</v>
      </c>
      <c r="D135" s="6">
        <v>44686</v>
      </c>
      <c r="E135" s="8">
        <v>5513</v>
      </c>
      <c r="F135" s="23" t="str">
        <f>IFERROR(VLOOKUP(C135, 'Catégorie des articles'!$A:$D, 4, FALSE), "")</f>
        <v>VOLAILLE</v>
      </c>
      <c r="G135">
        <f t="shared" si="2"/>
        <v>202205</v>
      </c>
    </row>
    <row r="136" spans="1:7" ht="12" customHeight="1">
      <c r="A136" s="6">
        <v>44671</v>
      </c>
      <c r="B136" s="7">
        <v>142655350</v>
      </c>
      <c r="C136" s="3">
        <v>5540246193505</v>
      </c>
      <c r="D136" s="6">
        <v>44686</v>
      </c>
      <c r="E136" s="8">
        <v>15962</v>
      </c>
      <c r="F136" s="23" t="str">
        <f>IFERROR(VLOOKUP(C136, 'Catégorie des articles'!$A:$D, 4, FALSE), "")</f>
        <v>BOULANGERIE</v>
      </c>
      <c r="G136">
        <f t="shared" si="2"/>
        <v>202205</v>
      </c>
    </row>
    <row r="137" spans="1:7" ht="12" customHeight="1">
      <c r="A137" s="9">
        <v>44671</v>
      </c>
      <c r="B137" s="10">
        <v>142655351</v>
      </c>
      <c r="C137" s="3">
        <v>5540246193505</v>
      </c>
      <c r="D137" s="9">
        <v>44691</v>
      </c>
      <c r="E137" s="11">
        <v>19154</v>
      </c>
      <c r="F137" s="23" t="str">
        <f>IFERROR(VLOOKUP(C137, 'Catégorie des articles'!$A:$D, 4, FALSE), "")</f>
        <v>BOULANGERIE</v>
      </c>
      <c r="G137">
        <f t="shared" si="2"/>
        <v>202205</v>
      </c>
    </row>
    <row r="138" spans="1:7" ht="12" customHeight="1">
      <c r="A138" s="6">
        <v>44672</v>
      </c>
      <c r="B138" s="7">
        <v>142665361</v>
      </c>
      <c r="C138" s="3">
        <v>5540246171933</v>
      </c>
      <c r="D138" s="6">
        <v>44676</v>
      </c>
      <c r="E138" s="8">
        <v>1671</v>
      </c>
      <c r="F138" s="23" t="str">
        <f>IFERROR(VLOOKUP(C138, 'Catégorie des articles'!$A:$D, 4, FALSE), "")</f>
        <v>CREMERIE</v>
      </c>
      <c r="G138">
        <f t="shared" si="2"/>
        <v>202204</v>
      </c>
    </row>
    <row r="139" spans="1:7" ht="12" customHeight="1">
      <c r="A139" s="9">
        <v>44672</v>
      </c>
      <c r="B139" s="10">
        <v>142665361</v>
      </c>
      <c r="C139" s="3">
        <v>5540246172978</v>
      </c>
      <c r="D139" s="9">
        <v>44676</v>
      </c>
      <c r="E139" s="11">
        <v>836</v>
      </c>
      <c r="F139" s="23" t="str">
        <f>IFERROR(VLOOKUP(C139, 'Catégorie des articles'!$A:$D, 4, FALSE), "")</f>
        <v>CREMERIE</v>
      </c>
      <c r="G139">
        <f t="shared" si="2"/>
        <v>202204</v>
      </c>
    </row>
    <row r="140" spans="1:7" ht="12" customHeight="1">
      <c r="A140" s="6">
        <v>44672</v>
      </c>
      <c r="B140" s="7">
        <v>142665361</v>
      </c>
      <c r="C140" s="3">
        <v>5540246174174</v>
      </c>
      <c r="D140" s="6">
        <v>44676</v>
      </c>
      <c r="E140" s="8">
        <v>464</v>
      </c>
      <c r="F140" s="23" t="str">
        <f>IFERROR(VLOOKUP(C140, 'Catégorie des articles'!$A:$D, 4, FALSE), "")</f>
        <v>CREMERIE</v>
      </c>
      <c r="G140">
        <f t="shared" si="2"/>
        <v>202204</v>
      </c>
    </row>
    <row r="141" spans="1:7" ht="12" customHeight="1">
      <c r="A141" s="9">
        <v>44672</v>
      </c>
      <c r="B141" s="10">
        <v>142665361</v>
      </c>
      <c r="C141" s="3">
        <v>5540246176294</v>
      </c>
      <c r="D141" s="9">
        <v>44676</v>
      </c>
      <c r="E141" s="11">
        <v>4455</v>
      </c>
      <c r="F141" s="23" t="str">
        <f>IFERROR(VLOOKUP(C141, 'Catégorie des articles'!$A:$D, 4, FALSE), "")</f>
        <v>CREMERIE</v>
      </c>
      <c r="G141">
        <f t="shared" si="2"/>
        <v>202204</v>
      </c>
    </row>
    <row r="142" spans="1:7" ht="12" customHeight="1">
      <c r="A142" s="6">
        <v>44672</v>
      </c>
      <c r="B142" s="7">
        <v>142665361</v>
      </c>
      <c r="C142" s="3">
        <v>5540246176295</v>
      </c>
      <c r="D142" s="6">
        <v>44676</v>
      </c>
      <c r="E142" s="8">
        <v>7424</v>
      </c>
      <c r="F142" s="23" t="str">
        <f>IFERROR(VLOOKUP(C142, 'Catégorie des articles'!$A:$D, 4, FALSE), "")</f>
        <v>CREMERIE</v>
      </c>
      <c r="G142">
        <f t="shared" si="2"/>
        <v>202204</v>
      </c>
    </row>
    <row r="143" spans="1:7" ht="12" customHeight="1">
      <c r="A143" s="9">
        <v>44672</v>
      </c>
      <c r="B143" s="10">
        <v>142665361</v>
      </c>
      <c r="C143" s="3">
        <v>5540246184808</v>
      </c>
      <c r="D143" s="9">
        <v>44676</v>
      </c>
      <c r="E143" s="11">
        <v>2088</v>
      </c>
      <c r="F143" s="23" t="str">
        <f>IFERROR(VLOOKUP(C143, 'Catégorie des articles'!$A:$D, 4, FALSE), "")</f>
        <v>CREMERIE</v>
      </c>
      <c r="G143">
        <f t="shared" si="2"/>
        <v>202204</v>
      </c>
    </row>
    <row r="144" spans="1:7" ht="12" customHeight="1">
      <c r="A144" s="9">
        <v>44672</v>
      </c>
      <c r="B144" s="10">
        <v>142665361</v>
      </c>
      <c r="C144" s="3">
        <v>5540246188200</v>
      </c>
      <c r="D144" s="9">
        <v>44676</v>
      </c>
      <c r="E144" s="11">
        <v>743</v>
      </c>
      <c r="F144" s="23" t="str">
        <f>IFERROR(VLOOKUP(C144, 'Catégorie des articles'!$A:$D, 4, FALSE), "")</f>
        <v>CREMERIE</v>
      </c>
      <c r="G144">
        <f t="shared" si="2"/>
        <v>202204</v>
      </c>
    </row>
    <row r="145" spans="1:7" ht="12" customHeight="1">
      <c r="A145" s="6">
        <v>44672</v>
      </c>
      <c r="B145" s="7">
        <v>142665365</v>
      </c>
      <c r="C145" s="3">
        <v>5540246173472</v>
      </c>
      <c r="D145" s="6">
        <v>44679</v>
      </c>
      <c r="E145" s="8">
        <v>140</v>
      </c>
      <c r="F145" s="23" t="str">
        <f>IFERROR(VLOOKUP(C145, 'Catégorie des articles'!$A:$D, 4, FALSE), "")</f>
        <v>CREMERIE</v>
      </c>
      <c r="G145">
        <f t="shared" si="2"/>
        <v>202204</v>
      </c>
    </row>
    <row r="146" spans="1:7" ht="12" customHeight="1">
      <c r="A146" s="9">
        <v>44672</v>
      </c>
      <c r="B146" s="10">
        <v>142665365</v>
      </c>
      <c r="C146" s="3">
        <v>5540246174095</v>
      </c>
      <c r="D146" s="9">
        <v>44679</v>
      </c>
      <c r="E146" s="11">
        <v>56</v>
      </c>
      <c r="F146" s="23" t="str">
        <f>IFERROR(VLOOKUP(C146, 'Catégorie des articles'!$A:$D, 4, FALSE), "")</f>
        <v>CREMERIE</v>
      </c>
      <c r="G146">
        <f t="shared" si="2"/>
        <v>202204</v>
      </c>
    </row>
    <row r="147" spans="1:7" ht="12" customHeight="1">
      <c r="A147" s="6">
        <v>44672</v>
      </c>
      <c r="B147" s="7">
        <v>142665365</v>
      </c>
      <c r="C147" s="3">
        <v>5540246175049</v>
      </c>
      <c r="D147" s="6">
        <v>44679</v>
      </c>
      <c r="E147" s="8">
        <v>279</v>
      </c>
      <c r="F147" s="23" t="str">
        <f>IFERROR(VLOOKUP(C147, 'Catégorie des articles'!$A:$D, 4, FALSE), "")</f>
        <v>CREMERIE</v>
      </c>
      <c r="G147">
        <f t="shared" si="2"/>
        <v>202204</v>
      </c>
    </row>
    <row r="148" spans="1:7" ht="12" customHeight="1">
      <c r="A148" s="9">
        <v>44672</v>
      </c>
      <c r="B148" s="10">
        <v>142665365</v>
      </c>
      <c r="C148" s="3">
        <v>5540246175050</v>
      </c>
      <c r="D148" s="9">
        <v>44679</v>
      </c>
      <c r="E148" s="11">
        <v>279</v>
      </c>
      <c r="F148" s="23" t="str">
        <f>IFERROR(VLOOKUP(C148, 'Catégorie des articles'!$A:$D, 4, FALSE), "")</f>
        <v>CREMERIE</v>
      </c>
      <c r="G148">
        <f t="shared" si="2"/>
        <v>202204</v>
      </c>
    </row>
    <row r="149" spans="1:7" ht="12" customHeight="1">
      <c r="A149" s="6">
        <v>44672</v>
      </c>
      <c r="B149" s="7">
        <v>142665365</v>
      </c>
      <c r="C149" s="3">
        <v>5540246190743</v>
      </c>
      <c r="D149" s="6">
        <v>44679</v>
      </c>
      <c r="E149" s="8">
        <v>279</v>
      </c>
      <c r="F149" s="23" t="str">
        <f>IFERROR(VLOOKUP(C149, 'Catégorie des articles'!$A:$D, 4, FALSE), "")</f>
        <v>CREMERIE</v>
      </c>
      <c r="G149">
        <f t="shared" si="2"/>
        <v>202204</v>
      </c>
    </row>
    <row r="150" spans="1:7" ht="12" customHeight="1">
      <c r="A150" s="9">
        <v>44672</v>
      </c>
      <c r="B150" s="10">
        <v>142665370</v>
      </c>
      <c r="C150" s="3">
        <v>5540246188224</v>
      </c>
      <c r="D150" s="9">
        <v>44686</v>
      </c>
      <c r="E150" s="11">
        <v>1207</v>
      </c>
      <c r="F150" s="23" t="str">
        <f>IFERROR(VLOOKUP(C150, 'Catégorie des articles'!$A:$D, 4, FALSE), "")</f>
        <v>VOLAILLE</v>
      </c>
      <c r="G150">
        <f t="shared" si="2"/>
        <v>202205</v>
      </c>
    </row>
    <row r="151" spans="1:7" ht="12" customHeight="1">
      <c r="A151" s="6">
        <v>44672</v>
      </c>
      <c r="B151" s="7">
        <v>142665373</v>
      </c>
      <c r="C151" s="3">
        <v>5540246183556</v>
      </c>
      <c r="D151" s="6">
        <v>44679</v>
      </c>
      <c r="E151" s="8">
        <v>1782</v>
      </c>
      <c r="F151" s="23" t="str">
        <f>IFERROR(VLOOKUP(C151, 'Catégorie des articles'!$A:$D, 4, FALSE), "")</f>
        <v>MIX LEGUMES</v>
      </c>
      <c r="G151">
        <f t="shared" si="2"/>
        <v>202204</v>
      </c>
    </row>
    <row r="152" spans="1:7" ht="12" customHeight="1">
      <c r="A152" s="9">
        <v>44672</v>
      </c>
      <c r="B152" s="10">
        <v>142665373</v>
      </c>
      <c r="C152" s="3">
        <v>5540246183558</v>
      </c>
      <c r="D152" s="9">
        <v>44679</v>
      </c>
      <c r="E152" s="11">
        <v>1300</v>
      </c>
      <c r="F152" s="23" t="str">
        <f>IFERROR(VLOOKUP(C152, 'Catégorie des articles'!$A:$D, 4, FALSE), "")</f>
        <v>MIX LEGUMES</v>
      </c>
      <c r="G152">
        <f t="shared" si="2"/>
        <v>202204</v>
      </c>
    </row>
    <row r="153" spans="1:7" ht="12" customHeight="1">
      <c r="A153" s="6">
        <v>44672</v>
      </c>
      <c r="B153" s="7">
        <v>142665373</v>
      </c>
      <c r="C153" s="3">
        <v>5540246192209</v>
      </c>
      <c r="D153" s="6">
        <v>44679</v>
      </c>
      <c r="E153" s="8">
        <v>1114</v>
      </c>
      <c r="F153" s="23" t="str">
        <f>IFERROR(VLOOKUP(C153, 'Catégorie des articles'!$A:$D, 4, FALSE), "")</f>
        <v>MIX LEGUMES</v>
      </c>
      <c r="G153">
        <f t="shared" si="2"/>
        <v>202204</v>
      </c>
    </row>
    <row r="154" spans="1:7" ht="12" customHeight="1">
      <c r="A154" s="9">
        <v>44672</v>
      </c>
      <c r="B154" s="10">
        <v>142665373</v>
      </c>
      <c r="C154" s="3">
        <v>5540246192462</v>
      </c>
      <c r="D154" s="9">
        <v>44679</v>
      </c>
      <c r="E154" s="11">
        <v>2228</v>
      </c>
      <c r="F154" s="23" t="str">
        <f>IFERROR(VLOOKUP(C154, 'Catégorie des articles'!$A:$D, 4, FALSE), "")</f>
        <v>MIX LEGUMES</v>
      </c>
      <c r="G154">
        <f t="shared" si="2"/>
        <v>202204</v>
      </c>
    </row>
    <row r="155" spans="1:7" ht="12" customHeight="1">
      <c r="A155" s="6">
        <v>44672</v>
      </c>
      <c r="B155" s="7">
        <v>142665373</v>
      </c>
      <c r="C155" s="3">
        <v>5540246192594</v>
      </c>
      <c r="D155" s="6">
        <v>44679</v>
      </c>
      <c r="E155" s="8">
        <v>743</v>
      </c>
      <c r="F155" s="23" t="str">
        <f>IFERROR(VLOOKUP(C155, 'Catégorie des articles'!$A:$D, 4, FALSE), "")</f>
        <v>MIX LEGUMES</v>
      </c>
      <c r="G155">
        <f t="shared" si="2"/>
        <v>202204</v>
      </c>
    </row>
    <row r="156" spans="1:7" ht="12" customHeight="1">
      <c r="A156" s="9">
        <v>44672</v>
      </c>
      <c r="B156" s="10">
        <v>142665376</v>
      </c>
      <c r="C156" s="3">
        <v>5540246170256</v>
      </c>
      <c r="D156" s="9">
        <v>44683</v>
      </c>
      <c r="E156" s="11">
        <v>3351</v>
      </c>
      <c r="F156" s="23" t="str">
        <f>IFERROR(VLOOKUP(C156, 'Catégorie des articles'!$A:$D, 4, FALSE), "")</f>
        <v>BOULANGERIE</v>
      </c>
      <c r="G156">
        <f t="shared" si="2"/>
        <v>202205</v>
      </c>
    </row>
    <row r="157" spans="1:7" ht="12" customHeight="1">
      <c r="A157" s="6">
        <v>44672</v>
      </c>
      <c r="B157" s="7">
        <v>142665378</v>
      </c>
      <c r="C157" s="3">
        <v>5540246191596</v>
      </c>
      <c r="D157" s="6">
        <v>44678</v>
      </c>
      <c r="E157" s="8">
        <v>149</v>
      </c>
      <c r="F157" s="23" t="str">
        <f>IFERROR(VLOOKUP(C157, 'Catégorie des articles'!$A:$D, 4, FALSE), "")</f>
        <v>BOULANGERIE</v>
      </c>
      <c r="G157">
        <f t="shared" si="2"/>
        <v>202204</v>
      </c>
    </row>
    <row r="158" spans="1:7" ht="12" customHeight="1">
      <c r="A158" s="9">
        <v>44672</v>
      </c>
      <c r="B158" s="10">
        <v>142665379</v>
      </c>
      <c r="C158" s="3">
        <v>5540246180522</v>
      </c>
      <c r="D158" s="9">
        <v>44685</v>
      </c>
      <c r="E158" s="11">
        <v>1337</v>
      </c>
      <c r="F158" s="23" t="str">
        <f>IFERROR(VLOOKUP(C158, 'Catégorie des articles'!$A:$D, 4, FALSE), "")</f>
        <v>BOULANGERIE</v>
      </c>
      <c r="G158">
        <f t="shared" si="2"/>
        <v>202205</v>
      </c>
    </row>
    <row r="159" spans="1:7" ht="12" customHeight="1">
      <c r="A159" s="6">
        <v>44672</v>
      </c>
      <c r="B159" s="7">
        <v>142665380</v>
      </c>
      <c r="C159" s="3">
        <v>5540246175049</v>
      </c>
      <c r="D159" s="6">
        <v>44675</v>
      </c>
      <c r="E159" s="8">
        <v>557</v>
      </c>
      <c r="F159" s="23" t="str">
        <f>IFERROR(VLOOKUP(C159, 'Catégorie des articles'!$A:$D, 4, FALSE), "")</f>
        <v>CREMERIE</v>
      </c>
      <c r="G159">
        <f t="shared" si="2"/>
        <v>202204</v>
      </c>
    </row>
    <row r="160" spans="1:7" ht="12" customHeight="1">
      <c r="A160" s="9">
        <v>44672</v>
      </c>
      <c r="B160" s="10">
        <v>142665380</v>
      </c>
      <c r="C160" s="3">
        <v>5540246175050</v>
      </c>
      <c r="D160" s="9">
        <v>44675</v>
      </c>
      <c r="E160" s="11">
        <v>557</v>
      </c>
      <c r="F160" s="23" t="str">
        <f>IFERROR(VLOOKUP(C160, 'Catégorie des articles'!$A:$D, 4, FALSE), "")</f>
        <v>CREMERIE</v>
      </c>
      <c r="G160">
        <f t="shared" si="2"/>
        <v>202204</v>
      </c>
    </row>
    <row r="161" spans="1:7" ht="12" customHeight="1">
      <c r="A161" s="6">
        <v>44675</v>
      </c>
      <c r="B161" s="7">
        <v>142665396</v>
      </c>
      <c r="C161" s="3">
        <v>5540246172978</v>
      </c>
      <c r="D161" s="6">
        <v>44677</v>
      </c>
      <c r="E161" s="8">
        <v>836</v>
      </c>
      <c r="F161" s="23" t="str">
        <f>IFERROR(VLOOKUP(C161, 'Catégorie des articles'!$A:$D, 4, FALSE), "")</f>
        <v>CREMERIE</v>
      </c>
      <c r="G161">
        <f t="shared" si="2"/>
        <v>202204</v>
      </c>
    </row>
    <row r="162" spans="1:7" ht="12" customHeight="1">
      <c r="A162" s="9">
        <v>44675</v>
      </c>
      <c r="B162" s="10">
        <v>142665396</v>
      </c>
      <c r="C162" s="3">
        <v>5540246184808</v>
      </c>
      <c r="D162" s="9">
        <v>44677</v>
      </c>
      <c r="E162" s="11">
        <v>2088</v>
      </c>
      <c r="F162" s="23" t="str">
        <f>IFERROR(VLOOKUP(C162, 'Catégorie des articles'!$A:$D, 4, FALSE), "")</f>
        <v>CREMERIE</v>
      </c>
      <c r="G162">
        <f t="shared" si="2"/>
        <v>202204</v>
      </c>
    </row>
    <row r="163" spans="1:7" ht="12" customHeight="1">
      <c r="A163" s="6">
        <v>44675</v>
      </c>
      <c r="B163" s="7">
        <v>142665396</v>
      </c>
      <c r="C163" s="3">
        <v>5540246188175</v>
      </c>
      <c r="D163" s="6">
        <v>44677</v>
      </c>
      <c r="E163" s="8">
        <v>116</v>
      </c>
      <c r="F163" s="23" t="str">
        <f>IFERROR(VLOOKUP(C163, 'Catégorie des articles'!$A:$D, 4, FALSE), "")</f>
        <v>CREMERIE</v>
      </c>
      <c r="G163">
        <f t="shared" si="2"/>
        <v>202204</v>
      </c>
    </row>
    <row r="164" spans="1:7" ht="12" customHeight="1">
      <c r="A164" s="6">
        <v>44675</v>
      </c>
      <c r="B164" s="7">
        <v>142665396</v>
      </c>
      <c r="C164" s="3">
        <v>5540246188200</v>
      </c>
      <c r="D164" s="6">
        <v>44677</v>
      </c>
      <c r="E164" s="8">
        <v>743</v>
      </c>
      <c r="F164" s="23" t="str">
        <f>IFERROR(VLOOKUP(C164, 'Catégorie des articles'!$A:$D, 4, FALSE), "")</f>
        <v>CREMERIE</v>
      </c>
      <c r="G164">
        <f t="shared" si="2"/>
        <v>202204</v>
      </c>
    </row>
    <row r="165" spans="1:7" ht="12" customHeight="1">
      <c r="A165" s="9">
        <v>44675</v>
      </c>
      <c r="B165" s="10">
        <v>142665396</v>
      </c>
      <c r="C165" s="3">
        <v>5540246192102</v>
      </c>
      <c r="D165" s="9">
        <v>44677</v>
      </c>
      <c r="E165" s="11">
        <v>4009</v>
      </c>
      <c r="F165" s="23" t="str">
        <f>IFERROR(VLOOKUP(C165, 'Catégorie des articles'!$A:$D, 4, FALSE), "")</f>
        <v>CREMERIE</v>
      </c>
      <c r="G165">
        <f t="shared" si="2"/>
        <v>202204</v>
      </c>
    </row>
    <row r="166" spans="1:7" ht="12" customHeight="1">
      <c r="A166" s="6">
        <v>44675</v>
      </c>
      <c r="B166" s="7">
        <v>142665408</v>
      </c>
      <c r="C166" s="3">
        <v>5540246184617</v>
      </c>
      <c r="D166" s="6">
        <v>44678</v>
      </c>
      <c r="E166" s="8">
        <v>18338</v>
      </c>
      <c r="F166" s="23" t="str">
        <f>IFERROR(VLOOKUP(C166, 'Catégorie des articles'!$A:$D, 4, FALSE), "")</f>
        <v>MIX LEGUMES</v>
      </c>
      <c r="G166">
        <f t="shared" si="2"/>
        <v>202204</v>
      </c>
    </row>
    <row r="167" spans="1:7" ht="12" customHeight="1">
      <c r="A167" s="9">
        <v>44675</v>
      </c>
      <c r="B167" s="10">
        <v>142665409</v>
      </c>
      <c r="C167" s="3">
        <v>5540246187987</v>
      </c>
      <c r="D167" s="9">
        <v>44677</v>
      </c>
      <c r="E167" s="11">
        <v>2228</v>
      </c>
      <c r="F167" s="23" t="str">
        <f>IFERROR(VLOOKUP(C167, 'Catégorie des articles'!$A:$D, 4, FALSE), "")</f>
        <v>CREMERIE</v>
      </c>
      <c r="G167">
        <f t="shared" si="2"/>
        <v>202204</v>
      </c>
    </row>
    <row r="168" spans="1:7" ht="12" customHeight="1">
      <c r="A168" s="6">
        <v>44675</v>
      </c>
      <c r="B168" s="7">
        <v>142665410</v>
      </c>
      <c r="C168" s="3">
        <v>5540246193566</v>
      </c>
      <c r="D168" s="6">
        <v>44678</v>
      </c>
      <c r="E168" s="8">
        <v>14292</v>
      </c>
      <c r="F168" s="23" t="str">
        <f>IFERROR(VLOOKUP(C168, 'Catégorie des articles'!$A:$D, 4, FALSE), "")</f>
        <v>VOLAILLE</v>
      </c>
      <c r="G168">
        <f t="shared" si="2"/>
        <v>202204</v>
      </c>
    </row>
    <row r="169" spans="1:7" ht="12" customHeight="1">
      <c r="A169" s="9">
        <v>44675</v>
      </c>
      <c r="B169" s="10">
        <v>142665413</v>
      </c>
      <c r="C169" s="3">
        <v>5540246171759</v>
      </c>
      <c r="D169" s="9">
        <v>44679</v>
      </c>
      <c r="E169" s="11">
        <v>5012</v>
      </c>
      <c r="F169" s="23" t="str">
        <f>IFERROR(VLOOKUP(C169, 'Catégorie des articles'!$A:$D, 4, FALSE), "")</f>
        <v>MIX LEGUMES</v>
      </c>
      <c r="G169">
        <f t="shared" si="2"/>
        <v>202204</v>
      </c>
    </row>
    <row r="170" spans="1:7" ht="12" customHeight="1">
      <c r="A170" s="6">
        <v>44675</v>
      </c>
      <c r="B170" s="7">
        <v>142665413</v>
      </c>
      <c r="C170" s="3">
        <v>5540246177132</v>
      </c>
      <c r="D170" s="6">
        <v>44679</v>
      </c>
      <c r="E170" s="8">
        <v>3898</v>
      </c>
      <c r="F170" s="23" t="str">
        <f>IFERROR(VLOOKUP(C170, 'Catégorie des articles'!$A:$D, 4, FALSE), "")</f>
        <v>MIX LEGUMES</v>
      </c>
      <c r="G170">
        <f t="shared" si="2"/>
        <v>202204</v>
      </c>
    </row>
    <row r="171" spans="1:7" ht="12" customHeight="1">
      <c r="A171" s="9">
        <v>44675</v>
      </c>
      <c r="B171" s="10">
        <v>142665413</v>
      </c>
      <c r="C171" s="3">
        <v>5540246177133</v>
      </c>
      <c r="D171" s="9">
        <v>44679</v>
      </c>
      <c r="E171" s="11">
        <v>2784</v>
      </c>
      <c r="F171" s="23" t="str">
        <f>IFERROR(VLOOKUP(C171, 'Catégorie des articles'!$A:$D, 4, FALSE), "")</f>
        <v>MIX LEGUMES</v>
      </c>
      <c r="G171">
        <f t="shared" si="2"/>
        <v>202204</v>
      </c>
    </row>
    <row r="172" spans="1:7" ht="12" customHeight="1">
      <c r="A172" s="9">
        <v>44675</v>
      </c>
      <c r="B172" s="10">
        <v>142665418</v>
      </c>
      <c r="C172" s="3">
        <v>5540246181016</v>
      </c>
      <c r="D172" s="9">
        <v>44683</v>
      </c>
      <c r="E172" s="11">
        <v>12473</v>
      </c>
      <c r="F172" s="23" t="str">
        <f>IFERROR(VLOOKUP(C172, 'Catégorie des articles'!$A:$D, 4, FALSE), "")</f>
        <v>VOLAILLE</v>
      </c>
      <c r="G172">
        <f t="shared" si="2"/>
        <v>202205</v>
      </c>
    </row>
    <row r="173" spans="1:7" ht="12" customHeight="1">
      <c r="A173" s="9">
        <v>44675</v>
      </c>
      <c r="B173" s="10">
        <v>142665420</v>
      </c>
      <c r="C173" s="3">
        <v>5540246192264</v>
      </c>
      <c r="D173" s="9">
        <v>44707</v>
      </c>
      <c r="E173" s="11">
        <v>1485</v>
      </c>
      <c r="F173" s="23" t="str">
        <f>IFERROR(VLOOKUP(C173, 'Catégorie des articles'!$A:$D, 4, FALSE), "")</f>
        <v>CREMERIE</v>
      </c>
      <c r="G173">
        <f t="shared" si="2"/>
        <v>202205</v>
      </c>
    </row>
    <row r="174" spans="1:7" ht="12" customHeight="1">
      <c r="A174" s="6">
        <v>44675</v>
      </c>
      <c r="B174" s="7">
        <v>142665420</v>
      </c>
      <c r="C174" s="3">
        <v>5540246192265</v>
      </c>
      <c r="D174" s="6">
        <v>44707</v>
      </c>
      <c r="E174" s="8">
        <v>297</v>
      </c>
      <c r="F174" s="23" t="str">
        <f>IFERROR(VLOOKUP(C174, 'Catégorie des articles'!$A:$D, 4, FALSE), "")</f>
        <v>CREMERIE</v>
      </c>
      <c r="G174">
        <f t="shared" si="2"/>
        <v>202205</v>
      </c>
    </row>
    <row r="175" spans="1:7" ht="12" customHeight="1">
      <c r="A175" s="6">
        <v>44676</v>
      </c>
      <c r="B175" s="7">
        <v>142665438</v>
      </c>
      <c r="C175" s="3">
        <v>5540246172978</v>
      </c>
      <c r="D175" s="6">
        <v>44678</v>
      </c>
      <c r="E175" s="8">
        <v>836</v>
      </c>
      <c r="F175" s="23" t="str">
        <f>IFERROR(VLOOKUP(C175, 'Catégorie des articles'!$A:$D, 4, FALSE), "")</f>
        <v>CREMERIE</v>
      </c>
      <c r="G175">
        <f t="shared" si="2"/>
        <v>202204</v>
      </c>
    </row>
    <row r="176" spans="1:7" ht="12" customHeight="1">
      <c r="A176" s="9">
        <v>44676</v>
      </c>
      <c r="B176" s="10">
        <v>142665438</v>
      </c>
      <c r="C176" s="3">
        <v>5540246187987</v>
      </c>
      <c r="D176" s="9">
        <v>44678</v>
      </c>
      <c r="E176" s="11">
        <v>4455</v>
      </c>
      <c r="F176" s="23" t="str">
        <f>IFERROR(VLOOKUP(C176, 'Catégorie des articles'!$A:$D, 4, FALSE), "")</f>
        <v>CREMERIE</v>
      </c>
      <c r="G176">
        <f t="shared" si="2"/>
        <v>202204</v>
      </c>
    </row>
    <row r="177" spans="1:7" ht="12" customHeight="1">
      <c r="A177" s="6">
        <v>44676</v>
      </c>
      <c r="B177" s="7">
        <v>142665438</v>
      </c>
      <c r="C177" s="3">
        <v>5540246188200</v>
      </c>
      <c r="D177" s="6">
        <v>44678</v>
      </c>
      <c r="E177" s="8">
        <v>372</v>
      </c>
      <c r="F177" s="23" t="str">
        <f>IFERROR(VLOOKUP(C177, 'Catégorie des articles'!$A:$D, 4, FALSE), "")</f>
        <v>CREMERIE</v>
      </c>
      <c r="G177">
        <f t="shared" si="2"/>
        <v>202204</v>
      </c>
    </row>
    <row r="178" spans="1:7" ht="12" customHeight="1">
      <c r="A178" s="9">
        <v>44676</v>
      </c>
      <c r="B178" s="10">
        <v>142665441</v>
      </c>
      <c r="C178" s="3">
        <v>5540246173472</v>
      </c>
      <c r="D178" s="9">
        <v>44683</v>
      </c>
      <c r="E178" s="11">
        <v>418</v>
      </c>
      <c r="F178" s="23" t="str">
        <f>IFERROR(VLOOKUP(C178, 'Catégorie des articles'!$A:$D, 4, FALSE), "")</f>
        <v>CREMERIE</v>
      </c>
      <c r="G178">
        <f t="shared" si="2"/>
        <v>202205</v>
      </c>
    </row>
    <row r="179" spans="1:7" ht="12" customHeight="1">
      <c r="A179" s="6">
        <v>44676</v>
      </c>
      <c r="B179" s="7">
        <v>142665441</v>
      </c>
      <c r="C179" s="3">
        <v>5540246175050</v>
      </c>
      <c r="D179" s="6">
        <v>44683</v>
      </c>
      <c r="E179" s="8">
        <v>279</v>
      </c>
      <c r="F179" s="23" t="str">
        <f>IFERROR(VLOOKUP(C179, 'Catégorie des articles'!$A:$D, 4, FALSE), "")</f>
        <v>CREMERIE</v>
      </c>
      <c r="G179">
        <f t="shared" si="2"/>
        <v>202205</v>
      </c>
    </row>
    <row r="180" spans="1:7" ht="12" customHeight="1">
      <c r="A180" s="9">
        <v>44676</v>
      </c>
      <c r="B180" s="10">
        <v>142665458</v>
      </c>
      <c r="C180" s="3">
        <v>5540246182684</v>
      </c>
      <c r="D180" s="9">
        <v>44685</v>
      </c>
      <c r="E180" s="11">
        <v>186</v>
      </c>
      <c r="F180" s="23" t="str">
        <f>IFERROR(VLOOKUP(C180, 'Catégorie des articles'!$A:$D, 4, FALSE), "")</f>
        <v>BOULANGERIE</v>
      </c>
      <c r="G180">
        <f t="shared" si="2"/>
        <v>202205</v>
      </c>
    </row>
    <row r="181" spans="1:7" ht="12" customHeight="1">
      <c r="A181" s="6">
        <v>44676</v>
      </c>
      <c r="B181" s="7">
        <v>142665458</v>
      </c>
      <c r="C181" s="3">
        <v>5540246183844</v>
      </c>
      <c r="D181" s="6">
        <v>44685</v>
      </c>
      <c r="E181" s="8">
        <v>232</v>
      </c>
      <c r="F181" s="23" t="str">
        <f>IFERROR(VLOOKUP(C181, 'Catégorie des articles'!$A:$D, 4, FALSE), "")</f>
        <v>BOULANGERIE</v>
      </c>
      <c r="G181">
        <f t="shared" si="2"/>
        <v>202205</v>
      </c>
    </row>
    <row r="182" spans="1:7" ht="12" customHeight="1">
      <c r="A182" s="6">
        <v>44677</v>
      </c>
      <c r="B182" s="7">
        <v>142665470</v>
      </c>
      <c r="C182" s="3">
        <v>5540246171933</v>
      </c>
      <c r="D182" s="6">
        <v>44679</v>
      </c>
      <c r="E182" s="8">
        <v>836</v>
      </c>
      <c r="F182" s="23" t="str">
        <f>IFERROR(VLOOKUP(C182, 'Catégorie des articles'!$A:$D, 4, FALSE), "")</f>
        <v>CREMERIE</v>
      </c>
      <c r="G182">
        <f t="shared" si="2"/>
        <v>202204</v>
      </c>
    </row>
    <row r="183" spans="1:7" ht="12" customHeight="1">
      <c r="A183" s="6">
        <v>44677</v>
      </c>
      <c r="B183" s="7">
        <v>142665470</v>
      </c>
      <c r="C183" s="3">
        <v>5540246172978</v>
      </c>
      <c r="D183" s="6">
        <v>44679</v>
      </c>
      <c r="E183" s="8">
        <v>1253</v>
      </c>
      <c r="F183" s="23" t="str">
        <f>IFERROR(VLOOKUP(C183, 'Catégorie des articles'!$A:$D, 4, FALSE), "")</f>
        <v>CREMERIE</v>
      </c>
      <c r="G183">
        <f t="shared" si="2"/>
        <v>202204</v>
      </c>
    </row>
    <row r="184" spans="1:7" ht="12" customHeight="1">
      <c r="A184" s="6">
        <v>44677</v>
      </c>
      <c r="B184" s="7">
        <v>142665470</v>
      </c>
      <c r="C184" s="3">
        <v>5540246174174</v>
      </c>
      <c r="D184" s="6">
        <v>44679</v>
      </c>
      <c r="E184" s="8">
        <v>348</v>
      </c>
      <c r="F184" s="23" t="str">
        <f>IFERROR(VLOOKUP(C184, 'Catégorie des articles'!$A:$D, 4, FALSE), "")</f>
        <v>CREMERIE</v>
      </c>
      <c r="G184">
        <f t="shared" si="2"/>
        <v>202204</v>
      </c>
    </row>
    <row r="185" spans="1:7" ht="12" customHeight="1">
      <c r="A185" s="9">
        <v>44677</v>
      </c>
      <c r="B185" s="10">
        <v>142665470</v>
      </c>
      <c r="C185" s="3">
        <v>5540246176294</v>
      </c>
      <c r="D185" s="9">
        <v>44679</v>
      </c>
      <c r="E185" s="11">
        <v>2970</v>
      </c>
      <c r="F185" s="23" t="str">
        <f>IFERROR(VLOOKUP(C185, 'Catégorie des articles'!$A:$D, 4, FALSE), "")</f>
        <v>CREMERIE</v>
      </c>
      <c r="G185">
        <f t="shared" si="2"/>
        <v>202204</v>
      </c>
    </row>
    <row r="186" spans="1:7" ht="12" customHeight="1">
      <c r="A186" s="6">
        <v>44677</v>
      </c>
      <c r="B186" s="7">
        <v>142665470</v>
      </c>
      <c r="C186" s="3">
        <v>5540246176295</v>
      </c>
      <c r="D186" s="6">
        <v>44679</v>
      </c>
      <c r="E186" s="8">
        <v>5940</v>
      </c>
      <c r="F186" s="23" t="str">
        <f>IFERROR(VLOOKUP(C186, 'Catégorie des articles'!$A:$D, 4, FALSE), "")</f>
        <v>CREMERIE</v>
      </c>
      <c r="G186">
        <f t="shared" si="2"/>
        <v>202204</v>
      </c>
    </row>
    <row r="187" spans="1:7" ht="12" customHeight="1">
      <c r="A187" s="9">
        <v>44677</v>
      </c>
      <c r="B187" s="10">
        <v>142665470</v>
      </c>
      <c r="C187" s="3">
        <v>5540246184808</v>
      </c>
      <c r="D187" s="9">
        <v>44679</v>
      </c>
      <c r="E187" s="11">
        <v>5220</v>
      </c>
      <c r="F187" s="23" t="str">
        <f>IFERROR(VLOOKUP(C187, 'Catégorie des articles'!$A:$D, 4, FALSE), "")</f>
        <v>CREMERIE</v>
      </c>
      <c r="G187">
        <f t="shared" si="2"/>
        <v>202204</v>
      </c>
    </row>
    <row r="188" spans="1:7" ht="12" customHeight="1">
      <c r="A188" s="9">
        <v>44677</v>
      </c>
      <c r="B188" s="10">
        <v>142665470</v>
      </c>
      <c r="C188" s="3">
        <v>5540246187987</v>
      </c>
      <c r="D188" s="9">
        <v>44679</v>
      </c>
      <c r="E188" s="11">
        <v>5568</v>
      </c>
      <c r="F188" s="23" t="str">
        <f>IFERROR(VLOOKUP(C188, 'Catégorie des articles'!$A:$D, 4, FALSE), "")</f>
        <v>CREMERIE</v>
      </c>
      <c r="G188">
        <f t="shared" si="2"/>
        <v>202204</v>
      </c>
    </row>
    <row r="189" spans="1:7" ht="12" customHeight="1">
      <c r="A189" s="6">
        <v>44677</v>
      </c>
      <c r="B189" s="7">
        <v>142665470</v>
      </c>
      <c r="C189" s="3">
        <v>5540246188175</v>
      </c>
      <c r="D189" s="6">
        <v>44679</v>
      </c>
      <c r="E189" s="8">
        <v>116</v>
      </c>
      <c r="F189" s="23" t="str">
        <f>IFERROR(VLOOKUP(C189, 'Catégorie des articles'!$A:$D, 4, FALSE), "")</f>
        <v>CREMERIE</v>
      </c>
      <c r="G189">
        <f t="shared" si="2"/>
        <v>202204</v>
      </c>
    </row>
    <row r="190" spans="1:7" ht="12" customHeight="1">
      <c r="A190" s="9">
        <v>44677</v>
      </c>
      <c r="B190" s="10">
        <v>142665470</v>
      </c>
      <c r="C190" s="3">
        <v>5540246188200</v>
      </c>
      <c r="D190" s="9">
        <v>44679</v>
      </c>
      <c r="E190" s="11">
        <v>372</v>
      </c>
      <c r="F190" s="23" t="str">
        <f>IFERROR(VLOOKUP(C190, 'Catégorie des articles'!$A:$D, 4, FALSE), "")</f>
        <v>CREMERIE</v>
      </c>
      <c r="G190">
        <f t="shared" si="2"/>
        <v>202204</v>
      </c>
    </row>
    <row r="191" spans="1:7" ht="12" customHeight="1">
      <c r="A191" s="9">
        <v>44677</v>
      </c>
      <c r="B191" s="10">
        <v>142665470</v>
      </c>
      <c r="C191" s="3">
        <v>5540246192102</v>
      </c>
      <c r="D191" s="9">
        <v>44679</v>
      </c>
      <c r="E191" s="11">
        <v>4009</v>
      </c>
      <c r="F191" s="23" t="str">
        <f>IFERROR(VLOOKUP(C191, 'Catégorie des articles'!$A:$D, 4, FALSE), "")</f>
        <v>CREMERIE</v>
      </c>
      <c r="G191">
        <f t="shared" si="2"/>
        <v>202204</v>
      </c>
    </row>
    <row r="192" spans="1:7" ht="12" customHeight="1">
      <c r="A192" s="6">
        <v>44677</v>
      </c>
      <c r="B192" s="7">
        <v>142665488</v>
      </c>
      <c r="C192" s="3">
        <v>5540246170256</v>
      </c>
      <c r="D192" s="6">
        <v>44690</v>
      </c>
      <c r="E192" s="8">
        <v>2645</v>
      </c>
      <c r="F192" s="23" t="str">
        <f>IFERROR(VLOOKUP(C192, 'Catégorie des articles'!$A:$D, 4, FALSE), "")</f>
        <v>BOULANGERIE</v>
      </c>
      <c r="G192">
        <f t="shared" si="2"/>
        <v>202205</v>
      </c>
    </row>
    <row r="193" spans="1:7" ht="12" customHeight="1">
      <c r="A193" s="9">
        <v>44677</v>
      </c>
      <c r="B193" s="10">
        <v>142665488</v>
      </c>
      <c r="C193" s="3">
        <v>5540246171888</v>
      </c>
      <c r="D193" s="9">
        <v>44690</v>
      </c>
      <c r="E193" s="11">
        <v>910</v>
      </c>
      <c r="F193" s="23" t="str">
        <f>IFERROR(VLOOKUP(C193, 'Catégorie des articles'!$A:$D, 4, FALSE), "")</f>
        <v>BOULANGERIE</v>
      </c>
      <c r="G193">
        <f t="shared" si="2"/>
        <v>202205</v>
      </c>
    </row>
    <row r="194" spans="1:7" ht="12" customHeight="1">
      <c r="A194" s="6">
        <v>44677</v>
      </c>
      <c r="B194" s="7">
        <v>142665490</v>
      </c>
      <c r="C194" s="3">
        <v>5540246177376</v>
      </c>
      <c r="D194" s="6">
        <v>44696</v>
      </c>
      <c r="E194" s="8">
        <v>1244</v>
      </c>
      <c r="F194" s="23" t="str">
        <f>IFERROR(VLOOKUP(C194, 'Catégorie des articles'!$A:$D, 4, FALSE), "")</f>
        <v>BOULANGERIE</v>
      </c>
      <c r="G194">
        <f t="shared" si="2"/>
        <v>202205</v>
      </c>
    </row>
    <row r="195" spans="1:7" ht="12" customHeight="1">
      <c r="A195" s="6">
        <v>44677</v>
      </c>
      <c r="B195" s="7">
        <v>142665499</v>
      </c>
      <c r="C195" s="3">
        <v>5540246177132</v>
      </c>
      <c r="D195" s="6">
        <v>44683</v>
      </c>
      <c r="E195" s="8">
        <v>9280</v>
      </c>
      <c r="F195" s="23" t="str">
        <f>IFERROR(VLOOKUP(C195, 'Catégorie des articles'!$A:$D, 4, FALSE), "")</f>
        <v>MIX LEGUMES</v>
      </c>
      <c r="G195">
        <f t="shared" ref="G195:G258" si="3">YEAR(D195)*100 + MONTH(D195)</f>
        <v>202205</v>
      </c>
    </row>
    <row r="196" spans="1:7" ht="12" customHeight="1">
      <c r="A196" s="9">
        <v>44677</v>
      </c>
      <c r="B196" s="10">
        <v>142665499</v>
      </c>
      <c r="C196" s="3">
        <v>5540246177133</v>
      </c>
      <c r="D196" s="9">
        <v>44683</v>
      </c>
      <c r="E196" s="11">
        <v>3898</v>
      </c>
      <c r="F196" s="23" t="str">
        <f>IFERROR(VLOOKUP(C196, 'Catégorie des articles'!$A:$D, 4, FALSE), "")</f>
        <v>MIX LEGUMES</v>
      </c>
      <c r="G196">
        <f t="shared" si="3"/>
        <v>202205</v>
      </c>
    </row>
    <row r="197" spans="1:7" ht="12" customHeight="1">
      <c r="A197" s="6">
        <v>44678</v>
      </c>
      <c r="B197" s="7">
        <v>142665510</v>
      </c>
      <c r="C197" s="3">
        <v>5540246172978</v>
      </c>
      <c r="D197" s="6">
        <v>44683</v>
      </c>
      <c r="E197" s="8">
        <v>1253</v>
      </c>
      <c r="F197" s="23" t="str">
        <f>IFERROR(VLOOKUP(C197, 'Catégorie des articles'!$A:$D, 4, FALSE), "")</f>
        <v>CREMERIE</v>
      </c>
      <c r="G197">
        <f t="shared" si="3"/>
        <v>202205</v>
      </c>
    </row>
    <row r="198" spans="1:7" ht="12" customHeight="1">
      <c r="A198" s="6">
        <v>44678</v>
      </c>
      <c r="B198" s="7">
        <v>142665510</v>
      </c>
      <c r="C198" s="3">
        <v>5540246174174</v>
      </c>
      <c r="D198" s="6">
        <v>44683</v>
      </c>
      <c r="E198" s="8">
        <v>348</v>
      </c>
      <c r="F198" s="23" t="str">
        <f>IFERROR(VLOOKUP(C198, 'Catégorie des articles'!$A:$D, 4, FALSE), "")</f>
        <v>CREMERIE</v>
      </c>
      <c r="G198">
        <f t="shared" si="3"/>
        <v>202205</v>
      </c>
    </row>
    <row r="199" spans="1:7" ht="12" customHeight="1">
      <c r="A199" s="9">
        <v>44678</v>
      </c>
      <c r="B199" s="10">
        <v>142665510</v>
      </c>
      <c r="C199" s="3">
        <v>5540246176294</v>
      </c>
      <c r="D199" s="9">
        <v>44683</v>
      </c>
      <c r="E199" s="11">
        <v>2228</v>
      </c>
      <c r="F199" s="23" t="str">
        <f>IFERROR(VLOOKUP(C199, 'Catégorie des articles'!$A:$D, 4, FALSE), "")</f>
        <v>CREMERIE</v>
      </c>
      <c r="G199">
        <f t="shared" si="3"/>
        <v>202205</v>
      </c>
    </row>
    <row r="200" spans="1:7" ht="12" customHeight="1">
      <c r="A200" s="6">
        <v>44678</v>
      </c>
      <c r="B200" s="7">
        <v>142665510</v>
      </c>
      <c r="C200" s="3">
        <v>5540246176295</v>
      </c>
      <c r="D200" s="6">
        <v>44683</v>
      </c>
      <c r="E200" s="8">
        <v>7424</v>
      </c>
      <c r="F200" s="23" t="str">
        <f>IFERROR(VLOOKUP(C200, 'Catégorie des articles'!$A:$D, 4, FALSE), "")</f>
        <v>CREMERIE</v>
      </c>
      <c r="G200">
        <f t="shared" si="3"/>
        <v>202205</v>
      </c>
    </row>
    <row r="201" spans="1:7" ht="12" customHeight="1">
      <c r="A201" s="9">
        <v>44678</v>
      </c>
      <c r="B201" s="10">
        <v>142665510</v>
      </c>
      <c r="C201" s="3">
        <v>5540246184808</v>
      </c>
      <c r="D201" s="9">
        <v>44683</v>
      </c>
      <c r="E201" s="11">
        <v>2088</v>
      </c>
      <c r="F201" s="23" t="str">
        <f>IFERROR(VLOOKUP(C201, 'Catégorie des articles'!$A:$D, 4, FALSE), "")</f>
        <v>CREMERIE</v>
      </c>
      <c r="G201">
        <f t="shared" si="3"/>
        <v>202205</v>
      </c>
    </row>
    <row r="202" spans="1:7" ht="12" customHeight="1">
      <c r="A202" s="6">
        <v>44678</v>
      </c>
      <c r="B202" s="7">
        <v>142665510</v>
      </c>
      <c r="C202" s="3">
        <v>5540246187987</v>
      </c>
      <c r="D202" s="6">
        <v>44683</v>
      </c>
      <c r="E202" s="8">
        <v>4455</v>
      </c>
      <c r="F202" s="23" t="str">
        <f>IFERROR(VLOOKUP(C202, 'Catégorie des articles'!$A:$D, 4, FALSE), "")</f>
        <v>CREMERIE</v>
      </c>
      <c r="G202">
        <f t="shared" si="3"/>
        <v>202205</v>
      </c>
    </row>
    <row r="203" spans="1:7" ht="12" customHeight="1">
      <c r="A203" s="9">
        <v>44678</v>
      </c>
      <c r="B203" s="10">
        <v>142665510</v>
      </c>
      <c r="C203" s="3">
        <v>5540246188200</v>
      </c>
      <c r="D203" s="9">
        <v>44683</v>
      </c>
      <c r="E203" s="11">
        <v>1114</v>
      </c>
      <c r="F203" s="23" t="str">
        <f>IFERROR(VLOOKUP(C203, 'Catégorie des articles'!$A:$D, 4, FALSE), "")</f>
        <v>CREMERIE</v>
      </c>
      <c r="G203">
        <f t="shared" si="3"/>
        <v>202205</v>
      </c>
    </row>
    <row r="204" spans="1:7" ht="12" customHeight="1">
      <c r="A204" s="9">
        <v>44678</v>
      </c>
      <c r="B204" s="10">
        <v>142665515</v>
      </c>
      <c r="C204" s="3">
        <v>5540246174095</v>
      </c>
      <c r="D204" s="9">
        <v>44689</v>
      </c>
      <c r="E204" s="11">
        <v>84</v>
      </c>
      <c r="F204" s="23" t="str">
        <f>IFERROR(VLOOKUP(C204, 'Catégorie des articles'!$A:$D, 4, FALSE), "")</f>
        <v>CREMERIE</v>
      </c>
      <c r="G204">
        <f t="shared" si="3"/>
        <v>202205</v>
      </c>
    </row>
    <row r="205" spans="1:7" ht="12" customHeight="1">
      <c r="A205" s="6">
        <v>44678</v>
      </c>
      <c r="B205" s="7">
        <v>142665515</v>
      </c>
      <c r="C205" s="3">
        <v>5540246190743</v>
      </c>
      <c r="D205" s="6">
        <v>44689</v>
      </c>
      <c r="E205" s="8">
        <v>279</v>
      </c>
      <c r="F205" s="23" t="str">
        <f>IFERROR(VLOOKUP(C205, 'Catégorie des articles'!$A:$D, 4, FALSE), "")</f>
        <v>CREMERIE</v>
      </c>
      <c r="G205">
        <f t="shared" si="3"/>
        <v>202205</v>
      </c>
    </row>
    <row r="206" spans="1:7" ht="12" customHeight="1">
      <c r="A206" s="6">
        <v>44678</v>
      </c>
      <c r="B206" s="7">
        <v>142665520</v>
      </c>
      <c r="C206" s="3">
        <v>5540246173906</v>
      </c>
      <c r="D206" s="6">
        <v>44690</v>
      </c>
      <c r="E206" s="8">
        <v>1634</v>
      </c>
      <c r="F206" s="23" t="str">
        <f>IFERROR(VLOOKUP(C206, 'Catégorie des articles'!$A:$D, 4, FALSE), "")</f>
        <v>VOLAILLE</v>
      </c>
      <c r="G206">
        <f t="shared" si="3"/>
        <v>202205</v>
      </c>
    </row>
    <row r="207" spans="1:7" ht="12" customHeight="1">
      <c r="A207" s="9">
        <v>44678</v>
      </c>
      <c r="B207" s="10">
        <v>142665520</v>
      </c>
      <c r="C207" s="3">
        <v>5540246181016</v>
      </c>
      <c r="D207" s="9">
        <v>44690</v>
      </c>
      <c r="E207" s="11">
        <v>8909</v>
      </c>
      <c r="F207" s="23" t="str">
        <f>IFERROR(VLOOKUP(C207, 'Catégorie des articles'!$A:$D, 4, FALSE), "")</f>
        <v>VOLAILLE</v>
      </c>
      <c r="G207">
        <f t="shared" si="3"/>
        <v>202205</v>
      </c>
    </row>
    <row r="208" spans="1:7" ht="12" customHeight="1">
      <c r="A208" s="9">
        <v>44679</v>
      </c>
      <c r="B208" s="10">
        <v>142675542</v>
      </c>
      <c r="C208" s="3">
        <v>5540246184808</v>
      </c>
      <c r="D208" s="9">
        <v>44683</v>
      </c>
      <c r="E208" s="11">
        <v>3132</v>
      </c>
      <c r="F208" s="23" t="str">
        <f>IFERROR(VLOOKUP(C208, 'Catégorie des articles'!$A:$D, 4, FALSE), "")</f>
        <v>CREMERIE</v>
      </c>
      <c r="G208">
        <f t="shared" si="3"/>
        <v>202205</v>
      </c>
    </row>
    <row r="209" spans="1:7" ht="12" customHeight="1">
      <c r="A209" s="9">
        <v>44679</v>
      </c>
      <c r="B209" s="10">
        <v>142675543</v>
      </c>
      <c r="C209" s="3">
        <v>5540246172669</v>
      </c>
      <c r="D209" s="9">
        <v>44684</v>
      </c>
      <c r="E209" s="11">
        <v>279</v>
      </c>
      <c r="F209" s="23" t="str">
        <f>IFERROR(VLOOKUP(C209, 'Catégorie des articles'!$A:$D, 4, FALSE), "")</f>
        <v>CREMERIE</v>
      </c>
      <c r="G209">
        <f t="shared" si="3"/>
        <v>202205</v>
      </c>
    </row>
    <row r="210" spans="1:7" ht="12" customHeight="1">
      <c r="A210" s="6">
        <v>44679</v>
      </c>
      <c r="B210" s="7">
        <v>142675543</v>
      </c>
      <c r="C210" s="3">
        <v>5540246174174</v>
      </c>
      <c r="D210" s="6">
        <v>44684</v>
      </c>
      <c r="E210" s="8">
        <v>348</v>
      </c>
      <c r="F210" s="23" t="str">
        <f>IFERROR(VLOOKUP(C210, 'Catégorie des articles'!$A:$D, 4, FALSE), "")</f>
        <v>CREMERIE</v>
      </c>
      <c r="G210">
        <f t="shared" si="3"/>
        <v>202205</v>
      </c>
    </row>
    <row r="211" spans="1:7" ht="12" customHeight="1">
      <c r="A211" s="9">
        <v>44679</v>
      </c>
      <c r="B211" s="10">
        <v>142675543</v>
      </c>
      <c r="C211" s="3">
        <v>5540246176294</v>
      </c>
      <c r="D211" s="9">
        <v>44684</v>
      </c>
      <c r="E211" s="11">
        <v>1856</v>
      </c>
      <c r="F211" s="23" t="str">
        <f>IFERROR(VLOOKUP(C211, 'Catégorie des articles'!$A:$D, 4, FALSE), "")</f>
        <v>CREMERIE</v>
      </c>
      <c r="G211">
        <f t="shared" si="3"/>
        <v>202205</v>
      </c>
    </row>
    <row r="212" spans="1:7" ht="12" customHeight="1">
      <c r="A212" s="6">
        <v>44679</v>
      </c>
      <c r="B212" s="7">
        <v>142675543</v>
      </c>
      <c r="C212" s="3">
        <v>5540246176295</v>
      </c>
      <c r="D212" s="6">
        <v>44684</v>
      </c>
      <c r="E212" s="8">
        <v>7424</v>
      </c>
      <c r="F212" s="23" t="str">
        <f>IFERROR(VLOOKUP(C212, 'Catégorie des articles'!$A:$D, 4, FALSE), "")</f>
        <v>CREMERIE</v>
      </c>
      <c r="G212">
        <f t="shared" si="3"/>
        <v>202205</v>
      </c>
    </row>
    <row r="213" spans="1:7" ht="12" customHeight="1">
      <c r="A213" s="6">
        <v>44679</v>
      </c>
      <c r="B213" s="7">
        <v>142675543</v>
      </c>
      <c r="C213" s="3">
        <v>5540246188175</v>
      </c>
      <c r="D213" s="6">
        <v>44684</v>
      </c>
      <c r="E213" s="8">
        <v>232</v>
      </c>
      <c r="F213" s="23" t="str">
        <f>IFERROR(VLOOKUP(C213, 'Catégorie des articles'!$A:$D, 4, FALSE), "")</f>
        <v>CREMERIE</v>
      </c>
      <c r="G213">
        <f t="shared" si="3"/>
        <v>202205</v>
      </c>
    </row>
    <row r="214" spans="1:7" ht="12" customHeight="1">
      <c r="A214" s="9">
        <v>44679</v>
      </c>
      <c r="B214" s="10">
        <v>142675543</v>
      </c>
      <c r="C214" s="3">
        <v>5540246188200</v>
      </c>
      <c r="D214" s="9">
        <v>44684</v>
      </c>
      <c r="E214" s="11">
        <v>743</v>
      </c>
      <c r="F214" s="23" t="str">
        <f>IFERROR(VLOOKUP(C214, 'Catégorie des articles'!$A:$D, 4, FALSE), "")</f>
        <v>CREMERIE</v>
      </c>
      <c r="G214">
        <f t="shared" si="3"/>
        <v>202205</v>
      </c>
    </row>
    <row r="215" spans="1:7" ht="12" customHeight="1">
      <c r="A215" s="9">
        <v>44679</v>
      </c>
      <c r="B215" s="10">
        <v>142675550</v>
      </c>
      <c r="C215" s="3">
        <v>5540246188583</v>
      </c>
      <c r="D215" s="9">
        <v>44685</v>
      </c>
      <c r="E215" s="11">
        <v>2784</v>
      </c>
      <c r="F215" s="23" t="str">
        <f>IFERROR(VLOOKUP(C215, 'Catégorie des articles'!$A:$D, 4, FALSE), "")</f>
        <v>BOULANGERIE</v>
      </c>
      <c r="G215">
        <f t="shared" si="3"/>
        <v>202205</v>
      </c>
    </row>
    <row r="216" spans="1:7" ht="12" customHeight="1">
      <c r="A216" s="6">
        <v>44679</v>
      </c>
      <c r="B216" s="7">
        <v>142675553</v>
      </c>
      <c r="C216" s="3">
        <v>5540246175047</v>
      </c>
      <c r="D216" s="6">
        <v>44689</v>
      </c>
      <c r="E216" s="8">
        <v>418</v>
      </c>
      <c r="F216" s="23" t="str">
        <f>IFERROR(VLOOKUP(C216, 'Catégorie des articles'!$A:$D, 4, FALSE), "")</f>
        <v>CREMERIE</v>
      </c>
      <c r="G216">
        <f t="shared" si="3"/>
        <v>202205</v>
      </c>
    </row>
    <row r="217" spans="1:7" ht="12" customHeight="1">
      <c r="A217" s="9">
        <v>44679</v>
      </c>
      <c r="B217" s="10">
        <v>142675554</v>
      </c>
      <c r="C217" s="3">
        <v>5540246174095</v>
      </c>
      <c r="D217" s="9">
        <v>44691</v>
      </c>
      <c r="E217" s="11">
        <v>140</v>
      </c>
      <c r="F217" s="23" t="str">
        <f>IFERROR(VLOOKUP(C217, 'Catégorie des articles'!$A:$D, 4, FALSE), "")</f>
        <v>CREMERIE</v>
      </c>
      <c r="G217">
        <f t="shared" si="3"/>
        <v>202205</v>
      </c>
    </row>
    <row r="218" spans="1:7" ht="12" customHeight="1">
      <c r="A218" s="6">
        <v>44679</v>
      </c>
      <c r="B218" s="7">
        <v>142675554</v>
      </c>
      <c r="C218" s="3">
        <v>5540246175049</v>
      </c>
      <c r="D218" s="6">
        <v>44691</v>
      </c>
      <c r="E218" s="8">
        <v>418</v>
      </c>
      <c r="F218" s="23" t="str">
        <f>IFERROR(VLOOKUP(C218, 'Catégorie des articles'!$A:$D, 4, FALSE), "")</f>
        <v>CREMERIE</v>
      </c>
      <c r="G218">
        <f t="shared" si="3"/>
        <v>202205</v>
      </c>
    </row>
    <row r="219" spans="1:7" ht="12" customHeight="1">
      <c r="A219" s="9">
        <v>44679</v>
      </c>
      <c r="B219" s="10">
        <v>142675554</v>
      </c>
      <c r="C219" s="3">
        <v>5540246175050</v>
      </c>
      <c r="D219" s="9">
        <v>44691</v>
      </c>
      <c r="E219" s="11">
        <v>836</v>
      </c>
      <c r="F219" s="23" t="str">
        <f>IFERROR(VLOOKUP(C219, 'Catégorie des articles'!$A:$D, 4, FALSE), "")</f>
        <v>CREMERIE</v>
      </c>
      <c r="G219">
        <f t="shared" si="3"/>
        <v>202205</v>
      </c>
    </row>
    <row r="220" spans="1:7" ht="12" customHeight="1">
      <c r="A220" s="9">
        <v>44679</v>
      </c>
      <c r="B220" s="10">
        <v>142675555</v>
      </c>
      <c r="C220" s="3">
        <v>5540246173472</v>
      </c>
      <c r="D220" s="9">
        <v>44698</v>
      </c>
      <c r="E220" s="11">
        <v>557</v>
      </c>
      <c r="F220" s="23" t="str">
        <f>IFERROR(VLOOKUP(C220, 'Catégorie des articles'!$A:$D, 4, FALSE), "")</f>
        <v>CREMERIE</v>
      </c>
      <c r="G220">
        <f t="shared" si="3"/>
        <v>202205</v>
      </c>
    </row>
    <row r="221" spans="1:7" ht="12" customHeight="1">
      <c r="A221" s="6">
        <v>44679</v>
      </c>
      <c r="B221" s="7">
        <v>142675562</v>
      </c>
      <c r="C221" s="3">
        <v>5540246184617</v>
      </c>
      <c r="D221" s="6">
        <v>44689</v>
      </c>
      <c r="E221" s="8">
        <v>18338</v>
      </c>
      <c r="F221" s="23" t="str">
        <f>IFERROR(VLOOKUP(C221, 'Catégorie des articles'!$A:$D, 4, FALSE), "")</f>
        <v>MIX LEGUMES</v>
      </c>
      <c r="G221">
        <f t="shared" si="3"/>
        <v>202205</v>
      </c>
    </row>
    <row r="222" spans="1:7" ht="12" customHeight="1">
      <c r="A222" s="9">
        <v>44679</v>
      </c>
      <c r="B222" s="10">
        <v>142675565</v>
      </c>
      <c r="C222" s="3">
        <v>5540246170256</v>
      </c>
      <c r="D222" s="9">
        <v>44689</v>
      </c>
      <c r="E222" s="11">
        <v>1764</v>
      </c>
      <c r="F222" s="23" t="str">
        <f>IFERROR(VLOOKUP(C222, 'Catégorie des articles'!$A:$D, 4, FALSE), "")</f>
        <v>BOULANGERIE</v>
      </c>
      <c r="G222">
        <f t="shared" si="3"/>
        <v>202205</v>
      </c>
    </row>
    <row r="223" spans="1:7" ht="12" customHeight="1">
      <c r="A223" s="6">
        <v>44679</v>
      </c>
      <c r="B223" s="7">
        <v>142675565</v>
      </c>
      <c r="C223" s="3">
        <v>5540246171888</v>
      </c>
      <c r="D223" s="6">
        <v>44689</v>
      </c>
      <c r="E223" s="8">
        <v>1560</v>
      </c>
      <c r="F223" s="23" t="str">
        <f>IFERROR(VLOOKUP(C223, 'Catégorie des articles'!$A:$D, 4, FALSE), "")</f>
        <v>BOULANGERIE</v>
      </c>
      <c r="G223">
        <f t="shared" si="3"/>
        <v>202205</v>
      </c>
    </row>
    <row r="224" spans="1:7" ht="12" customHeight="1">
      <c r="A224" s="6">
        <v>44683</v>
      </c>
      <c r="B224" s="7">
        <v>142675576</v>
      </c>
      <c r="C224" s="3">
        <v>5540246172978</v>
      </c>
      <c r="D224" s="6">
        <v>44685</v>
      </c>
      <c r="E224" s="8">
        <v>836</v>
      </c>
      <c r="F224" s="23" t="str">
        <f>IFERROR(VLOOKUP(C224, 'Catégorie des articles'!$A:$D, 4, FALSE), "")</f>
        <v>CREMERIE</v>
      </c>
      <c r="G224">
        <f t="shared" si="3"/>
        <v>202205</v>
      </c>
    </row>
    <row r="225" spans="1:7" ht="12" customHeight="1">
      <c r="A225" s="9">
        <v>44683</v>
      </c>
      <c r="B225" s="10">
        <v>142675576</v>
      </c>
      <c r="C225" s="3">
        <v>5540246174174</v>
      </c>
      <c r="D225" s="9">
        <v>44685</v>
      </c>
      <c r="E225" s="11">
        <v>232</v>
      </c>
      <c r="F225" s="23" t="str">
        <f>IFERROR(VLOOKUP(C225, 'Catégorie des articles'!$A:$D, 4, FALSE), "")</f>
        <v>CREMERIE</v>
      </c>
      <c r="G225">
        <f t="shared" si="3"/>
        <v>202205</v>
      </c>
    </row>
    <row r="226" spans="1:7" ht="12" customHeight="1">
      <c r="A226" s="6">
        <v>44683</v>
      </c>
      <c r="B226" s="7">
        <v>142675576</v>
      </c>
      <c r="C226" s="3">
        <v>5540246176295</v>
      </c>
      <c r="D226" s="6">
        <v>44685</v>
      </c>
      <c r="E226" s="8">
        <v>7424</v>
      </c>
      <c r="F226" s="23" t="str">
        <f>IFERROR(VLOOKUP(C226, 'Catégorie des articles'!$A:$D, 4, FALSE), "")</f>
        <v>CREMERIE</v>
      </c>
      <c r="G226">
        <f t="shared" si="3"/>
        <v>202205</v>
      </c>
    </row>
    <row r="227" spans="1:7" ht="12" customHeight="1">
      <c r="A227" s="9">
        <v>44683</v>
      </c>
      <c r="B227" s="10">
        <v>142675576</v>
      </c>
      <c r="C227" s="3">
        <v>5540246184808</v>
      </c>
      <c r="D227" s="9">
        <v>44685</v>
      </c>
      <c r="E227" s="11">
        <v>2088</v>
      </c>
      <c r="F227" s="23" t="str">
        <f>IFERROR(VLOOKUP(C227, 'Catégorie des articles'!$A:$D, 4, FALSE), "")</f>
        <v>CREMERIE</v>
      </c>
      <c r="G227">
        <f t="shared" si="3"/>
        <v>202205</v>
      </c>
    </row>
    <row r="228" spans="1:7" ht="12" customHeight="1">
      <c r="A228" s="6">
        <v>44683</v>
      </c>
      <c r="B228" s="7">
        <v>142675576</v>
      </c>
      <c r="C228" s="3">
        <v>5540246187987</v>
      </c>
      <c r="D228" s="6">
        <v>44685</v>
      </c>
      <c r="E228" s="8">
        <v>4455</v>
      </c>
      <c r="F228" s="23" t="str">
        <f>IFERROR(VLOOKUP(C228, 'Catégorie des articles'!$A:$D, 4, FALSE), "")</f>
        <v>CREMERIE</v>
      </c>
      <c r="G228">
        <f t="shared" si="3"/>
        <v>202205</v>
      </c>
    </row>
    <row r="229" spans="1:7" ht="12" customHeight="1">
      <c r="A229" s="9">
        <v>44683</v>
      </c>
      <c r="B229" s="10">
        <v>142675581</v>
      </c>
      <c r="C229" s="3">
        <v>5540246177132</v>
      </c>
      <c r="D229" s="9">
        <v>44685</v>
      </c>
      <c r="E229" s="11">
        <v>9280</v>
      </c>
      <c r="F229" s="23" t="str">
        <f>IFERROR(VLOOKUP(C229, 'Catégorie des articles'!$A:$D, 4, FALSE), "")</f>
        <v>MIX LEGUMES</v>
      </c>
      <c r="G229">
        <f t="shared" si="3"/>
        <v>202205</v>
      </c>
    </row>
    <row r="230" spans="1:7" ht="12" customHeight="1">
      <c r="A230" s="6">
        <v>44683</v>
      </c>
      <c r="B230" s="7">
        <v>142675581</v>
      </c>
      <c r="C230" s="3">
        <v>5540246177133</v>
      </c>
      <c r="D230" s="6">
        <v>44685</v>
      </c>
      <c r="E230" s="8">
        <v>5012</v>
      </c>
      <c r="F230" s="23" t="str">
        <f>IFERROR(VLOOKUP(C230, 'Catégorie des articles'!$A:$D, 4, FALSE), "")</f>
        <v>MIX LEGUMES</v>
      </c>
      <c r="G230">
        <f t="shared" si="3"/>
        <v>202205</v>
      </c>
    </row>
    <row r="231" spans="1:7" ht="12" customHeight="1">
      <c r="A231" s="9">
        <v>44683</v>
      </c>
      <c r="B231" s="10">
        <v>142675581</v>
      </c>
      <c r="C231" s="3">
        <v>5540246183562</v>
      </c>
      <c r="D231" s="9">
        <v>44685</v>
      </c>
      <c r="E231" s="11">
        <v>1021</v>
      </c>
      <c r="F231" s="23" t="str">
        <f>IFERROR(VLOOKUP(C231, 'Catégorie des articles'!$A:$D, 4, FALSE), "")</f>
        <v>MIX LEGUMES</v>
      </c>
      <c r="G231">
        <f t="shared" si="3"/>
        <v>202205</v>
      </c>
    </row>
    <row r="232" spans="1:7" ht="12" customHeight="1">
      <c r="A232" s="9">
        <v>44683</v>
      </c>
      <c r="B232" s="10">
        <v>142675582</v>
      </c>
      <c r="C232" s="3">
        <v>5540246174095</v>
      </c>
      <c r="D232" s="9">
        <v>44696</v>
      </c>
      <c r="E232" s="11">
        <v>70</v>
      </c>
      <c r="F232" s="23" t="str">
        <f>IFERROR(VLOOKUP(C232, 'Catégorie des articles'!$A:$D, 4, FALSE), "")</f>
        <v>CREMERIE</v>
      </c>
      <c r="G232">
        <f t="shared" si="3"/>
        <v>202205</v>
      </c>
    </row>
    <row r="233" spans="1:7" ht="12" customHeight="1">
      <c r="A233" s="6">
        <v>44683</v>
      </c>
      <c r="B233" s="7">
        <v>142675582</v>
      </c>
      <c r="C233" s="3">
        <v>5540246175047</v>
      </c>
      <c r="D233" s="6">
        <v>44696</v>
      </c>
      <c r="E233" s="8">
        <v>140</v>
      </c>
      <c r="F233" s="23" t="str">
        <f>IFERROR(VLOOKUP(C233, 'Catégorie des articles'!$A:$D, 4, FALSE), "")</f>
        <v>CREMERIE</v>
      </c>
      <c r="G233">
        <f t="shared" si="3"/>
        <v>202205</v>
      </c>
    </row>
    <row r="234" spans="1:7" ht="12" customHeight="1">
      <c r="A234" s="9">
        <v>44683</v>
      </c>
      <c r="B234" s="10">
        <v>142675582</v>
      </c>
      <c r="C234" s="3">
        <v>5540246175049</v>
      </c>
      <c r="D234" s="9">
        <v>44696</v>
      </c>
      <c r="E234" s="11">
        <v>418</v>
      </c>
      <c r="F234" s="23" t="str">
        <f>IFERROR(VLOOKUP(C234, 'Catégorie des articles'!$A:$D, 4, FALSE), "")</f>
        <v>CREMERIE</v>
      </c>
      <c r="G234">
        <f t="shared" si="3"/>
        <v>202205</v>
      </c>
    </row>
    <row r="235" spans="1:7" ht="12" customHeight="1">
      <c r="A235" s="6">
        <v>44683</v>
      </c>
      <c r="B235" s="7">
        <v>142675582</v>
      </c>
      <c r="C235" s="3">
        <v>5540246175050</v>
      </c>
      <c r="D235" s="6">
        <v>44696</v>
      </c>
      <c r="E235" s="8">
        <v>696</v>
      </c>
      <c r="F235" s="23" t="str">
        <f>IFERROR(VLOOKUP(C235, 'Catégorie des articles'!$A:$D, 4, FALSE), "")</f>
        <v>CREMERIE</v>
      </c>
      <c r="G235">
        <f t="shared" si="3"/>
        <v>202205</v>
      </c>
    </row>
    <row r="236" spans="1:7" ht="12" customHeight="1">
      <c r="A236" s="9">
        <v>44683</v>
      </c>
      <c r="B236" s="10">
        <v>142675582</v>
      </c>
      <c r="C236" s="3">
        <v>5540246190743</v>
      </c>
      <c r="D236" s="9">
        <v>44696</v>
      </c>
      <c r="E236" s="11">
        <v>140</v>
      </c>
      <c r="F236" s="23" t="str">
        <f>IFERROR(VLOOKUP(C236, 'Catégorie des articles'!$A:$D, 4, FALSE), "")</f>
        <v>CREMERIE</v>
      </c>
      <c r="G236">
        <f t="shared" si="3"/>
        <v>202205</v>
      </c>
    </row>
    <row r="237" spans="1:7" ht="12" customHeight="1">
      <c r="A237" s="6">
        <v>44683</v>
      </c>
      <c r="B237" s="7">
        <v>142675583</v>
      </c>
      <c r="C237" s="3">
        <v>5540246188224</v>
      </c>
      <c r="D237" s="6">
        <v>44696</v>
      </c>
      <c r="E237" s="8">
        <v>1207</v>
      </c>
      <c r="F237" s="23" t="str">
        <f>IFERROR(VLOOKUP(C237, 'Catégorie des articles'!$A:$D, 4, FALSE), "")</f>
        <v>VOLAILLE</v>
      </c>
      <c r="G237">
        <f t="shared" si="3"/>
        <v>202205</v>
      </c>
    </row>
    <row r="238" spans="1:7" ht="12" customHeight="1">
      <c r="A238" s="6">
        <v>44683</v>
      </c>
      <c r="B238" s="7">
        <v>142675585</v>
      </c>
      <c r="C238" s="3">
        <v>5540246183130</v>
      </c>
      <c r="D238" s="6">
        <v>44690</v>
      </c>
      <c r="E238" s="8">
        <v>2256</v>
      </c>
      <c r="F238" s="23" t="str">
        <f>IFERROR(VLOOKUP(C238, 'Catégorie des articles'!$A:$D, 4, FALSE), "")</f>
        <v>MIX LEGUMES</v>
      </c>
      <c r="G238">
        <f t="shared" si="3"/>
        <v>202205</v>
      </c>
    </row>
    <row r="239" spans="1:7" ht="12" customHeight="1">
      <c r="A239" s="9">
        <v>44683</v>
      </c>
      <c r="B239" s="10">
        <v>142675585</v>
      </c>
      <c r="C239" s="3">
        <v>5540246183537</v>
      </c>
      <c r="D239" s="9">
        <v>44690</v>
      </c>
      <c r="E239" s="11">
        <v>961</v>
      </c>
      <c r="F239" s="23" t="str">
        <f>IFERROR(VLOOKUP(C239, 'Catégorie des articles'!$A:$D, 4, FALSE), "")</f>
        <v>MIX LEGUMES</v>
      </c>
      <c r="G239">
        <f t="shared" si="3"/>
        <v>202205</v>
      </c>
    </row>
    <row r="240" spans="1:7" ht="12" customHeight="1">
      <c r="A240" s="6">
        <v>44683</v>
      </c>
      <c r="B240" s="7">
        <v>142675585</v>
      </c>
      <c r="C240" s="3">
        <v>5540246183538</v>
      </c>
      <c r="D240" s="6">
        <v>44690</v>
      </c>
      <c r="E240" s="8">
        <v>919</v>
      </c>
      <c r="F240" s="23" t="str">
        <f>IFERROR(VLOOKUP(C240, 'Catégorie des articles'!$A:$D, 4, FALSE), "")</f>
        <v>MIX LEGUMES</v>
      </c>
      <c r="G240">
        <f t="shared" si="3"/>
        <v>202205</v>
      </c>
    </row>
    <row r="241" spans="1:7" ht="12" customHeight="1">
      <c r="A241" s="9">
        <v>44683</v>
      </c>
      <c r="B241" s="10">
        <v>142675587</v>
      </c>
      <c r="C241" s="3">
        <v>5540246183558</v>
      </c>
      <c r="D241" s="9">
        <v>44689</v>
      </c>
      <c r="E241" s="11">
        <v>1300</v>
      </c>
      <c r="F241" s="23" t="str">
        <f>IFERROR(VLOOKUP(C241, 'Catégorie des articles'!$A:$D, 4, FALSE), "")</f>
        <v>MIX LEGUMES</v>
      </c>
      <c r="G241">
        <f t="shared" si="3"/>
        <v>202205</v>
      </c>
    </row>
    <row r="242" spans="1:7" ht="12" customHeight="1">
      <c r="A242" s="6">
        <v>44683</v>
      </c>
      <c r="B242" s="7">
        <v>142675587</v>
      </c>
      <c r="C242" s="3">
        <v>5540246183560</v>
      </c>
      <c r="D242" s="6">
        <v>44689</v>
      </c>
      <c r="E242" s="8">
        <v>223</v>
      </c>
      <c r="F242" s="23" t="str">
        <f>IFERROR(VLOOKUP(C242, 'Catégorie des articles'!$A:$D, 4, FALSE), "")</f>
        <v>MIX LEGUMES</v>
      </c>
      <c r="G242">
        <f t="shared" si="3"/>
        <v>202205</v>
      </c>
    </row>
    <row r="243" spans="1:7" ht="12" customHeight="1">
      <c r="A243" s="9">
        <v>44683</v>
      </c>
      <c r="B243" s="10">
        <v>142675589</v>
      </c>
      <c r="C243" s="3">
        <v>5540246183589</v>
      </c>
      <c r="D243" s="9">
        <v>44691</v>
      </c>
      <c r="E243" s="11">
        <v>1300</v>
      </c>
      <c r="F243" s="23" t="str">
        <f>IFERROR(VLOOKUP(C243, 'Catégorie des articles'!$A:$D, 4, FALSE), "")</f>
        <v>MIX LEGUMES</v>
      </c>
      <c r="G243">
        <f t="shared" si="3"/>
        <v>202205</v>
      </c>
    </row>
    <row r="244" spans="1:7" ht="12" customHeight="1">
      <c r="A244" s="9">
        <v>44683</v>
      </c>
      <c r="B244" s="10">
        <v>142675596</v>
      </c>
      <c r="C244" s="3">
        <v>5540246184617</v>
      </c>
      <c r="D244" s="9">
        <v>44686</v>
      </c>
      <c r="E244" s="11">
        <v>27506</v>
      </c>
      <c r="F244" s="23" t="str">
        <f>IFERROR(VLOOKUP(C244, 'Catégorie des articles'!$A:$D, 4, FALSE), "")</f>
        <v>MIX LEGUMES</v>
      </c>
      <c r="G244">
        <f t="shared" si="3"/>
        <v>202205</v>
      </c>
    </row>
    <row r="245" spans="1:7" ht="12" customHeight="1">
      <c r="A245" s="9">
        <v>44683</v>
      </c>
      <c r="B245" s="10">
        <v>142675607</v>
      </c>
      <c r="C245" s="3">
        <v>5540246173685</v>
      </c>
      <c r="D245" s="9">
        <v>44691</v>
      </c>
      <c r="E245" s="11">
        <v>882</v>
      </c>
      <c r="F245" s="23" t="str">
        <f>IFERROR(VLOOKUP(C245, 'Catégorie des articles'!$A:$D, 4, FALSE), "")</f>
        <v>EMBALLAGES</v>
      </c>
      <c r="G245">
        <f t="shared" si="3"/>
        <v>202205</v>
      </c>
    </row>
    <row r="246" spans="1:7" ht="12" customHeight="1">
      <c r="A246" s="9">
        <v>44684</v>
      </c>
      <c r="B246" s="10">
        <v>142675617</v>
      </c>
      <c r="C246" s="3">
        <v>5540246171888</v>
      </c>
      <c r="D246" s="9">
        <v>44684</v>
      </c>
      <c r="E246" s="11">
        <v>369</v>
      </c>
      <c r="F246" s="23" t="str">
        <f>IFERROR(VLOOKUP(C246, 'Catégorie des articles'!$A:$D, 4, FALSE), "")</f>
        <v>BOULANGERIE</v>
      </c>
      <c r="G246">
        <f t="shared" si="3"/>
        <v>202205</v>
      </c>
    </row>
    <row r="247" spans="1:7" ht="12" customHeight="1">
      <c r="A247" s="6">
        <v>44684</v>
      </c>
      <c r="B247" s="7">
        <v>142675618</v>
      </c>
      <c r="C247" s="3">
        <v>5540246171933</v>
      </c>
      <c r="D247" s="6">
        <v>44686</v>
      </c>
      <c r="E247" s="8">
        <v>279</v>
      </c>
      <c r="F247" s="23" t="str">
        <f>IFERROR(VLOOKUP(C247, 'Catégorie des articles'!$A:$D, 4, FALSE), "")</f>
        <v>CREMERIE</v>
      </c>
      <c r="G247">
        <f t="shared" si="3"/>
        <v>202205</v>
      </c>
    </row>
    <row r="248" spans="1:7" ht="12" customHeight="1">
      <c r="A248" s="9">
        <v>44684</v>
      </c>
      <c r="B248" s="10">
        <v>142675618</v>
      </c>
      <c r="C248" s="3">
        <v>5540246176295</v>
      </c>
      <c r="D248" s="9">
        <v>44686</v>
      </c>
      <c r="E248" s="11">
        <v>7424</v>
      </c>
      <c r="F248" s="23" t="str">
        <f>IFERROR(VLOOKUP(C248, 'Catégorie des articles'!$A:$D, 4, FALSE), "")</f>
        <v>CREMERIE</v>
      </c>
      <c r="G248">
        <f t="shared" si="3"/>
        <v>202205</v>
      </c>
    </row>
    <row r="249" spans="1:7" ht="12" customHeight="1">
      <c r="A249" s="9">
        <v>44684</v>
      </c>
      <c r="B249" s="10">
        <v>142675618</v>
      </c>
      <c r="C249" s="3">
        <v>5540246187987</v>
      </c>
      <c r="D249" s="9">
        <v>44686</v>
      </c>
      <c r="E249" s="11">
        <v>2228</v>
      </c>
      <c r="F249" s="23" t="str">
        <f>IFERROR(VLOOKUP(C249, 'Catégorie des articles'!$A:$D, 4, FALSE), "")</f>
        <v>CREMERIE</v>
      </c>
      <c r="G249">
        <f t="shared" si="3"/>
        <v>202205</v>
      </c>
    </row>
    <row r="250" spans="1:7" ht="12" customHeight="1">
      <c r="A250" s="6">
        <v>44684</v>
      </c>
      <c r="B250" s="7">
        <v>142675618</v>
      </c>
      <c r="C250" s="3">
        <v>5540246188200</v>
      </c>
      <c r="D250" s="6">
        <v>44686</v>
      </c>
      <c r="E250" s="8">
        <v>1114</v>
      </c>
      <c r="F250" s="23" t="str">
        <f>IFERROR(VLOOKUP(C250, 'Catégorie des articles'!$A:$D, 4, FALSE), "")</f>
        <v>CREMERIE</v>
      </c>
      <c r="G250">
        <f t="shared" si="3"/>
        <v>202205</v>
      </c>
    </row>
    <row r="251" spans="1:7" ht="12" customHeight="1">
      <c r="A251" s="9">
        <v>44684</v>
      </c>
      <c r="B251" s="10">
        <v>142675619</v>
      </c>
      <c r="C251" s="3">
        <v>5540246172539</v>
      </c>
      <c r="D251" s="9">
        <v>44686</v>
      </c>
      <c r="E251" s="11">
        <v>70</v>
      </c>
      <c r="F251" s="23" t="str">
        <f>IFERROR(VLOOKUP(C251, 'Catégorie des articles'!$A:$D, 4, FALSE), "")</f>
        <v>CREMERIE</v>
      </c>
      <c r="G251">
        <f t="shared" si="3"/>
        <v>202205</v>
      </c>
    </row>
    <row r="252" spans="1:7" ht="12" customHeight="1">
      <c r="A252" s="6">
        <v>44684</v>
      </c>
      <c r="B252" s="7">
        <v>142675619</v>
      </c>
      <c r="C252" s="3">
        <v>5540246172978</v>
      </c>
      <c r="D252" s="6">
        <v>44686</v>
      </c>
      <c r="E252" s="8">
        <v>836</v>
      </c>
      <c r="F252" s="23" t="str">
        <f>IFERROR(VLOOKUP(C252, 'Catégorie des articles'!$A:$D, 4, FALSE), "")</f>
        <v>CREMERIE</v>
      </c>
      <c r="G252">
        <f t="shared" si="3"/>
        <v>202205</v>
      </c>
    </row>
    <row r="253" spans="1:7" ht="12" customHeight="1">
      <c r="A253" s="6">
        <v>44684</v>
      </c>
      <c r="B253" s="7">
        <v>142675619</v>
      </c>
      <c r="C253" s="3">
        <v>5540246184808</v>
      </c>
      <c r="D253" s="6">
        <v>44686</v>
      </c>
      <c r="E253" s="8">
        <v>2088</v>
      </c>
      <c r="F253" s="23" t="str">
        <f>IFERROR(VLOOKUP(C253, 'Catégorie des articles'!$A:$D, 4, FALSE), "")</f>
        <v>CREMERIE</v>
      </c>
      <c r="G253">
        <f t="shared" si="3"/>
        <v>202205</v>
      </c>
    </row>
    <row r="254" spans="1:7" ht="12" customHeight="1">
      <c r="A254" s="9">
        <v>44684</v>
      </c>
      <c r="B254" s="10">
        <v>142675638</v>
      </c>
      <c r="C254" s="3">
        <v>5540246184617</v>
      </c>
      <c r="D254" s="9">
        <v>44690</v>
      </c>
      <c r="E254" s="11">
        <v>27506</v>
      </c>
      <c r="F254" s="23" t="str">
        <f>IFERROR(VLOOKUP(C254, 'Catégorie des articles'!$A:$D, 4, FALSE), "")</f>
        <v>MIX LEGUMES</v>
      </c>
      <c r="G254">
        <f t="shared" si="3"/>
        <v>202205</v>
      </c>
    </row>
    <row r="255" spans="1:7" ht="12" customHeight="1">
      <c r="A255" s="9">
        <v>44685</v>
      </c>
      <c r="B255" s="10">
        <v>142675650</v>
      </c>
      <c r="C255" s="3">
        <v>5540246191598</v>
      </c>
      <c r="D255" s="9">
        <v>44686</v>
      </c>
      <c r="E255" s="11">
        <v>1935</v>
      </c>
      <c r="F255" s="23" t="str">
        <f>IFERROR(VLOOKUP(C255, 'Catégorie des articles'!$A:$D, 4, FALSE), "")</f>
        <v>CREMERIE</v>
      </c>
      <c r="G255">
        <f t="shared" si="3"/>
        <v>202205</v>
      </c>
    </row>
    <row r="256" spans="1:7" ht="12" customHeight="1">
      <c r="A256" s="6">
        <v>44685</v>
      </c>
      <c r="B256" s="7">
        <v>142675652</v>
      </c>
      <c r="C256" s="3">
        <v>5540246172978</v>
      </c>
      <c r="D256" s="6">
        <v>44689</v>
      </c>
      <c r="E256" s="8">
        <v>836</v>
      </c>
      <c r="F256" s="23" t="str">
        <f>IFERROR(VLOOKUP(C256, 'Catégorie des articles'!$A:$D, 4, FALSE), "")</f>
        <v>CREMERIE</v>
      </c>
      <c r="G256">
        <f t="shared" si="3"/>
        <v>202205</v>
      </c>
    </row>
    <row r="257" spans="1:7" ht="12" customHeight="1">
      <c r="A257" s="9">
        <v>44685</v>
      </c>
      <c r="B257" s="10">
        <v>142675652</v>
      </c>
      <c r="C257" s="3">
        <v>5540246174174</v>
      </c>
      <c r="D257" s="9">
        <v>44689</v>
      </c>
      <c r="E257" s="11">
        <v>348</v>
      </c>
      <c r="F257" s="23" t="str">
        <f>IFERROR(VLOOKUP(C257, 'Catégorie des articles'!$A:$D, 4, FALSE), "")</f>
        <v>CREMERIE</v>
      </c>
      <c r="G257">
        <f t="shared" si="3"/>
        <v>202205</v>
      </c>
    </row>
    <row r="258" spans="1:7" ht="12" customHeight="1">
      <c r="A258" s="6">
        <v>44685</v>
      </c>
      <c r="B258" s="7">
        <v>142675652</v>
      </c>
      <c r="C258" s="3">
        <v>5540246184808</v>
      </c>
      <c r="D258" s="6">
        <v>44689</v>
      </c>
      <c r="E258" s="8">
        <v>4176</v>
      </c>
      <c r="F258" s="23" t="str">
        <f>IFERROR(VLOOKUP(C258, 'Catégorie des articles'!$A:$D, 4, FALSE), "")</f>
        <v>CREMERIE</v>
      </c>
      <c r="G258">
        <f t="shared" si="3"/>
        <v>202205</v>
      </c>
    </row>
    <row r="259" spans="1:7" ht="12" customHeight="1">
      <c r="A259" s="6">
        <v>44685</v>
      </c>
      <c r="B259" s="7">
        <v>142675653</v>
      </c>
      <c r="C259" s="3">
        <v>5540246171933</v>
      </c>
      <c r="D259" s="6">
        <v>44689</v>
      </c>
      <c r="E259" s="8">
        <v>557</v>
      </c>
      <c r="F259" s="23" t="str">
        <f>IFERROR(VLOOKUP(C259, 'Catégorie des articles'!$A:$D, 4, FALSE), "")</f>
        <v>CREMERIE</v>
      </c>
      <c r="G259">
        <f t="shared" ref="G259:G322" si="4">YEAR(D259)*100 + MONTH(D259)</f>
        <v>202205</v>
      </c>
    </row>
    <row r="260" spans="1:7" ht="12" customHeight="1">
      <c r="A260" s="9">
        <v>44685</v>
      </c>
      <c r="B260" s="10">
        <v>142675653</v>
      </c>
      <c r="C260" s="3">
        <v>5540246187987</v>
      </c>
      <c r="D260" s="9">
        <v>44689</v>
      </c>
      <c r="E260" s="11">
        <v>4455</v>
      </c>
      <c r="F260" s="23" t="str">
        <f>IFERROR(VLOOKUP(C260, 'Catégorie des articles'!$A:$D, 4, FALSE), "")</f>
        <v>CREMERIE</v>
      </c>
      <c r="G260">
        <f t="shared" si="4"/>
        <v>202205</v>
      </c>
    </row>
    <row r="261" spans="1:7" ht="12" customHeight="1">
      <c r="A261" s="9">
        <v>44685</v>
      </c>
      <c r="B261" s="10">
        <v>142675668</v>
      </c>
      <c r="C261" s="3">
        <v>5540246192907</v>
      </c>
      <c r="D261" s="9">
        <v>44699</v>
      </c>
      <c r="E261" s="11">
        <v>7796</v>
      </c>
      <c r="F261" s="23" t="str">
        <f>IFERROR(VLOOKUP(C261, 'Catégorie des articles'!$A:$D, 4, FALSE), "")</f>
        <v>VOLAILLE</v>
      </c>
      <c r="G261">
        <f t="shared" si="4"/>
        <v>202205</v>
      </c>
    </row>
    <row r="262" spans="1:7" ht="12" customHeight="1">
      <c r="A262" s="9">
        <v>44685</v>
      </c>
      <c r="B262" s="10">
        <v>142675671</v>
      </c>
      <c r="C262" s="3">
        <v>5540246171759</v>
      </c>
      <c r="D262" s="9">
        <v>44690</v>
      </c>
      <c r="E262" s="11">
        <v>2506</v>
      </c>
      <c r="F262" s="23" t="str">
        <f>IFERROR(VLOOKUP(C262, 'Catégorie des articles'!$A:$D, 4, FALSE), "")</f>
        <v>MIX LEGUMES</v>
      </c>
      <c r="G262">
        <f t="shared" si="4"/>
        <v>202205</v>
      </c>
    </row>
    <row r="263" spans="1:7" ht="12" customHeight="1">
      <c r="A263" s="6">
        <v>44685</v>
      </c>
      <c r="B263" s="7">
        <v>142675671</v>
      </c>
      <c r="C263" s="3">
        <v>5540246177132</v>
      </c>
      <c r="D263" s="6">
        <v>44690</v>
      </c>
      <c r="E263" s="8">
        <v>7888</v>
      </c>
      <c r="F263" s="23" t="str">
        <f>IFERROR(VLOOKUP(C263, 'Catégorie des articles'!$A:$D, 4, FALSE), "")</f>
        <v>MIX LEGUMES</v>
      </c>
      <c r="G263">
        <f t="shared" si="4"/>
        <v>202205</v>
      </c>
    </row>
    <row r="264" spans="1:7" ht="12" customHeight="1">
      <c r="A264" s="9">
        <v>44685</v>
      </c>
      <c r="B264" s="10">
        <v>142675671</v>
      </c>
      <c r="C264" s="3">
        <v>5540246177133</v>
      </c>
      <c r="D264" s="9">
        <v>44690</v>
      </c>
      <c r="E264" s="11">
        <v>5012</v>
      </c>
      <c r="F264" s="23" t="str">
        <f>IFERROR(VLOOKUP(C264, 'Catégorie des articles'!$A:$D, 4, FALSE), "")</f>
        <v>MIX LEGUMES</v>
      </c>
      <c r="G264">
        <f t="shared" si="4"/>
        <v>202205</v>
      </c>
    </row>
    <row r="265" spans="1:7" ht="12" customHeight="1">
      <c r="A265" s="6">
        <v>44685</v>
      </c>
      <c r="B265" s="7">
        <v>142675671</v>
      </c>
      <c r="C265" s="3">
        <v>5540246183562</v>
      </c>
      <c r="D265" s="6">
        <v>44690</v>
      </c>
      <c r="E265" s="8">
        <v>3132</v>
      </c>
      <c r="F265" s="23" t="str">
        <f>IFERROR(VLOOKUP(C265, 'Catégorie des articles'!$A:$D, 4, FALSE), "")</f>
        <v>MIX LEGUMES</v>
      </c>
      <c r="G265">
        <f t="shared" si="4"/>
        <v>202205</v>
      </c>
    </row>
    <row r="266" spans="1:7" ht="12" customHeight="1">
      <c r="A266" s="6">
        <v>44685</v>
      </c>
      <c r="B266" s="7">
        <v>142675679</v>
      </c>
      <c r="C266" s="3">
        <v>5540246183844</v>
      </c>
      <c r="D266" s="6">
        <v>44689</v>
      </c>
      <c r="E266" s="8">
        <v>93</v>
      </c>
      <c r="F266" s="23" t="str">
        <f>IFERROR(VLOOKUP(C266, 'Catégorie des articles'!$A:$D, 4, FALSE), "")</f>
        <v>BOULANGERIE</v>
      </c>
      <c r="G266">
        <f t="shared" si="4"/>
        <v>202205</v>
      </c>
    </row>
    <row r="267" spans="1:7" ht="12" customHeight="1">
      <c r="A267" s="9">
        <v>44686</v>
      </c>
      <c r="B267" s="10">
        <v>142685687</v>
      </c>
      <c r="C267" s="3">
        <v>5540246172978</v>
      </c>
      <c r="D267" s="9">
        <v>44690</v>
      </c>
      <c r="E267" s="11">
        <v>836</v>
      </c>
      <c r="F267" s="23" t="str">
        <f>IFERROR(VLOOKUP(C267, 'Catégorie des articles'!$A:$D, 4, FALSE), "")</f>
        <v>CREMERIE</v>
      </c>
      <c r="G267">
        <f t="shared" si="4"/>
        <v>202205</v>
      </c>
    </row>
    <row r="268" spans="1:7" ht="12" customHeight="1">
      <c r="A268" s="6">
        <v>44686</v>
      </c>
      <c r="B268" s="7">
        <v>142685687</v>
      </c>
      <c r="C268" s="3">
        <v>5540246174174</v>
      </c>
      <c r="D268" s="6">
        <v>44690</v>
      </c>
      <c r="E268" s="8">
        <v>232</v>
      </c>
      <c r="F268" s="23" t="str">
        <f>IFERROR(VLOOKUP(C268, 'Catégorie des articles'!$A:$D, 4, FALSE), "")</f>
        <v>CREMERIE</v>
      </c>
      <c r="G268">
        <f t="shared" si="4"/>
        <v>202205</v>
      </c>
    </row>
    <row r="269" spans="1:7" ht="12" customHeight="1">
      <c r="A269" s="9">
        <v>44686</v>
      </c>
      <c r="B269" s="10">
        <v>142685687</v>
      </c>
      <c r="C269" s="3">
        <v>5540246184808</v>
      </c>
      <c r="D269" s="9">
        <v>44690</v>
      </c>
      <c r="E269" s="11">
        <v>2088</v>
      </c>
      <c r="F269" s="23" t="str">
        <f>IFERROR(VLOOKUP(C269, 'Catégorie des articles'!$A:$D, 4, FALSE), "")</f>
        <v>CREMERIE</v>
      </c>
      <c r="G269">
        <f t="shared" si="4"/>
        <v>202205</v>
      </c>
    </row>
    <row r="270" spans="1:7" ht="12" customHeight="1">
      <c r="A270" s="9">
        <v>44686</v>
      </c>
      <c r="B270" s="10">
        <v>142685688</v>
      </c>
      <c r="C270" s="3">
        <v>5540246176294</v>
      </c>
      <c r="D270" s="9">
        <v>44690</v>
      </c>
      <c r="E270" s="11">
        <v>2970</v>
      </c>
      <c r="F270" s="23" t="str">
        <f>IFERROR(VLOOKUP(C270, 'Catégorie des articles'!$A:$D, 4, FALSE), "")</f>
        <v>CREMERIE</v>
      </c>
      <c r="G270">
        <f t="shared" si="4"/>
        <v>202205</v>
      </c>
    </row>
    <row r="271" spans="1:7" ht="12" customHeight="1">
      <c r="A271" s="6">
        <v>44686</v>
      </c>
      <c r="B271" s="7">
        <v>142685688</v>
      </c>
      <c r="C271" s="3">
        <v>5540246176295</v>
      </c>
      <c r="D271" s="6">
        <v>44690</v>
      </c>
      <c r="E271" s="8">
        <v>7424</v>
      </c>
      <c r="F271" s="23" t="str">
        <f>IFERROR(VLOOKUP(C271, 'Catégorie des articles'!$A:$D, 4, FALSE), "")</f>
        <v>CREMERIE</v>
      </c>
      <c r="G271">
        <f t="shared" si="4"/>
        <v>202205</v>
      </c>
    </row>
    <row r="272" spans="1:7" ht="12" customHeight="1">
      <c r="A272" s="6">
        <v>44686</v>
      </c>
      <c r="B272" s="7">
        <v>142685688</v>
      </c>
      <c r="C272" s="3">
        <v>5540246187987</v>
      </c>
      <c r="D272" s="6">
        <v>44690</v>
      </c>
      <c r="E272" s="8">
        <v>4455</v>
      </c>
      <c r="F272" s="23" t="str">
        <f>IFERROR(VLOOKUP(C272, 'Catégorie des articles'!$A:$D, 4, FALSE), "")</f>
        <v>CREMERIE</v>
      </c>
      <c r="G272">
        <f t="shared" si="4"/>
        <v>202205</v>
      </c>
    </row>
    <row r="273" spans="1:7" ht="12" customHeight="1">
      <c r="A273" s="9">
        <v>44686</v>
      </c>
      <c r="B273" s="10">
        <v>142685691</v>
      </c>
      <c r="C273" s="3">
        <v>5540246181061</v>
      </c>
      <c r="D273" s="9">
        <v>44700</v>
      </c>
      <c r="E273" s="11">
        <v>4410</v>
      </c>
      <c r="F273" s="23" t="str">
        <f>IFERROR(VLOOKUP(C273, 'Catégorie des articles'!$A:$D, 4, FALSE), "")</f>
        <v>VOLAILLE</v>
      </c>
      <c r="G273">
        <f t="shared" si="4"/>
        <v>202205</v>
      </c>
    </row>
    <row r="274" spans="1:7" ht="12" customHeight="1">
      <c r="A274" s="6">
        <v>44686</v>
      </c>
      <c r="B274" s="7">
        <v>142685691</v>
      </c>
      <c r="C274" s="3">
        <v>5540246185278</v>
      </c>
      <c r="D274" s="6">
        <v>44700</v>
      </c>
      <c r="E274" s="8">
        <v>1120</v>
      </c>
      <c r="F274" s="23" t="str">
        <f>IFERROR(VLOOKUP(C274, 'Catégorie des articles'!$A:$D, 4, FALSE), "")</f>
        <v>VOLAILLE</v>
      </c>
      <c r="G274">
        <f t="shared" si="4"/>
        <v>202205</v>
      </c>
    </row>
    <row r="275" spans="1:7" ht="12" customHeight="1">
      <c r="A275" s="9">
        <v>44686</v>
      </c>
      <c r="B275" s="10">
        <v>142685692</v>
      </c>
      <c r="C275" s="3">
        <v>5540246187987</v>
      </c>
      <c r="D275" s="9">
        <v>44686</v>
      </c>
      <c r="E275" s="11">
        <v>446</v>
      </c>
      <c r="F275" s="23" t="str">
        <f>IFERROR(VLOOKUP(C275, 'Catégorie des articles'!$A:$D, 4, FALSE), "")</f>
        <v>CREMERIE</v>
      </c>
      <c r="G275">
        <f t="shared" si="4"/>
        <v>202205</v>
      </c>
    </row>
    <row r="276" spans="1:7" ht="12" customHeight="1">
      <c r="A276" s="6">
        <v>44686</v>
      </c>
      <c r="B276" s="7">
        <v>142685693</v>
      </c>
      <c r="C276" s="3">
        <v>5540246190097</v>
      </c>
      <c r="D276" s="6">
        <v>44696</v>
      </c>
      <c r="E276" s="8">
        <v>6419</v>
      </c>
      <c r="F276" s="23" t="str">
        <f>IFERROR(VLOOKUP(C276, 'Catégorie des articles'!$A:$D, 4, FALSE), "")</f>
        <v>VOLAILLE</v>
      </c>
      <c r="G276">
        <f t="shared" si="4"/>
        <v>202205</v>
      </c>
    </row>
    <row r="277" spans="1:7" ht="12" customHeight="1">
      <c r="A277" s="6">
        <v>44686</v>
      </c>
      <c r="B277" s="7">
        <v>142685694</v>
      </c>
      <c r="C277" s="3">
        <v>5540246185429</v>
      </c>
      <c r="D277" s="6">
        <v>44690</v>
      </c>
      <c r="E277" s="8">
        <v>209</v>
      </c>
      <c r="F277" s="23" t="str">
        <f>IFERROR(VLOOKUP(C277, 'Catégorie des articles'!$A:$D, 4, FALSE), "")</f>
        <v>CREMERIE</v>
      </c>
      <c r="G277">
        <f t="shared" si="4"/>
        <v>202205</v>
      </c>
    </row>
    <row r="278" spans="1:7" ht="12" customHeight="1">
      <c r="A278" s="9">
        <v>44686</v>
      </c>
      <c r="B278" s="10">
        <v>142685694</v>
      </c>
      <c r="C278" s="3">
        <v>5540246186325</v>
      </c>
      <c r="D278" s="9">
        <v>44690</v>
      </c>
      <c r="E278" s="11">
        <v>140</v>
      </c>
      <c r="F278" s="23" t="str">
        <f>IFERROR(VLOOKUP(C278, 'Catégorie des articles'!$A:$D, 4, FALSE), "")</f>
        <v>CREMERIE</v>
      </c>
      <c r="G278">
        <f t="shared" si="4"/>
        <v>202205</v>
      </c>
    </row>
    <row r="279" spans="1:7" ht="12" customHeight="1">
      <c r="A279" s="9">
        <v>44686</v>
      </c>
      <c r="B279" s="10">
        <v>142685699</v>
      </c>
      <c r="C279" s="3">
        <v>5540246184036</v>
      </c>
      <c r="D279" s="9">
        <v>44697</v>
      </c>
      <c r="E279" s="11">
        <v>260</v>
      </c>
      <c r="F279" s="23" t="str">
        <f>IFERROR(VLOOKUP(C279, 'Catégorie des articles'!$A:$D, 4, FALSE), "")</f>
        <v>BOULANGERIE</v>
      </c>
      <c r="G279">
        <f t="shared" si="4"/>
        <v>202205</v>
      </c>
    </row>
    <row r="280" spans="1:7" ht="12" customHeight="1">
      <c r="A280" s="6">
        <v>44686</v>
      </c>
      <c r="B280" s="7">
        <v>142685699</v>
      </c>
      <c r="C280" s="3">
        <v>5540246191596</v>
      </c>
      <c r="D280" s="6">
        <v>44697</v>
      </c>
      <c r="E280" s="8">
        <v>75</v>
      </c>
      <c r="F280" s="23" t="str">
        <f>IFERROR(VLOOKUP(C280, 'Catégorie des articles'!$A:$D, 4, FALSE), "")</f>
        <v>BOULANGERIE</v>
      </c>
      <c r="G280">
        <f t="shared" si="4"/>
        <v>202205</v>
      </c>
    </row>
    <row r="281" spans="1:7" ht="12" customHeight="1">
      <c r="A281" s="9">
        <v>44686</v>
      </c>
      <c r="B281" s="10">
        <v>142685700</v>
      </c>
      <c r="C281" s="3">
        <v>5540246190835</v>
      </c>
      <c r="D281" s="9">
        <v>44699</v>
      </c>
      <c r="E281" s="11">
        <v>47</v>
      </c>
      <c r="F281" s="23" t="str">
        <f>IFERROR(VLOOKUP(C281, 'Catégorie des articles'!$A:$D, 4, FALSE), "")</f>
        <v>BOULANGERIE</v>
      </c>
      <c r="G281">
        <f t="shared" si="4"/>
        <v>202205</v>
      </c>
    </row>
    <row r="282" spans="1:7" ht="12" customHeight="1">
      <c r="A282" s="6">
        <v>44686</v>
      </c>
      <c r="B282" s="7">
        <v>142685701</v>
      </c>
      <c r="C282" s="3">
        <v>5540246190835</v>
      </c>
      <c r="D282" s="6">
        <v>44706</v>
      </c>
      <c r="E282" s="8">
        <v>47</v>
      </c>
      <c r="F282" s="23" t="str">
        <f>IFERROR(VLOOKUP(C282, 'Catégorie des articles'!$A:$D, 4, FALSE), "")</f>
        <v>BOULANGERIE</v>
      </c>
      <c r="G282">
        <f t="shared" si="4"/>
        <v>202205</v>
      </c>
    </row>
    <row r="283" spans="1:7" ht="12" customHeight="1">
      <c r="A283" s="9">
        <v>44686</v>
      </c>
      <c r="B283" s="10">
        <v>142685702</v>
      </c>
      <c r="C283" s="3">
        <v>5540246190727</v>
      </c>
      <c r="D283" s="9">
        <v>44711</v>
      </c>
      <c r="E283" s="11">
        <v>877</v>
      </c>
      <c r="F283" s="23" t="str">
        <f>IFERROR(VLOOKUP(C283, 'Catégorie des articles'!$A:$D, 4, FALSE), "")</f>
        <v>BOULANGERIE</v>
      </c>
      <c r="G283">
        <f t="shared" si="4"/>
        <v>202205</v>
      </c>
    </row>
    <row r="284" spans="1:7" ht="12" customHeight="1">
      <c r="A284" s="6">
        <v>44686</v>
      </c>
      <c r="B284" s="7">
        <v>142685705</v>
      </c>
      <c r="C284" s="3">
        <v>5540246187995</v>
      </c>
      <c r="D284" s="6">
        <v>44690</v>
      </c>
      <c r="E284" s="8">
        <v>1337</v>
      </c>
      <c r="F284" s="23" t="str">
        <f>IFERROR(VLOOKUP(C284, 'Catégorie des articles'!$A:$D, 4, FALSE), "")</f>
        <v>EMBALLAGES</v>
      </c>
      <c r="G284">
        <f t="shared" si="4"/>
        <v>202205</v>
      </c>
    </row>
    <row r="285" spans="1:7" ht="12" customHeight="1">
      <c r="A285" s="9">
        <v>44686</v>
      </c>
      <c r="B285" s="10">
        <v>142685710</v>
      </c>
      <c r="C285" s="3">
        <v>5540246171796</v>
      </c>
      <c r="D285" s="9">
        <v>44686</v>
      </c>
      <c r="E285" s="11">
        <v>1123</v>
      </c>
      <c r="F285" s="23" t="str">
        <f>IFERROR(VLOOKUP(C285, 'Catégorie des articles'!$A:$D, 4, FALSE), "")</f>
        <v>CREMERIE</v>
      </c>
      <c r="G285">
        <f t="shared" si="4"/>
        <v>202205</v>
      </c>
    </row>
    <row r="286" spans="1:7" ht="12" customHeight="1">
      <c r="A286" s="9">
        <v>44686</v>
      </c>
      <c r="B286" s="10">
        <v>142685712</v>
      </c>
      <c r="C286" s="3">
        <v>5540246182684</v>
      </c>
      <c r="D286" s="9">
        <v>44700</v>
      </c>
      <c r="E286" s="11">
        <v>232</v>
      </c>
      <c r="F286" s="23" t="str">
        <f>IFERROR(VLOOKUP(C286, 'Catégorie des articles'!$A:$D, 4, FALSE), "")</f>
        <v>BOULANGERIE</v>
      </c>
      <c r="G286">
        <f t="shared" si="4"/>
        <v>202205</v>
      </c>
    </row>
    <row r="287" spans="1:7" ht="12" customHeight="1">
      <c r="A287" s="6">
        <v>44686</v>
      </c>
      <c r="B287" s="7">
        <v>142685712</v>
      </c>
      <c r="C287" s="3">
        <v>5540246183844</v>
      </c>
      <c r="D287" s="6">
        <v>44700</v>
      </c>
      <c r="E287" s="8">
        <v>93</v>
      </c>
      <c r="F287" s="23" t="str">
        <f>IFERROR(VLOOKUP(C287, 'Catégorie des articles'!$A:$D, 4, FALSE), "")</f>
        <v>BOULANGERIE</v>
      </c>
      <c r="G287">
        <f t="shared" si="4"/>
        <v>202205</v>
      </c>
    </row>
    <row r="288" spans="1:7" ht="12" customHeight="1">
      <c r="A288" s="6">
        <v>44686</v>
      </c>
      <c r="B288" s="7">
        <v>142685714</v>
      </c>
      <c r="C288" s="3">
        <v>5540246192505</v>
      </c>
      <c r="D288" s="6">
        <v>44696</v>
      </c>
      <c r="E288" s="8">
        <v>18338</v>
      </c>
      <c r="F288" s="23" t="str">
        <f>IFERROR(VLOOKUP(C288, 'Catégorie des articles'!$A:$D, 4, FALSE), "")</f>
        <v>MIX LEGUMES</v>
      </c>
      <c r="G288">
        <f t="shared" si="4"/>
        <v>202205</v>
      </c>
    </row>
    <row r="289" spans="1:7" ht="12" customHeight="1">
      <c r="A289" s="9">
        <v>44688</v>
      </c>
      <c r="B289" s="10">
        <v>142685722</v>
      </c>
      <c r="C289" s="3">
        <v>5540246173686</v>
      </c>
      <c r="D289" s="9">
        <v>44724</v>
      </c>
      <c r="E289" s="11">
        <v>502</v>
      </c>
      <c r="F289" s="23" t="str">
        <f>IFERROR(VLOOKUP(C289, 'Catégorie des articles'!$A:$D, 4, FALSE), "")</f>
        <v>EMBALLAGES</v>
      </c>
      <c r="G289">
        <f t="shared" si="4"/>
        <v>202206</v>
      </c>
    </row>
    <row r="290" spans="1:7" ht="12" customHeight="1">
      <c r="A290" s="6">
        <v>44689</v>
      </c>
      <c r="B290" s="7">
        <v>142685732</v>
      </c>
      <c r="C290" s="3">
        <v>5540246172539</v>
      </c>
      <c r="D290" s="6">
        <v>44691</v>
      </c>
      <c r="E290" s="8">
        <v>47</v>
      </c>
      <c r="F290" s="23" t="str">
        <f>IFERROR(VLOOKUP(C290, 'Catégorie des articles'!$A:$D, 4, FALSE), "")</f>
        <v>CREMERIE</v>
      </c>
      <c r="G290">
        <f t="shared" si="4"/>
        <v>202205</v>
      </c>
    </row>
    <row r="291" spans="1:7" ht="12" customHeight="1">
      <c r="A291" s="9">
        <v>44689</v>
      </c>
      <c r="B291" s="10">
        <v>142685732</v>
      </c>
      <c r="C291" s="3">
        <v>5540246172978</v>
      </c>
      <c r="D291" s="9">
        <v>44691</v>
      </c>
      <c r="E291" s="11">
        <v>1253</v>
      </c>
      <c r="F291" s="23" t="str">
        <f>IFERROR(VLOOKUP(C291, 'Catégorie des articles'!$A:$D, 4, FALSE), "")</f>
        <v>CREMERIE</v>
      </c>
      <c r="G291">
        <f t="shared" si="4"/>
        <v>202205</v>
      </c>
    </row>
    <row r="292" spans="1:7" ht="12" customHeight="1">
      <c r="A292" s="9">
        <v>44689</v>
      </c>
      <c r="B292" s="10">
        <v>142685732</v>
      </c>
      <c r="C292" s="3">
        <v>5540246174174</v>
      </c>
      <c r="D292" s="9">
        <v>44691</v>
      </c>
      <c r="E292" s="11">
        <v>464</v>
      </c>
      <c r="F292" s="23" t="str">
        <f>IFERROR(VLOOKUP(C292, 'Catégorie des articles'!$A:$D, 4, FALSE), "")</f>
        <v>CREMERIE</v>
      </c>
      <c r="G292">
        <f t="shared" si="4"/>
        <v>202205</v>
      </c>
    </row>
    <row r="293" spans="1:7" ht="12" customHeight="1">
      <c r="A293" s="9">
        <v>44689</v>
      </c>
      <c r="B293" s="10">
        <v>142685733</v>
      </c>
      <c r="C293" s="3">
        <v>5540246171933</v>
      </c>
      <c r="D293" s="9">
        <v>44691</v>
      </c>
      <c r="E293" s="11">
        <v>669</v>
      </c>
      <c r="F293" s="23" t="str">
        <f>IFERROR(VLOOKUP(C293, 'Catégorie des articles'!$A:$D, 4, FALSE), "")</f>
        <v>CREMERIE</v>
      </c>
      <c r="G293">
        <f t="shared" si="4"/>
        <v>202205</v>
      </c>
    </row>
    <row r="294" spans="1:7" ht="12" customHeight="1">
      <c r="A294" s="6">
        <v>44689</v>
      </c>
      <c r="B294" s="7">
        <v>142685733</v>
      </c>
      <c r="C294" s="3">
        <v>5540246176294</v>
      </c>
      <c r="D294" s="6">
        <v>44691</v>
      </c>
      <c r="E294" s="8">
        <v>1485</v>
      </c>
      <c r="F294" s="23" t="str">
        <f>IFERROR(VLOOKUP(C294, 'Catégorie des articles'!$A:$D, 4, FALSE), "")</f>
        <v>CREMERIE</v>
      </c>
      <c r="G294">
        <f t="shared" si="4"/>
        <v>202205</v>
      </c>
    </row>
    <row r="295" spans="1:7" ht="12" customHeight="1">
      <c r="A295" s="9">
        <v>44689</v>
      </c>
      <c r="B295" s="10">
        <v>142685733</v>
      </c>
      <c r="C295" s="3">
        <v>5540246176295</v>
      </c>
      <c r="D295" s="9">
        <v>44691</v>
      </c>
      <c r="E295" s="11">
        <v>5940</v>
      </c>
      <c r="F295" s="23" t="str">
        <f>IFERROR(VLOOKUP(C295, 'Catégorie des articles'!$A:$D, 4, FALSE), "")</f>
        <v>CREMERIE</v>
      </c>
      <c r="G295">
        <f t="shared" si="4"/>
        <v>202205</v>
      </c>
    </row>
    <row r="296" spans="1:7" ht="12" customHeight="1">
      <c r="A296" s="6">
        <v>44689</v>
      </c>
      <c r="B296" s="7">
        <v>142685733</v>
      </c>
      <c r="C296" s="3">
        <v>5540246187987</v>
      </c>
      <c r="D296" s="6">
        <v>44691</v>
      </c>
      <c r="E296" s="8">
        <v>3341</v>
      </c>
      <c r="F296" s="23" t="str">
        <f>IFERROR(VLOOKUP(C296, 'Catégorie des articles'!$A:$D, 4, FALSE), "")</f>
        <v>CREMERIE</v>
      </c>
      <c r="G296">
        <f t="shared" si="4"/>
        <v>202205</v>
      </c>
    </row>
    <row r="297" spans="1:7" ht="12" customHeight="1">
      <c r="A297" s="9">
        <v>44689</v>
      </c>
      <c r="B297" s="10">
        <v>142685736</v>
      </c>
      <c r="C297" s="3">
        <v>5540246188200</v>
      </c>
      <c r="D297" s="9">
        <v>44690</v>
      </c>
      <c r="E297" s="11">
        <v>1856</v>
      </c>
      <c r="F297" s="23" t="str">
        <f>IFERROR(VLOOKUP(C297, 'Catégorie des articles'!$A:$D, 4, FALSE), "")</f>
        <v>CREMERIE</v>
      </c>
      <c r="G297">
        <f t="shared" si="4"/>
        <v>202205</v>
      </c>
    </row>
    <row r="298" spans="1:7" ht="12" customHeight="1">
      <c r="A298" s="9">
        <v>44689</v>
      </c>
      <c r="B298" s="10">
        <v>142685739</v>
      </c>
      <c r="C298" s="3">
        <v>5540246175047</v>
      </c>
      <c r="D298" s="9">
        <v>44700</v>
      </c>
      <c r="E298" s="11">
        <v>279</v>
      </c>
      <c r="F298" s="23" t="str">
        <f>IFERROR(VLOOKUP(C298, 'Catégorie des articles'!$A:$D, 4, FALSE), "")</f>
        <v>CREMERIE</v>
      </c>
      <c r="G298">
        <f t="shared" si="4"/>
        <v>202205</v>
      </c>
    </row>
    <row r="299" spans="1:7" ht="12" customHeight="1">
      <c r="A299" s="6">
        <v>44689</v>
      </c>
      <c r="B299" s="7">
        <v>142685739</v>
      </c>
      <c r="C299" s="3">
        <v>5540246175049</v>
      </c>
      <c r="D299" s="6">
        <v>44700</v>
      </c>
      <c r="E299" s="8">
        <v>557</v>
      </c>
      <c r="F299" s="23" t="str">
        <f>IFERROR(VLOOKUP(C299, 'Catégorie des articles'!$A:$D, 4, FALSE), "")</f>
        <v>CREMERIE</v>
      </c>
      <c r="G299">
        <f t="shared" si="4"/>
        <v>202205</v>
      </c>
    </row>
    <row r="300" spans="1:7" ht="12" customHeight="1">
      <c r="A300" s="9">
        <v>44689</v>
      </c>
      <c r="B300" s="10">
        <v>142685739</v>
      </c>
      <c r="C300" s="3">
        <v>5540246175050</v>
      </c>
      <c r="D300" s="9">
        <v>44700</v>
      </c>
      <c r="E300" s="11">
        <v>557</v>
      </c>
      <c r="F300" s="23" t="str">
        <f>IFERROR(VLOOKUP(C300, 'Catégorie des articles'!$A:$D, 4, FALSE), "")</f>
        <v>CREMERIE</v>
      </c>
      <c r="G300">
        <f t="shared" si="4"/>
        <v>202205</v>
      </c>
    </row>
    <row r="301" spans="1:7" ht="12" customHeight="1">
      <c r="A301" s="6">
        <v>44689</v>
      </c>
      <c r="B301" s="7">
        <v>142685739</v>
      </c>
      <c r="C301" s="3">
        <v>5540246190743</v>
      </c>
      <c r="D301" s="6">
        <v>44700</v>
      </c>
      <c r="E301" s="8">
        <v>418</v>
      </c>
      <c r="F301" s="23" t="str">
        <f>IFERROR(VLOOKUP(C301, 'Catégorie des articles'!$A:$D, 4, FALSE), "")</f>
        <v>CREMERIE</v>
      </c>
      <c r="G301">
        <f t="shared" si="4"/>
        <v>202205</v>
      </c>
    </row>
    <row r="302" spans="1:7" ht="12" customHeight="1">
      <c r="A302" s="9">
        <v>44689</v>
      </c>
      <c r="B302" s="10">
        <v>142685740</v>
      </c>
      <c r="C302" s="3">
        <v>5540246171796</v>
      </c>
      <c r="D302" s="9">
        <v>44693</v>
      </c>
      <c r="E302" s="11">
        <v>1123</v>
      </c>
      <c r="F302" s="23" t="str">
        <f>IFERROR(VLOOKUP(C302, 'Catégorie des articles'!$A:$D, 4, FALSE), "")</f>
        <v>CREMERIE</v>
      </c>
      <c r="G302">
        <f t="shared" si="4"/>
        <v>202205</v>
      </c>
    </row>
    <row r="303" spans="1:7" ht="12" customHeight="1">
      <c r="A303" s="6">
        <v>44690</v>
      </c>
      <c r="B303" s="7">
        <v>142685759</v>
      </c>
      <c r="C303" s="3">
        <v>5540246171933</v>
      </c>
      <c r="D303" s="6">
        <v>44693</v>
      </c>
      <c r="E303" s="8">
        <v>279</v>
      </c>
      <c r="F303" s="23" t="str">
        <f>IFERROR(VLOOKUP(C303, 'Catégorie des articles'!$A:$D, 4, FALSE), "")</f>
        <v>CREMERIE</v>
      </c>
      <c r="G303">
        <f t="shared" si="4"/>
        <v>202205</v>
      </c>
    </row>
    <row r="304" spans="1:7" ht="12" customHeight="1">
      <c r="A304" s="6">
        <v>44690</v>
      </c>
      <c r="B304" s="7">
        <v>142685759</v>
      </c>
      <c r="C304" s="3">
        <v>5540246188200</v>
      </c>
      <c r="D304" s="6">
        <v>44693</v>
      </c>
      <c r="E304" s="8">
        <v>1485</v>
      </c>
      <c r="F304" s="23" t="str">
        <f>IFERROR(VLOOKUP(C304, 'Catégorie des articles'!$A:$D, 4, FALSE), "")</f>
        <v>CREMERIE</v>
      </c>
      <c r="G304">
        <f t="shared" si="4"/>
        <v>202205</v>
      </c>
    </row>
    <row r="305" spans="1:7" ht="12" customHeight="1">
      <c r="A305" s="6">
        <v>44690</v>
      </c>
      <c r="B305" s="7">
        <v>142685777</v>
      </c>
      <c r="C305" s="3">
        <v>5540246184617</v>
      </c>
      <c r="D305" s="6">
        <v>44690</v>
      </c>
      <c r="E305" s="8">
        <v>22922</v>
      </c>
      <c r="F305" s="23" t="str">
        <f>IFERROR(VLOOKUP(C305, 'Catégorie des articles'!$A:$D, 4, FALSE), "")</f>
        <v>MIX LEGUMES</v>
      </c>
      <c r="G305">
        <f t="shared" si="4"/>
        <v>202205</v>
      </c>
    </row>
    <row r="306" spans="1:7" ht="12" customHeight="1">
      <c r="A306" s="9">
        <v>44690</v>
      </c>
      <c r="B306" s="10">
        <v>142685780</v>
      </c>
      <c r="C306" s="3">
        <v>5540246186351</v>
      </c>
      <c r="D306" s="9">
        <v>44698</v>
      </c>
      <c r="E306" s="11">
        <v>564</v>
      </c>
      <c r="F306" s="23" t="str">
        <f>IFERROR(VLOOKUP(C306, 'Catégorie des articles'!$A:$D, 4, FALSE), "")</f>
        <v>MIX LEGUMES</v>
      </c>
      <c r="G306">
        <f t="shared" si="4"/>
        <v>202205</v>
      </c>
    </row>
    <row r="307" spans="1:7" ht="12" customHeight="1">
      <c r="A307" s="6">
        <v>44690</v>
      </c>
      <c r="B307" s="7">
        <v>142685780</v>
      </c>
      <c r="C307" s="3">
        <v>5540246186352</v>
      </c>
      <c r="D307" s="6">
        <v>44698</v>
      </c>
      <c r="E307" s="8">
        <v>1880</v>
      </c>
      <c r="F307" s="23" t="str">
        <f>IFERROR(VLOOKUP(C307, 'Catégorie des articles'!$A:$D, 4, FALSE), "")</f>
        <v>MIX LEGUMES</v>
      </c>
      <c r="G307">
        <f t="shared" si="4"/>
        <v>202205</v>
      </c>
    </row>
    <row r="308" spans="1:7" ht="12" customHeight="1">
      <c r="A308" s="9">
        <v>44690</v>
      </c>
      <c r="B308" s="10">
        <v>142685783</v>
      </c>
      <c r="C308" s="3">
        <v>5540246170256</v>
      </c>
      <c r="D308" s="9">
        <v>44699</v>
      </c>
      <c r="E308" s="11">
        <v>3527</v>
      </c>
      <c r="F308" s="23" t="str">
        <f>IFERROR(VLOOKUP(C308, 'Catégorie des articles'!$A:$D, 4, FALSE), "")</f>
        <v>BOULANGERIE</v>
      </c>
      <c r="G308">
        <f t="shared" si="4"/>
        <v>202205</v>
      </c>
    </row>
    <row r="309" spans="1:7" ht="12" customHeight="1">
      <c r="A309" s="6">
        <v>44690</v>
      </c>
      <c r="B309" s="7">
        <v>142685783</v>
      </c>
      <c r="C309" s="3">
        <v>5540246171888</v>
      </c>
      <c r="D309" s="6">
        <v>44699</v>
      </c>
      <c r="E309" s="8">
        <v>260</v>
      </c>
      <c r="F309" s="23" t="str">
        <f>IFERROR(VLOOKUP(C309, 'Catégorie des articles'!$A:$D, 4, FALSE), "")</f>
        <v>BOULANGERIE</v>
      </c>
      <c r="G309">
        <f t="shared" si="4"/>
        <v>202205</v>
      </c>
    </row>
    <row r="310" spans="1:7" ht="12" customHeight="1">
      <c r="A310" s="9">
        <v>44690</v>
      </c>
      <c r="B310" s="10">
        <v>142685793</v>
      </c>
      <c r="C310" s="3">
        <v>5540246190092</v>
      </c>
      <c r="D310" s="9">
        <v>44724</v>
      </c>
      <c r="E310" s="11">
        <v>116</v>
      </c>
      <c r="F310" s="23" t="str">
        <f>IFERROR(VLOOKUP(C310, 'Catégorie des articles'!$A:$D, 4, FALSE), "")</f>
        <v>EMBALLAGES</v>
      </c>
      <c r="G310">
        <f t="shared" si="4"/>
        <v>202206</v>
      </c>
    </row>
    <row r="311" spans="1:7" ht="12" customHeight="1">
      <c r="A311" s="9">
        <v>44691</v>
      </c>
      <c r="B311" s="10">
        <v>142685797</v>
      </c>
      <c r="C311" s="3">
        <v>5540246171933</v>
      </c>
      <c r="D311" s="9">
        <v>44696</v>
      </c>
      <c r="E311" s="11">
        <v>836</v>
      </c>
      <c r="F311" s="23" t="str">
        <f>IFERROR(VLOOKUP(C311, 'Catégorie des articles'!$A:$D, 4, FALSE), "")</f>
        <v>CREMERIE</v>
      </c>
      <c r="G311">
        <f t="shared" si="4"/>
        <v>202205</v>
      </c>
    </row>
    <row r="312" spans="1:7" ht="12" customHeight="1">
      <c r="A312" s="9">
        <v>44691</v>
      </c>
      <c r="B312" s="10">
        <v>142685798</v>
      </c>
      <c r="C312" s="3">
        <v>5540246188175</v>
      </c>
      <c r="D312" s="9">
        <v>44696</v>
      </c>
      <c r="E312" s="11">
        <v>93</v>
      </c>
      <c r="F312" s="23" t="str">
        <f>IFERROR(VLOOKUP(C312, 'Catégorie des articles'!$A:$D, 4, FALSE), "")</f>
        <v>CREMERIE</v>
      </c>
      <c r="G312">
        <f t="shared" si="4"/>
        <v>202205</v>
      </c>
    </row>
    <row r="313" spans="1:7" ht="12" customHeight="1">
      <c r="A313" s="6">
        <v>44691</v>
      </c>
      <c r="B313" s="7">
        <v>142685798</v>
      </c>
      <c r="C313" s="3">
        <v>5540246192102</v>
      </c>
      <c r="D313" s="6">
        <v>44696</v>
      </c>
      <c r="E313" s="8">
        <v>4009</v>
      </c>
      <c r="F313" s="23" t="str">
        <f>IFERROR(VLOOKUP(C313, 'Catégorie des articles'!$A:$D, 4, FALSE), "")</f>
        <v>CREMERIE</v>
      </c>
      <c r="G313">
        <f t="shared" si="4"/>
        <v>202205</v>
      </c>
    </row>
    <row r="314" spans="1:7" ht="12" customHeight="1">
      <c r="A314" s="6">
        <v>44691</v>
      </c>
      <c r="B314" s="7">
        <v>142685802</v>
      </c>
      <c r="C314" s="3">
        <v>5540246171759</v>
      </c>
      <c r="D314" s="6">
        <v>44697</v>
      </c>
      <c r="E314" s="8">
        <v>6264</v>
      </c>
      <c r="F314" s="23" t="str">
        <f>IFERROR(VLOOKUP(C314, 'Catégorie des articles'!$A:$D, 4, FALSE), "")</f>
        <v>MIX LEGUMES</v>
      </c>
      <c r="G314">
        <f t="shared" si="4"/>
        <v>202205</v>
      </c>
    </row>
    <row r="315" spans="1:7" ht="12" customHeight="1">
      <c r="A315" s="9">
        <v>44691</v>
      </c>
      <c r="B315" s="10">
        <v>142685802</v>
      </c>
      <c r="C315" s="3">
        <v>5540246177132</v>
      </c>
      <c r="D315" s="9">
        <v>44697</v>
      </c>
      <c r="E315" s="11">
        <v>7888</v>
      </c>
      <c r="F315" s="23" t="str">
        <f>IFERROR(VLOOKUP(C315, 'Catégorie des articles'!$A:$D, 4, FALSE), "")</f>
        <v>MIX LEGUMES</v>
      </c>
      <c r="G315">
        <f t="shared" si="4"/>
        <v>202205</v>
      </c>
    </row>
    <row r="316" spans="1:7" ht="12" customHeight="1">
      <c r="A316" s="6">
        <v>44691</v>
      </c>
      <c r="B316" s="7">
        <v>142685802</v>
      </c>
      <c r="C316" s="3">
        <v>5540246177133</v>
      </c>
      <c r="D316" s="6">
        <v>44697</v>
      </c>
      <c r="E316" s="8">
        <v>6125</v>
      </c>
      <c r="F316" s="23" t="str">
        <f>IFERROR(VLOOKUP(C316, 'Catégorie des articles'!$A:$D, 4, FALSE), "")</f>
        <v>MIX LEGUMES</v>
      </c>
      <c r="G316">
        <f t="shared" si="4"/>
        <v>202205</v>
      </c>
    </row>
    <row r="317" spans="1:7" ht="12" customHeight="1">
      <c r="A317" s="6">
        <v>44691</v>
      </c>
      <c r="B317" s="7">
        <v>142685807</v>
      </c>
      <c r="C317" s="3">
        <v>5540246188583</v>
      </c>
      <c r="D317" s="6">
        <v>44699</v>
      </c>
      <c r="E317" s="8">
        <v>2784</v>
      </c>
      <c r="F317" s="23" t="str">
        <f>IFERROR(VLOOKUP(C317, 'Catégorie des articles'!$A:$D, 4, FALSE), "")</f>
        <v>BOULANGERIE</v>
      </c>
      <c r="G317">
        <f t="shared" si="4"/>
        <v>202205</v>
      </c>
    </row>
    <row r="318" spans="1:7" ht="12" customHeight="1">
      <c r="A318" s="6">
        <v>44691</v>
      </c>
      <c r="B318" s="7">
        <v>142685811</v>
      </c>
      <c r="C318" s="3">
        <v>5540246192264</v>
      </c>
      <c r="D318" s="6">
        <v>44724</v>
      </c>
      <c r="E318" s="8">
        <v>483</v>
      </c>
      <c r="F318" s="23" t="str">
        <f>IFERROR(VLOOKUP(C318, 'Catégorie des articles'!$A:$D, 4, FALSE), "")</f>
        <v>CREMERIE</v>
      </c>
      <c r="G318">
        <f t="shared" si="4"/>
        <v>202206</v>
      </c>
    </row>
    <row r="319" spans="1:7" ht="12" customHeight="1">
      <c r="A319" s="9">
        <v>44691</v>
      </c>
      <c r="B319" s="10">
        <v>142685811</v>
      </c>
      <c r="C319" s="3">
        <v>5540246192265</v>
      </c>
      <c r="D319" s="9">
        <v>44724</v>
      </c>
      <c r="E319" s="11">
        <v>1300</v>
      </c>
      <c r="F319" s="23" t="str">
        <f>IFERROR(VLOOKUP(C319, 'Catégorie des articles'!$A:$D, 4, FALSE), "")</f>
        <v>CREMERIE</v>
      </c>
      <c r="G319">
        <f t="shared" si="4"/>
        <v>202206</v>
      </c>
    </row>
    <row r="320" spans="1:7" ht="12" customHeight="1">
      <c r="A320" s="6">
        <v>44691</v>
      </c>
      <c r="B320" s="7">
        <v>142685812</v>
      </c>
      <c r="C320" s="3">
        <v>5540246192264</v>
      </c>
      <c r="D320" s="6">
        <v>44731</v>
      </c>
      <c r="E320" s="8">
        <v>928</v>
      </c>
      <c r="F320" s="23" t="str">
        <f>IFERROR(VLOOKUP(C320, 'Catégorie des articles'!$A:$D, 4, FALSE), "")</f>
        <v>CREMERIE</v>
      </c>
      <c r="G320">
        <f t="shared" si="4"/>
        <v>202206</v>
      </c>
    </row>
    <row r="321" spans="1:7" ht="12" customHeight="1">
      <c r="A321" s="9">
        <v>44691</v>
      </c>
      <c r="B321" s="10">
        <v>142685812</v>
      </c>
      <c r="C321" s="3">
        <v>5540246192265</v>
      </c>
      <c r="D321" s="9">
        <v>44731</v>
      </c>
      <c r="E321" s="11">
        <v>854</v>
      </c>
      <c r="F321" s="23" t="str">
        <f>IFERROR(VLOOKUP(C321, 'Catégorie des articles'!$A:$D, 4, FALSE), "")</f>
        <v>CREMERIE</v>
      </c>
      <c r="G321">
        <f t="shared" si="4"/>
        <v>202206</v>
      </c>
    </row>
    <row r="322" spans="1:7" ht="12" customHeight="1">
      <c r="A322" s="6">
        <v>44691</v>
      </c>
      <c r="B322" s="7">
        <v>142685814</v>
      </c>
      <c r="C322" s="3">
        <v>5540246186011</v>
      </c>
      <c r="D322" s="6">
        <v>44691</v>
      </c>
      <c r="E322" s="8">
        <v>47</v>
      </c>
      <c r="F322" s="23" t="str">
        <f>IFERROR(VLOOKUP(C322, 'Catégorie des articles'!$A:$D, 4, FALSE), "")</f>
        <v>EMBALLAGES</v>
      </c>
      <c r="G322">
        <f t="shared" si="4"/>
        <v>202205</v>
      </c>
    </row>
    <row r="323" spans="1:7" ht="12" customHeight="1">
      <c r="A323" s="6">
        <v>44691</v>
      </c>
      <c r="B323" s="7">
        <v>142685817</v>
      </c>
      <c r="C323" s="3">
        <v>5540246192264</v>
      </c>
      <c r="D323" s="6">
        <v>44738</v>
      </c>
      <c r="E323" s="8">
        <v>372</v>
      </c>
      <c r="F323" s="23" t="str">
        <f>IFERROR(VLOOKUP(C323, 'Catégorie des articles'!$A:$D, 4, FALSE), "")</f>
        <v>CREMERIE</v>
      </c>
      <c r="G323">
        <f t="shared" ref="G323:G386" si="5">YEAR(D323)*100 + MONTH(D323)</f>
        <v>202206</v>
      </c>
    </row>
    <row r="324" spans="1:7" ht="12" customHeight="1">
      <c r="A324" s="9">
        <v>44691</v>
      </c>
      <c r="B324" s="10">
        <v>142685817</v>
      </c>
      <c r="C324" s="3">
        <v>5540246192265</v>
      </c>
      <c r="D324" s="9">
        <v>44738</v>
      </c>
      <c r="E324" s="11">
        <v>1411</v>
      </c>
      <c r="F324" s="23" t="str">
        <f>IFERROR(VLOOKUP(C324, 'Catégorie des articles'!$A:$D, 4, FALSE), "")</f>
        <v>CREMERIE</v>
      </c>
      <c r="G324">
        <f t="shared" si="5"/>
        <v>202206</v>
      </c>
    </row>
    <row r="325" spans="1:7" ht="12" customHeight="1">
      <c r="A325" s="6">
        <v>44693</v>
      </c>
      <c r="B325" s="7">
        <v>142695834</v>
      </c>
      <c r="C325" s="3">
        <v>5540246172669</v>
      </c>
      <c r="D325" s="6">
        <v>44697</v>
      </c>
      <c r="E325" s="8">
        <v>279</v>
      </c>
      <c r="F325" s="23" t="str">
        <f>IFERROR(VLOOKUP(C325, 'Catégorie des articles'!$A:$D, 4, FALSE), "")</f>
        <v>CREMERIE</v>
      </c>
      <c r="G325">
        <f t="shared" si="5"/>
        <v>202205</v>
      </c>
    </row>
    <row r="326" spans="1:7" ht="12" customHeight="1">
      <c r="A326" s="9">
        <v>44693</v>
      </c>
      <c r="B326" s="10">
        <v>142695834</v>
      </c>
      <c r="C326" s="3">
        <v>5540246172978</v>
      </c>
      <c r="D326" s="9">
        <v>44697</v>
      </c>
      <c r="E326" s="11">
        <v>1253</v>
      </c>
      <c r="F326" s="23" t="str">
        <f>IFERROR(VLOOKUP(C326, 'Catégorie des articles'!$A:$D, 4, FALSE), "")</f>
        <v>CREMERIE</v>
      </c>
      <c r="G326">
        <f t="shared" si="5"/>
        <v>202205</v>
      </c>
    </row>
    <row r="327" spans="1:7" ht="12" customHeight="1">
      <c r="A327" s="9">
        <v>44693</v>
      </c>
      <c r="B327" s="10">
        <v>142695834</v>
      </c>
      <c r="C327" s="3">
        <v>5540246188175</v>
      </c>
      <c r="D327" s="9">
        <v>44697</v>
      </c>
      <c r="E327" s="11">
        <v>93</v>
      </c>
      <c r="F327" s="23" t="str">
        <f>IFERROR(VLOOKUP(C327, 'Catégorie des articles'!$A:$D, 4, FALSE), "")</f>
        <v>CREMERIE</v>
      </c>
      <c r="G327">
        <f t="shared" si="5"/>
        <v>202205</v>
      </c>
    </row>
    <row r="328" spans="1:7" ht="12" customHeight="1">
      <c r="A328" s="9">
        <v>44693</v>
      </c>
      <c r="B328" s="10">
        <v>142695835</v>
      </c>
      <c r="C328" s="3">
        <v>5540246171933</v>
      </c>
      <c r="D328" s="9">
        <v>44697</v>
      </c>
      <c r="E328" s="11">
        <v>557</v>
      </c>
      <c r="F328" s="23" t="str">
        <f>IFERROR(VLOOKUP(C328, 'Catégorie des articles'!$A:$D, 4, FALSE), "")</f>
        <v>CREMERIE</v>
      </c>
      <c r="G328">
        <f t="shared" si="5"/>
        <v>202205</v>
      </c>
    </row>
    <row r="329" spans="1:7" ht="12" customHeight="1">
      <c r="A329" s="6">
        <v>44693</v>
      </c>
      <c r="B329" s="7">
        <v>142695835</v>
      </c>
      <c r="C329" s="3">
        <v>5540246176295</v>
      </c>
      <c r="D329" s="6">
        <v>44697</v>
      </c>
      <c r="E329" s="8">
        <v>4455</v>
      </c>
      <c r="F329" s="23" t="str">
        <f>IFERROR(VLOOKUP(C329, 'Catégorie des articles'!$A:$D, 4, FALSE), "")</f>
        <v>CREMERIE</v>
      </c>
      <c r="G329">
        <f t="shared" si="5"/>
        <v>202205</v>
      </c>
    </row>
    <row r="330" spans="1:7" ht="12" customHeight="1">
      <c r="A330" s="9">
        <v>44693</v>
      </c>
      <c r="B330" s="10">
        <v>142695835</v>
      </c>
      <c r="C330" s="3">
        <v>5540246188200</v>
      </c>
      <c r="D330" s="9">
        <v>44697</v>
      </c>
      <c r="E330" s="11">
        <v>1485</v>
      </c>
      <c r="F330" s="23" t="str">
        <f>IFERROR(VLOOKUP(C330, 'Catégorie des articles'!$A:$D, 4, FALSE), "")</f>
        <v>CREMERIE</v>
      </c>
      <c r="G330">
        <f t="shared" si="5"/>
        <v>202205</v>
      </c>
    </row>
    <row r="331" spans="1:7" ht="12" customHeight="1">
      <c r="A331" s="6">
        <v>44693</v>
      </c>
      <c r="B331" s="7">
        <v>142695837</v>
      </c>
      <c r="C331" s="3">
        <v>5540246183589</v>
      </c>
      <c r="D331" s="6">
        <v>44703</v>
      </c>
      <c r="E331" s="8">
        <v>1300</v>
      </c>
      <c r="F331" s="23" t="str">
        <f>IFERROR(VLOOKUP(C331, 'Catégorie des articles'!$A:$D, 4, FALSE), "")</f>
        <v>MIX LEGUMES</v>
      </c>
      <c r="G331">
        <f t="shared" si="5"/>
        <v>202205</v>
      </c>
    </row>
    <row r="332" spans="1:7" ht="12" customHeight="1">
      <c r="A332" s="9">
        <v>44693</v>
      </c>
      <c r="B332" s="10">
        <v>142695837</v>
      </c>
      <c r="C332" s="3">
        <v>5540246186351</v>
      </c>
      <c r="D332" s="9">
        <v>44703</v>
      </c>
      <c r="E332" s="11">
        <v>1128</v>
      </c>
      <c r="F332" s="23" t="str">
        <f>IFERROR(VLOOKUP(C332, 'Catégorie des articles'!$A:$D, 4, FALSE), "")</f>
        <v>MIX LEGUMES</v>
      </c>
      <c r="G332">
        <f t="shared" si="5"/>
        <v>202205</v>
      </c>
    </row>
    <row r="333" spans="1:7" ht="12" customHeight="1">
      <c r="A333" s="6">
        <v>44693</v>
      </c>
      <c r="B333" s="7">
        <v>142695837</v>
      </c>
      <c r="C333" s="3">
        <v>5540246186352</v>
      </c>
      <c r="D333" s="6">
        <v>44703</v>
      </c>
      <c r="E333" s="8">
        <v>1880</v>
      </c>
      <c r="F333" s="23" t="str">
        <f>IFERROR(VLOOKUP(C333, 'Catégorie des articles'!$A:$D, 4, FALSE), "")</f>
        <v>MIX LEGUMES</v>
      </c>
      <c r="G333">
        <f t="shared" si="5"/>
        <v>202205</v>
      </c>
    </row>
    <row r="334" spans="1:7" ht="12" customHeight="1">
      <c r="A334" s="6">
        <v>44693</v>
      </c>
      <c r="B334" s="7">
        <v>142695839</v>
      </c>
      <c r="C334" s="3">
        <v>5540246183554</v>
      </c>
      <c r="D334" s="6">
        <v>44706</v>
      </c>
      <c r="E334" s="8">
        <v>891</v>
      </c>
      <c r="F334" s="23" t="str">
        <f>IFERROR(VLOOKUP(C334, 'Catégorie des articles'!$A:$D, 4, FALSE), "")</f>
        <v>MIX LEGUMES</v>
      </c>
      <c r="G334">
        <f t="shared" si="5"/>
        <v>202205</v>
      </c>
    </row>
    <row r="335" spans="1:7" ht="12" customHeight="1">
      <c r="A335" s="9">
        <v>44693</v>
      </c>
      <c r="B335" s="10">
        <v>142695839</v>
      </c>
      <c r="C335" s="3">
        <v>5540246183556</v>
      </c>
      <c r="D335" s="9">
        <v>44706</v>
      </c>
      <c r="E335" s="11">
        <v>1782</v>
      </c>
      <c r="F335" s="23" t="str">
        <f>IFERROR(VLOOKUP(C335, 'Catégorie des articles'!$A:$D, 4, FALSE), "")</f>
        <v>MIX LEGUMES</v>
      </c>
      <c r="G335">
        <f t="shared" si="5"/>
        <v>202205</v>
      </c>
    </row>
    <row r="336" spans="1:7" ht="12" customHeight="1">
      <c r="A336" s="6">
        <v>44693</v>
      </c>
      <c r="B336" s="7">
        <v>142695839</v>
      </c>
      <c r="C336" s="3">
        <v>5540246183558</v>
      </c>
      <c r="D336" s="6">
        <v>44706</v>
      </c>
      <c r="E336" s="8">
        <v>2599</v>
      </c>
      <c r="F336" s="23" t="str">
        <f>IFERROR(VLOOKUP(C336, 'Catégorie des articles'!$A:$D, 4, FALSE), "")</f>
        <v>MIX LEGUMES</v>
      </c>
      <c r="G336">
        <f t="shared" si="5"/>
        <v>202205</v>
      </c>
    </row>
    <row r="337" spans="1:7" ht="12" customHeight="1">
      <c r="A337" s="9">
        <v>44693</v>
      </c>
      <c r="B337" s="10">
        <v>142695839</v>
      </c>
      <c r="C337" s="3">
        <v>5540246192209</v>
      </c>
      <c r="D337" s="9">
        <v>44706</v>
      </c>
      <c r="E337" s="11">
        <v>2228</v>
      </c>
      <c r="F337" s="23" t="str">
        <f>IFERROR(VLOOKUP(C337, 'Catégorie des articles'!$A:$D, 4, FALSE), "")</f>
        <v>MIX LEGUMES</v>
      </c>
      <c r="G337">
        <f t="shared" si="5"/>
        <v>202205</v>
      </c>
    </row>
    <row r="338" spans="1:7" ht="12" customHeight="1">
      <c r="A338" s="6">
        <v>44693</v>
      </c>
      <c r="B338" s="7">
        <v>142695839</v>
      </c>
      <c r="C338" s="3">
        <v>5540246192462</v>
      </c>
      <c r="D338" s="6">
        <v>44706</v>
      </c>
      <c r="E338" s="8">
        <v>2228</v>
      </c>
      <c r="F338" s="23" t="str">
        <f>IFERROR(VLOOKUP(C338, 'Catégorie des articles'!$A:$D, 4, FALSE), "")</f>
        <v>MIX LEGUMES</v>
      </c>
      <c r="G338">
        <f t="shared" si="5"/>
        <v>202205</v>
      </c>
    </row>
    <row r="339" spans="1:7" ht="12" customHeight="1">
      <c r="A339" s="9">
        <v>44693</v>
      </c>
      <c r="B339" s="10">
        <v>142695839</v>
      </c>
      <c r="C339" s="3">
        <v>5540246192594</v>
      </c>
      <c r="D339" s="9">
        <v>44706</v>
      </c>
      <c r="E339" s="11">
        <v>743</v>
      </c>
      <c r="F339" s="23" t="str">
        <f>IFERROR(VLOOKUP(C339, 'Catégorie des articles'!$A:$D, 4, FALSE), "")</f>
        <v>MIX LEGUMES</v>
      </c>
      <c r="G339">
        <f t="shared" si="5"/>
        <v>202205</v>
      </c>
    </row>
    <row r="340" spans="1:7" ht="12" customHeight="1">
      <c r="A340" s="6">
        <v>44693</v>
      </c>
      <c r="B340" s="7">
        <v>142695839</v>
      </c>
      <c r="C340" s="3">
        <v>5540246192831</v>
      </c>
      <c r="D340" s="6">
        <v>44706</v>
      </c>
      <c r="E340" s="8">
        <v>1300</v>
      </c>
      <c r="F340" s="23" t="str">
        <f>IFERROR(VLOOKUP(C340, 'Catégorie des articles'!$A:$D, 4, FALSE), "")</f>
        <v>MIX LEGUMES</v>
      </c>
      <c r="G340">
        <f t="shared" si="5"/>
        <v>202205</v>
      </c>
    </row>
    <row r="341" spans="1:7" ht="12" customHeight="1">
      <c r="A341" s="6">
        <v>44693</v>
      </c>
      <c r="B341" s="7">
        <v>142695842</v>
      </c>
      <c r="C341" s="3">
        <v>5540246185429</v>
      </c>
      <c r="D341" s="6">
        <v>44698</v>
      </c>
      <c r="E341" s="8">
        <v>140</v>
      </c>
      <c r="F341" s="23" t="str">
        <f>IFERROR(VLOOKUP(C341, 'Catégorie des articles'!$A:$D, 4, FALSE), "")</f>
        <v>CREMERIE</v>
      </c>
      <c r="G341">
        <f t="shared" si="5"/>
        <v>202205</v>
      </c>
    </row>
    <row r="342" spans="1:7" ht="12" customHeight="1">
      <c r="A342" s="9">
        <v>44693</v>
      </c>
      <c r="B342" s="10">
        <v>142695845</v>
      </c>
      <c r="C342" s="3">
        <v>5540246183130</v>
      </c>
      <c r="D342" s="9">
        <v>44706</v>
      </c>
      <c r="E342" s="11">
        <v>2819</v>
      </c>
      <c r="F342" s="23" t="str">
        <f>IFERROR(VLOOKUP(C342, 'Catégorie des articles'!$A:$D, 4, FALSE), "")</f>
        <v>MIX LEGUMES</v>
      </c>
      <c r="G342">
        <f t="shared" si="5"/>
        <v>202205</v>
      </c>
    </row>
    <row r="343" spans="1:7" ht="12" customHeight="1">
      <c r="A343" s="6">
        <v>44693</v>
      </c>
      <c r="B343" s="7">
        <v>142695845</v>
      </c>
      <c r="C343" s="3">
        <v>5540246183537</v>
      </c>
      <c r="D343" s="6">
        <v>44706</v>
      </c>
      <c r="E343" s="8">
        <v>961</v>
      </c>
      <c r="F343" s="23" t="str">
        <f>IFERROR(VLOOKUP(C343, 'Catégorie des articles'!$A:$D, 4, FALSE), "")</f>
        <v>MIX LEGUMES</v>
      </c>
      <c r="G343">
        <f t="shared" si="5"/>
        <v>202205</v>
      </c>
    </row>
    <row r="344" spans="1:7" ht="12" customHeight="1">
      <c r="A344" s="9">
        <v>44693</v>
      </c>
      <c r="B344" s="10">
        <v>142695845</v>
      </c>
      <c r="C344" s="3">
        <v>5540246183541</v>
      </c>
      <c r="D344" s="9">
        <v>44706</v>
      </c>
      <c r="E344" s="11">
        <v>1044</v>
      </c>
      <c r="F344" s="23" t="str">
        <f>IFERROR(VLOOKUP(C344, 'Catégorie des articles'!$A:$D, 4, FALSE), "")</f>
        <v>MIX LEGUMES</v>
      </c>
      <c r="G344">
        <f t="shared" si="5"/>
        <v>202205</v>
      </c>
    </row>
    <row r="345" spans="1:7" ht="12" customHeight="1">
      <c r="A345" s="6">
        <v>44693</v>
      </c>
      <c r="B345" s="7">
        <v>142695845</v>
      </c>
      <c r="C345" s="3">
        <v>5540246183555</v>
      </c>
      <c r="D345" s="6">
        <v>44706</v>
      </c>
      <c r="E345" s="8">
        <v>543</v>
      </c>
      <c r="F345" s="23" t="str">
        <f>IFERROR(VLOOKUP(C345, 'Catégorie des articles'!$A:$D, 4, FALSE), "")</f>
        <v>MIX LEGUMES</v>
      </c>
      <c r="G345">
        <f t="shared" si="5"/>
        <v>202205</v>
      </c>
    </row>
    <row r="346" spans="1:7" ht="12" customHeight="1">
      <c r="A346" s="6">
        <v>44693</v>
      </c>
      <c r="B346" s="7">
        <v>142695848</v>
      </c>
      <c r="C346" s="3">
        <v>5540246180522</v>
      </c>
      <c r="D346" s="6">
        <v>44718</v>
      </c>
      <c r="E346" s="8">
        <v>891</v>
      </c>
      <c r="F346" s="23" t="str">
        <f>IFERROR(VLOOKUP(C346, 'Catégorie des articles'!$A:$D, 4, FALSE), "")</f>
        <v>BOULANGERIE</v>
      </c>
      <c r="G346">
        <f t="shared" si="5"/>
        <v>202206</v>
      </c>
    </row>
    <row r="347" spans="1:7" ht="12" customHeight="1">
      <c r="A347" s="9">
        <v>44693</v>
      </c>
      <c r="B347" s="10">
        <v>142695856</v>
      </c>
      <c r="C347" s="3">
        <v>5540246170256</v>
      </c>
      <c r="D347" s="9">
        <v>44713</v>
      </c>
      <c r="E347" s="11">
        <v>2822</v>
      </c>
      <c r="F347" s="23" t="str">
        <f>IFERROR(VLOOKUP(C347, 'Catégorie des articles'!$A:$D, 4, FALSE), "")</f>
        <v>BOULANGERIE</v>
      </c>
      <c r="G347">
        <f t="shared" si="5"/>
        <v>202206</v>
      </c>
    </row>
    <row r="348" spans="1:7" ht="12" customHeight="1">
      <c r="A348" s="6">
        <v>44693</v>
      </c>
      <c r="B348" s="7">
        <v>142695856</v>
      </c>
      <c r="C348" s="3">
        <v>5540246171888</v>
      </c>
      <c r="D348" s="6">
        <v>44713</v>
      </c>
      <c r="E348" s="8">
        <v>780</v>
      </c>
      <c r="F348" s="23" t="str">
        <f>IFERROR(VLOOKUP(C348, 'Catégorie des articles'!$A:$D, 4, FALSE), "")</f>
        <v>BOULANGERIE</v>
      </c>
      <c r="G348">
        <f t="shared" si="5"/>
        <v>202206</v>
      </c>
    </row>
    <row r="349" spans="1:7" ht="12" customHeight="1">
      <c r="A349" s="9">
        <v>44693</v>
      </c>
      <c r="B349" s="10">
        <v>142695857</v>
      </c>
      <c r="C349" s="3">
        <v>5540246170256</v>
      </c>
      <c r="D349" s="9">
        <v>44725</v>
      </c>
      <c r="E349" s="11">
        <v>2822</v>
      </c>
      <c r="F349" s="23" t="str">
        <f>IFERROR(VLOOKUP(C349, 'Catégorie des articles'!$A:$D, 4, FALSE), "")</f>
        <v>BOULANGERIE</v>
      </c>
      <c r="G349">
        <f t="shared" si="5"/>
        <v>202206</v>
      </c>
    </row>
    <row r="350" spans="1:7" ht="12" customHeight="1">
      <c r="A350" s="6">
        <v>44693</v>
      </c>
      <c r="B350" s="7">
        <v>142695857</v>
      </c>
      <c r="C350" s="3">
        <v>5540246171888</v>
      </c>
      <c r="D350" s="6">
        <v>44725</v>
      </c>
      <c r="E350" s="8">
        <v>780</v>
      </c>
      <c r="F350" s="23" t="str">
        <f>IFERROR(VLOOKUP(C350, 'Catégorie des articles'!$A:$D, 4, FALSE), "")</f>
        <v>BOULANGERIE</v>
      </c>
      <c r="G350">
        <f t="shared" si="5"/>
        <v>202206</v>
      </c>
    </row>
    <row r="351" spans="1:7" ht="12" customHeight="1">
      <c r="A351" s="9">
        <v>44693</v>
      </c>
      <c r="B351" s="10">
        <v>142695858</v>
      </c>
      <c r="C351" s="3">
        <v>5540246170256</v>
      </c>
      <c r="D351" s="9">
        <v>44733</v>
      </c>
      <c r="E351" s="11">
        <v>3174</v>
      </c>
      <c r="F351" s="23" t="str">
        <f>IFERROR(VLOOKUP(C351, 'Catégorie des articles'!$A:$D, 4, FALSE), "")</f>
        <v>BOULANGERIE</v>
      </c>
      <c r="G351">
        <f t="shared" si="5"/>
        <v>202206</v>
      </c>
    </row>
    <row r="352" spans="1:7" ht="12" customHeight="1">
      <c r="A352" s="6">
        <v>44693</v>
      </c>
      <c r="B352" s="7">
        <v>142695858</v>
      </c>
      <c r="C352" s="3">
        <v>5540246171888</v>
      </c>
      <c r="D352" s="6">
        <v>44733</v>
      </c>
      <c r="E352" s="8">
        <v>520</v>
      </c>
      <c r="F352" s="23" t="str">
        <f>IFERROR(VLOOKUP(C352, 'Catégorie des articles'!$A:$D, 4, FALSE), "")</f>
        <v>BOULANGERIE</v>
      </c>
      <c r="G352">
        <f t="shared" si="5"/>
        <v>202206</v>
      </c>
    </row>
    <row r="353" spans="1:7" ht="12" customHeight="1">
      <c r="A353" s="6">
        <v>44696</v>
      </c>
      <c r="B353" s="7">
        <v>142695865</v>
      </c>
      <c r="C353" s="3">
        <v>5540246184808</v>
      </c>
      <c r="D353" s="6">
        <v>44698</v>
      </c>
      <c r="E353" s="8">
        <v>1044</v>
      </c>
      <c r="F353" s="23" t="str">
        <f>IFERROR(VLOOKUP(C353, 'Catégorie des articles'!$A:$D, 4, FALSE), "")</f>
        <v>CREMERIE</v>
      </c>
      <c r="G353">
        <f t="shared" si="5"/>
        <v>202205</v>
      </c>
    </row>
    <row r="354" spans="1:7" ht="12" customHeight="1">
      <c r="A354" s="6">
        <v>44696</v>
      </c>
      <c r="B354" s="7">
        <v>142695866</v>
      </c>
      <c r="C354" s="3">
        <v>5540246171933</v>
      </c>
      <c r="D354" s="6">
        <v>44698</v>
      </c>
      <c r="E354" s="8">
        <v>1114</v>
      </c>
      <c r="F354" s="23" t="str">
        <f>IFERROR(VLOOKUP(C354, 'Catégorie des articles'!$A:$D, 4, FALSE), "")</f>
        <v>CREMERIE</v>
      </c>
      <c r="G354">
        <f t="shared" si="5"/>
        <v>202205</v>
      </c>
    </row>
    <row r="355" spans="1:7" ht="12" customHeight="1">
      <c r="A355" s="9">
        <v>44696</v>
      </c>
      <c r="B355" s="10">
        <v>142695866</v>
      </c>
      <c r="C355" s="3">
        <v>5540246187987</v>
      </c>
      <c r="D355" s="9">
        <v>44698</v>
      </c>
      <c r="E355" s="11">
        <v>2228</v>
      </c>
      <c r="F355" s="23" t="str">
        <f>IFERROR(VLOOKUP(C355, 'Catégorie des articles'!$A:$D, 4, FALSE), "")</f>
        <v>CREMERIE</v>
      </c>
      <c r="G355">
        <f t="shared" si="5"/>
        <v>202205</v>
      </c>
    </row>
    <row r="356" spans="1:7" ht="12" customHeight="1">
      <c r="A356" s="6">
        <v>44696</v>
      </c>
      <c r="B356" s="7">
        <v>142695866</v>
      </c>
      <c r="C356" s="3">
        <v>5540246188200</v>
      </c>
      <c r="D356" s="6">
        <v>44698</v>
      </c>
      <c r="E356" s="8">
        <v>1485</v>
      </c>
      <c r="F356" s="23" t="str">
        <f>IFERROR(VLOOKUP(C356, 'Catégorie des articles'!$A:$D, 4, FALSE), "")</f>
        <v>CREMERIE</v>
      </c>
      <c r="G356">
        <f t="shared" si="5"/>
        <v>202205</v>
      </c>
    </row>
    <row r="357" spans="1:7" ht="12" customHeight="1">
      <c r="A357" s="9">
        <v>44696</v>
      </c>
      <c r="B357" s="10">
        <v>142695867</v>
      </c>
      <c r="C357" s="3">
        <v>5540246175372</v>
      </c>
      <c r="D357" s="9">
        <v>44705</v>
      </c>
      <c r="E357" s="11">
        <v>3341</v>
      </c>
      <c r="F357" s="23" t="str">
        <f>IFERROR(VLOOKUP(C357, 'Catégorie des articles'!$A:$D, 4, FALSE), "")</f>
        <v>BOULANGERIE</v>
      </c>
      <c r="G357">
        <f t="shared" si="5"/>
        <v>202205</v>
      </c>
    </row>
    <row r="358" spans="1:7" ht="12" customHeight="1">
      <c r="A358" s="6">
        <v>44696</v>
      </c>
      <c r="B358" s="7">
        <v>142695874</v>
      </c>
      <c r="C358" s="3">
        <v>5540246193505</v>
      </c>
      <c r="D358" s="6">
        <v>44700</v>
      </c>
      <c r="E358" s="8">
        <v>35636</v>
      </c>
      <c r="F358" s="23" t="str">
        <f>IFERROR(VLOOKUP(C358, 'Catégorie des articles'!$A:$D, 4, FALSE), "")</f>
        <v>BOULANGERIE</v>
      </c>
      <c r="G358">
        <f t="shared" si="5"/>
        <v>202205</v>
      </c>
    </row>
    <row r="359" spans="1:7" ht="12" customHeight="1">
      <c r="A359" s="6">
        <v>44697</v>
      </c>
      <c r="B359" s="7">
        <v>142695906</v>
      </c>
      <c r="C359" s="3">
        <v>5540246188175</v>
      </c>
      <c r="D359" s="6">
        <v>44699</v>
      </c>
      <c r="E359" s="8">
        <v>93</v>
      </c>
      <c r="F359" s="23" t="str">
        <f>IFERROR(VLOOKUP(C359, 'Catégorie des articles'!$A:$D, 4, FALSE), "")</f>
        <v>CREMERIE</v>
      </c>
      <c r="G359">
        <f t="shared" si="5"/>
        <v>202205</v>
      </c>
    </row>
    <row r="360" spans="1:7" ht="12" customHeight="1">
      <c r="A360" s="6">
        <v>44697</v>
      </c>
      <c r="B360" s="7">
        <v>142695907</v>
      </c>
      <c r="C360" s="3">
        <v>5540246171933</v>
      </c>
      <c r="D360" s="6">
        <v>44699</v>
      </c>
      <c r="E360" s="8">
        <v>1114</v>
      </c>
      <c r="F360" s="23" t="str">
        <f>IFERROR(VLOOKUP(C360, 'Catégorie des articles'!$A:$D, 4, FALSE), "")</f>
        <v>CREMERIE</v>
      </c>
      <c r="G360">
        <f t="shared" si="5"/>
        <v>202205</v>
      </c>
    </row>
    <row r="361" spans="1:7" ht="12" customHeight="1">
      <c r="A361" s="9">
        <v>44697</v>
      </c>
      <c r="B361" s="10">
        <v>142695907</v>
      </c>
      <c r="C361" s="3">
        <v>5540246187987</v>
      </c>
      <c r="D361" s="9">
        <v>44699</v>
      </c>
      <c r="E361" s="11">
        <v>1671</v>
      </c>
      <c r="F361" s="23" t="str">
        <f>IFERROR(VLOOKUP(C361, 'Catégorie des articles'!$A:$D, 4, FALSE), "")</f>
        <v>CREMERIE</v>
      </c>
      <c r="G361">
        <f t="shared" si="5"/>
        <v>202205</v>
      </c>
    </row>
    <row r="362" spans="1:7" ht="12" customHeight="1">
      <c r="A362" s="6">
        <v>44697</v>
      </c>
      <c r="B362" s="7">
        <v>142695907</v>
      </c>
      <c r="C362" s="3">
        <v>5540246188200</v>
      </c>
      <c r="D362" s="6">
        <v>44699</v>
      </c>
      <c r="E362" s="8">
        <v>1114</v>
      </c>
      <c r="F362" s="23" t="str">
        <f>IFERROR(VLOOKUP(C362, 'Catégorie des articles'!$A:$D, 4, FALSE), "")</f>
        <v>CREMERIE</v>
      </c>
      <c r="G362">
        <f t="shared" si="5"/>
        <v>202205</v>
      </c>
    </row>
    <row r="363" spans="1:7" ht="12" customHeight="1">
      <c r="A363" s="6">
        <v>44697</v>
      </c>
      <c r="B363" s="7">
        <v>142695909</v>
      </c>
      <c r="C363" s="3">
        <v>5540246175461</v>
      </c>
      <c r="D363" s="6">
        <v>44703</v>
      </c>
      <c r="E363" s="8">
        <v>15034</v>
      </c>
      <c r="F363" s="23" t="str">
        <f>IFERROR(VLOOKUP(C363, 'Catégorie des articles'!$A:$D, 4, FALSE), "")</f>
        <v>MIX LEGUMES</v>
      </c>
      <c r="G363">
        <f t="shared" si="5"/>
        <v>202205</v>
      </c>
    </row>
    <row r="364" spans="1:7" ht="12" customHeight="1">
      <c r="A364" s="9">
        <v>44697</v>
      </c>
      <c r="B364" s="10">
        <v>142695909</v>
      </c>
      <c r="C364" s="3">
        <v>5540246177132</v>
      </c>
      <c r="D364" s="9">
        <v>44703</v>
      </c>
      <c r="E364" s="11">
        <v>8816</v>
      </c>
      <c r="F364" s="23" t="str">
        <f>IFERROR(VLOOKUP(C364, 'Catégorie des articles'!$A:$D, 4, FALSE), "")</f>
        <v>MIX LEGUMES</v>
      </c>
      <c r="G364">
        <f t="shared" si="5"/>
        <v>202205</v>
      </c>
    </row>
    <row r="365" spans="1:7" ht="12" customHeight="1">
      <c r="A365" s="6">
        <v>44697</v>
      </c>
      <c r="B365" s="7">
        <v>142695909</v>
      </c>
      <c r="C365" s="3">
        <v>5540246177133</v>
      </c>
      <c r="D365" s="6">
        <v>44703</v>
      </c>
      <c r="E365" s="8">
        <v>546</v>
      </c>
      <c r="F365" s="23" t="str">
        <f>IFERROR(VLOOKUP(C365, 'Catégorie des articles'!$A:$D, 4, FALSE), "")</f>
        <v>MIX LEGUMES</v>
      </c>
      <c r="G365">
        <f t="shared" si="5"/>
        <v>202205</v>
      </c>
    </row>
    <row r="366" spans="1:7" ht="12" customHeight="1">
      <c r="A366" s="9">
        <v>44697</v>
      </c>
      <c r="B366" s="10">
        <v>142695909</v>
      </c>
      <c r="C366" s="3">
        <v>5540246183562</v>
      </c>
      <c r="D366" s="9">
        <v>44703</v>
      </c>
      <c r="E366" s="11">
        <v>1044</v>
      </c>
      <c r="F366" s="23" t="str">
        <f>IFERROR(VLOOKUP(C366, 'Catégorie des articles'!$A:$D, 4, FALSE), "")</f>
        <v>MIX LEGUMES</v>
      </c>
      <c r="G366">
        <f t="shared" si="5"/>
        <v>202205</v>
      </c>
    </row>
    <row r="367" spans="1:7" ht="12" customHeight="1">
      <c r="A367" s="6">
        <v>44697</v>
      </c>
      <c r="B367" s="7">
        <v>142695914</v>
      </c>
      <c r="C367" s="3">
        <v>5540246188512</v>
      </c>
      <c r="D367" s="6">
        <v>44727</v>
      </c>
      <c r="E367" s="8">
        <v>232</v>
      </c>
      <c r="F367" s="23" t="str">
        <f>IFERROR(VLOOKUP(C367, 'Catégorie des articles'!$A:$D, 4, FALSE), "")</f>
        <v>EMBALLAGES</v>
      </c>
      <c r="G367">
        <f t="shared" si="5"/>
        <v>202206</v>
      </c>
    </row>
    <row r="368" spans="1:7" ht="12" customHeight="1">
      <c r="A368" s="9">
        <v>44697</v>
      </c>
      <c r="B368" s="10">
        <v>142695914</v>
      </c>
      <c r="C368" s="3">
        <v>5540246190092</v>
      </c>
      <c r="D368" s="9">
        <v>44727</v>
      </c>
      <c r="E368" s="11">
        <v>116</v>
      </c>
      <c r="F368" s="23" t="str">
        <f>IFERROR(VLOOKUP(C368, 'Catégorie des articles'!$A:$D, 4, FALSE), "")</f>
        <v>EMBALLAGES</v>
      </c>
      <c r="G368">
        <f t="shared" si="5"/>
        <v>202206</v>
      </c>
    </row>
    <row r="369" spans="1:7" ht="12" customHeight="1">
      <c r="A369" s="6">
        <v>44698</v>
      </c>
      <c r="B369" s="7">
        <v>142695921</v>
      </c>
      <c r="C369" s="3">
        <v>5540246172669</v>
      </c>
      <c r="D369" s="6">
        <v>44700</v>
      </c>
      <c r="E369" s="8">
        <v>140</v>
      </c>
      <c r="F369" s="23" t="str">
        <f>IFERROR(VLOOKUP(C369, 'Catégorie des articles'!$A:$D, 4, FALSE), "")</f>
        <v>CREMERIE</v>
      </c>
      <c r="G369">
        <f t="shared" si="5"/>
        <v>202205</v>
      </c>
    </row>
    <row r="370" spans="1:7" ht="12" customHeight="1">
      <c r="A370" s="6">
        <v>44698</v>
      </c>
      <c r="B370" s="7">
        <v>142695921</v>
      </c>
      <c r="C370" s="3">
        <v>5540246174174</v>
      </c>
      <c r="D370" s="6">
        <v>44700</v>
      </c>
      <c r="E370" s="8">
        <v>348</v>
      </c>
      <c r="F370" s="23" t="str">
        <f>IFERROR(VLOOKUP(C370, 'Catégorie des articles'!$A:$D, 4, FALSE), "")</f>
        <v>CREMERIE</v>
      </c>
      <c r="G370">
        <f t="shared" si="5"/>
        <v>202205</v>
      </c>
    </row>
    <row r="371" spans="1:7" ht="12" customHeight="1">
      <c r="A371" s="9">
        <v>44698</v>
      </c>
      <c r="B371" s="10">
        <v>142695922</v>
      </c>
      <c r="C371" s="3">
        <v>5540246171933</v>
      </c>
      <c r="D371" s="9">
        <v>44700</v>
      </c>
      <c r="E371" s="11">
        <v>557</v>
      </c>
      <c r="F371" s="23" t="str">
        <f>IFERROR(VLOOKUP(C371, 'Catégorie des articles'!$A:$D, 4, FALSE), "")</f>
        <v>CREMERIE</v>
      </c>
      <c r="G371">
        <f t="shared" si="5"/>
        <v>202205</v>
      </c>
    </row>
    <row r="372" spans="1:7" ht="12" customHeight="1">
      <c r="A372" s="6">
        <v>44698</v>
      </c>
      <c r="B372" s="7">
        <v>142695922</v>
      </c>
      <c r="C372" s="3">
        <v>5540246176294</v>
      </c>
      <c r="D372" s="6">
        <v>44700</v>
      </c>
      <c r="E372" s="8">
        <v>2970</v>
      </c>
      <c r="F372" s="23" t="str">
        <f>IFERROR(VLOOKUP(C372, 'Catégorie des articles'!$A:$D, 4, FALSE), "")</f>
        <v>CREMERIE</v>
      </c>
      <c r="G372">
        <f t="shared" si="5"/>
        <v>202205</v>
      </c>
    </row>
    <row r="373" spans="1:7" ht="12" customHeight="1">
      <c r="A373" s="9">
        <v>44698</v>
      </c>
      <c r="B373" s="10">
        <v>142695922</v>
      </c>
      <c r="C373" s="3">
        <v>5540246176295</v>
      </c>
      <c r="D373" s="9">
        <v>44700</v>
      </c>
      <c r="E373" s="11">
        <v>7424</v>
      </c>
      <c r="F373" s="23" t="str">
        <f>IFERROR(VLOOKUP(C373, 'Catégorie des articles'!$A:$D, 4, FALSE), "")</f>
        <v>CREMERIE</v>
      </c>
      <c r="G373">
        <f t="shared" si="5"/>
        <v>202205</v>
      </c>
    </row>
    <row r="374" spans="1:7" ht="12" customHeight="1">
      <c r="A374" s="6">
        <v>44698</v>
      </c>
      <c r="B374" s="7">
        <v>142695922</v>
      </c>
      <c r="C374" s="3">
        <v>5540246187987</v>
      </c>
      <c r="D374" s="6">
        <v>44700</v>
      </c>
      <c r="E374" s="8">
        <v>4455</v>
      </c>
      <c r="F374" s="23" t="str">
        <f>IFERROR(VLOOKUP(C374, 'Catégorie des articles'!$A:$D, 4, FALSE), "")</f>
        <v>CREMERIE</v>
      </c>
      <c r="G374">
        <f t="shared" si="5"/>
        <v>202205</v>
      </c>
    </row>
    <row r="375" spans="1:7" ht="12" customHeight="1">
      <c r="A375" s="9">
        <v>44698</v>
      </c>
      <c r="B375" s="10">
        <v>142695922</v>
      </c>
      <c r="C375" s="3">
        <v>5540246188200</v>
      </c>
      <c r="D375" s="9">
        <v>44700</v>
      </c>
      <c r="E375" s="11">
        <v>1485</v>
      </c>
      <c r="F375" s="23" t="str">
        <f>IFERROR(VLOOKUP(C375, 'Catégorie des articles'!$A:$D, 4, FALSE), "")</f>
        <v>CREMERIE</v>
      </c>
      <c r="G375">
        <f t="shared" si="5"/>
        <v>202205</v>
      </c>
    </row>
    <row r="376" spans="1:7" ht="12" customHeight="1">
      <c r="A376" s="6">
        <v>44698</v>
      </c>
      <c r="B376" s="7">
        <v>142695931</v>
      </c>
      <c r="C376" s="3">
        <v>5540246181061</v>
      </c>
      <c r="D376" s="6">
        <v>44719</v>
      </c>
      <c r="E376" s="8">
        <v>2068</v>
      </c>
      <c r="F376" s="23" t="str">
        <f>IFERROR(VLOOKUP(C376, 'Catégorie des articles'!$A:$D, 4, FALSE), "")</f>
        <v>VOLAILLE</v>
      </c>
      <c r="G376">
        <f t="shared" si="5"/>
        <v>202206</v>
      </c>
    </row>
    <row r="377" spans="1:7" ht="12" customHeight="1">
      <c r="A377" s="9">
        <v>44698</v>
      </c>
      <c r="B377" s="10">
        <v>142695931</v>
      </c>
      <c r="C377" s="3">
        <v>5540246183547</v>
      </c>
      <c r="D377" s="9">
        <v>44719</v>
      </c>
      <c r="E377" s="11">
        <v>15591</v>
      </c>
      <c r="F377" s="23" t="str">
        <f>IFERROR(VLOOKUP(C377, 'Catégorie des articles'!$A:$D, 4, FALSE), "")</f>
        <v>VOLAILLE</v>
      </c>
      <c r="G377">
        <f t="shared" si="5"/>
        <v>202206</v>
      </c>
    </row>
    <row r="378" spans="1:7" ht="12" customHeight="1">
      <c r="A378" s="6">
        <v>44698</v>
      </c>
      <c r="B378" s="7">
        <v>142695931</v>
      </c>
      <c r="C378" s="3">
        <v>5540246185278</v>
      </c>
      <c r="D378" s="6">
        <v>44719</v>
      </c>
      <c r="E378" s="8">
        <v>1120</v>
      </c>
      <c r="F378" s="23" t="str">
        <f>IFERROR(VLOOKUP(C378, 'Catégorie des articles'!$A:$D, 4, FALSE), "")</f>
        <v>VOLAILLE</v>
      </c>
      <c r="G378">
        <f t="shared" si="5"/>
        <v>202206</v>
      </c>
    </row>
    <row r="379" spans="1:7" ht="12" customHeight="1">
      <c r="A379" s="9">
        <v>44698</v>
      </c>
      <c r="B379" s="10">
        <v>142695940</v>
      </c>
      <c r="C379" s="3">
        <v>5540246173906</v>
      </c>
      <c r="D379" s="9">
        <v>44720</v>
      </c>
      <c r="E379" s="11">
        <v>2311</v>
      </c>
      <c r="F379" s="23" t="str">
        <f>IFERROR(VLOOKUP(C379, 'Catégorie des articles'!$A:$D, 4, FALSE), "")</f>
        <v>VOLAILLE</v>
      </c>
      <c r="G379">
        <f t="shared" si="5"/>
        <v>202206</v>
      </c>
    </row>
    <row r="380" spans="1:7" ht="12" customHeight="1">
      <c r="A380" s="6">
        <v>44698</v>
      </c>
      <c r="B380" s="7">
        <v>142695940</v>
      </c>
      <c r="C380" s="3">
        <v>5540246181016</v>
      </c>
      <c r="D380" s="6">
        <v>44720</v>
      </c>
      <c r="E380" s="8">
        <v>13364</v>
      </c>
      <c r="F380" s="23" t="str">
        <f>IFERROR(VLOOKUP(C380, 'Catégorie des articles'!$A:$D, 4, FALSE), "")</f>
        <v>VOLAILLE</v>
      </c>
      <c r="G380">
        <f t="shared" si="5"/>
        <v>202206</v>
      </c>
    </row>
    <row r="381" spans="1:7" ht="12" customHeight="1">
      <c r="A381" s="9">
        <v>44699</v>
      </c>
      <c r="B381" s="10">
        <v>142695948</v>
      </c>
      <c r="C381" s="3">
        <v>5540246176294</v>
      </c>
      <c r="D381" s="9">
        <v>44703</v>
      </c>
      <c r="E381" s="11">
        <v>2970</v>
      </c>
      <c r="F381" s="23" t="str">
        <f>IFERROR(VLOOKUP(C381, 'Catégorie des articles'!$A:$D, 4, FALSE), "")</f>
        <v>CREMERIE</v>
      </c>
      <c r="G381">
        <f t="shared" si="5"/>
        <v>202205</v>
      </c>
    </row>
    <row r="382" spans="1:7" ht="12" customHeight="1">
      <c r="A382" s="6">
        <v>44699</v>
      </c>
      <c r="B382" s="7">
        <v>142695948</v>
      </c>
      <c r="C382" s="3">
        <v>5540246176295</v>
      </c>
      <c r="D382" s="6">
        <v>44703</v>
      </c>
      <c r="E382" s="8">
        <v>4455</v>
      </c>
      <c r="F382" s="23" t="str">
        <f>IFERROR(VLOOKUP(C382, 'Catégorie des articles'!$A:$D, 4, FALSE), "")</f>
        <v>CREMERIE</v>
      </c>
      <c r="G382">
        <f t="shared" si="5"/>
        <v>202205</v>
      </c>
    </row>
    <row r="383" spans="1:7" ht="12" customHeight="1">
      <c r="A383" s="9">
        <v>44699</v>
      </c>
      <c r="B383" s="10">
        <v>142695949</v>
      </c>
      <c r="C383" s="3">
        <v>5540246174174</v>
      </c>
      <c r="D383" s="9">
        <v>44703</v>
      </c>
      <c r="E383" s="11">
        <v>696</v>
      </c>
      <c r="F383" s="23" t="str">
        <f>IFERROR(VLOOKUP(C383, 'Catégorie des articles'!$A:$D, 4, FALSE), "")</f>
        <v>CREMERIE</v>
      </c>
      <c r="G383">
        <f t="shared" si="5"/>
        <v>202205</v>
      </c>
    </row>
    <row r="384" spans="1:7" ht="12" customHeight="1">
      <c r="A384" s="6">
        <v>44699</v>
      </c>
      <c r="B384" s="7">
        <v>142695949</v>
      </c>
      <c r="C384" s="3">
        <v>5540246188175</v>
      </c>
      <c r="D384" s="6">
        <v>44703</v>
      </c>
      <c r="E384" s="8">
        <v>232</v>
      </c>
      <c r="F384" s="23" t="str">
        <f>IFERROR(VLOOKUP(C384, 'Catégorie des articles'!$A:$D, 4, FALSE), "")</f>
        <v>CREMERIE</v>
      </c>
      <c r="G384">
        <f t="shared" si="5"/>
        <v>202205</v>
      </c>
    </row>
    <row r="385" spans="1:7" ht="12" customHeight="1">
      <c r="A385" s="6">
        <v>44699</v>
      </c>
      <c r="B385" s="7">
        <v>142695952</v>
      </c>
      <c r="C385" s="3">
        <v>5540246193878</v>
      </c>
      <c r="D385" s="6">
        <v>44719</v>
      </c>
      <c r="E385" s="8">
        <v>11136</v>
      </c>
      <c r="F385" s="23" t="str">
        <f>IFERROR(VLOOKUP(C385, 'Catégorie des articles'!$A:$D, 4, FALSE), "")</f>
        <v>VOLAILLE</v>
      </c>
      <c r="G385">
        <f t="shared" si="5"/>
        <v>202206</v>
      </c>
    </row>
    <row r="386" spans="1:7" ht="12" customHeight="1">
      <c r="A386" s="9">
        <v>44699</v>
      </c>
      <c r="B386" s="10">
        <v>142695956</v>
      </c>
      <c r="C386" s="3">
        <v>5540246175047</v>
      </c>
      <c r="D386" s="9">
        <v>44707</v>
      </c>
      <c r="E386" s="11">
        <v>279</v>
      </c>
      <c r="F386" s="23" t="str">
        <f>IFERROR(VLOOKUP(C386, 'Catégorie des articles'!$A:$D, 4, FALSE), "")</f>
        <v>CREMERIE</v>
      </c>
      <c r="G386">
        <f t="shared" si="5"/>
        <v>202205</v>
      </c>
    </row>
    <row r="387" spans="1:7" ht="12" customHeight="1">
      <c r="A387" s="6">
        <v>44699</v>
      </c>
      <c r="B387" s="7">
        <v>142695956</v>
      </c>
      <c r="C387" s="3">
        <v>5540246175049</v>
      </c>
      <c r="D387" s="6">
        <v>44707</v>
      </c>
      <c r="E387" s="8">
        <v>557</v>
      </c>
      <c r="F387" s="23" t="str">
        <f>IFERROR(VLOOKUP(C387, 'Catégorie des articles'!$A:$D, 4, FALSE), "")</f>
        <v>CREMERIE</v>
      </c>
      <c r="G387">
        <f t="shared" ref="G387:G450" si="6">YEAR(D387)*100 + MONTH(D387)</f>
        <v>202205</v>
      </c>
    </row>
    <row r="388" spans="1:7" ht="12" customHeight="1">
      <c r="A388" s="9">
        <v>44699</v>
      </c>
      <c r="B388" s="10">
        <v>142695956</v>
      </c>
      <c r="C388" s="3">
        <v>5540246175050</v>
      </c>
      <c r="D388" s="9">
        <v>44707</v>
      </c>
      <c r="E388" s="11">
        <v>418</v>
      </c>
      <c r="F388" s="23" t="str">
        <f>IFERROR(VLOOKUP(C388, 'Catégorie des articles'!$A:$D, 4, FALSE), "")</f>
        <v>CREMERIE</v>
      </c>
      <c r="G388">
        <f t="shared" si="6"/>
        <v>202205</v>
      </c>
    </row>
    <row r="389" spans="1:7" ht="12" customHeight="1">
      <c r="A389" s="6">
        <v>44699</v>
      </c>
      <c r="B389" s="7">
        <v>142695956</v>
      </c>
      <c r="C389" s="3">
        <v>5540246190743</v>
      </c>
      <c r="D389" s="6">
        <v>44707</v>
      </c>
      <c r="E389" s="8">
        <v>279</v>
      </c>
      <c r="F389" s="23" t="str">
        <f>IFERROR(VLOOKUP(C389, 'Catégorie des articles'!$A:$D, 4, FALSE), "")</f>
        <v>CREMERIE</v>
      </c>
      <c r="G389">
        <f t="shared" si="6"/>
        <v>202205</v>
      </c>
    </row>
    <row r="390" spans="1:7" ht="12" customHeight="1">
      <c r="A390" s="9">
        <v>44699</v>
      </c>
      <c r="B390" s="10">
        <v>142695962</v>
      </c>
      <c r="C390" s="3">
        <v>5540246186010</v>
      </c>
      <c r="D390" s="9">
        <v>44713</v>
      </c>
      <c r="E390" s="11">
        <v>84</v>
      </c>
      <c r="F390" s="23" t="str">
        <f>IFERROR(VLOOKUP(C390, 'Catégorie des articles'!$A:$D, 4, FALSE), "")</f>
        <v>EMBALLAGES</v>
      </c>
      <c r="G390">
        <f t="shared" si="6"/>
        <v>202206</v>
      </c>
    </row>
    <row r="391" spans="1:7" ht="12" customHeight="1">
      <c r="A391" s="6">
        <v>44699</v>
      </c>
      <c r="B391" s="7">
        <v>142695962</v>
      </c>
      <c r="C391" s="3">
        <v>5540246186011</v>
      </c>
      <c r="D391" s="6">
        <v>44713</v>
      </c>
      <c r="E391" s="8">
        <v>128</v>
      </c>
      <c r="F391" s="23" t="str">
        <f>IFERROR(VLOOKUP(C391, 'Catégorie des articles'!$A:$D, 4, FALSE), "")</f>
        <v>EMBALLAGES</v>
      </c>
      <c r="G391">
        <f t="shared" si="6"/>
        <v>202206</v>
      </c>
    </row>
    <row r="392" spans="1:7" ht="12" customHeight="1">
      <c r="A392" s="9">
        <v>44699</v>
      </c>
      <c r="B392" s="10">
        <v>142695962</v>
      </c>
      <c r="C392" s="3">
        <v>5540246186017</v>
      </c>
      <c r="D392" s="9">
        <v>44713</v>
      </c>
      <c r="E392" s="11">
        <v>42</v>
      </c>
      <c r="F392" s="23" t="str">
        <f>IFERROR(VLOOKUP(C392, 'Catégorie des articles'!$A:$D, 4, FALSE), "")</f>
        <v>EMBALLAGES</v>
      </c>
      <c r="G392">
        <f t="shared" si="6"/>
        <v>202206</v>
      </c>
    </row>
    <row r="393" spans="1:7" ht="12" customHeight="1">
      <c r="A393" s="9">
        <v>44699</v>
      </c>
      <c r="B393" s="10">
        <v>142695970</v>
      </c>
      <c r="C393" s="3">
        <v>5540246186325</v>
      </c>
      <c r="D393" s="9">
        <v>44705</v>
      </c>
      <c r="E393" s="11">
        <v>140</v>
      </c>
      <c r="F393" s="23" t="str">
        <f>IFERROR(VLOOKUP(C393, 'Catégorie des articles'!$A:$D, 4, FALSE), "")</f>
        <v>CREMERIE</v>
      </c>
      <c r="G393">
        <f t="shared" si="6"/>
        <v>202205</v>
      </c>
    </row>
    <row r="394" spans="1:7" ht="12" customHeight="1">
      <c r="A394" s="6">
        <v>44699</v>
      </c>
      <c r="B394" s="7">
        <v>142695978</v>
      </c>
      <c r="C394" s="3">
        <v>5540246182684</v>
      </c>
      <c r="D394" s="6">
        <v>44713</v>
      </c>
      <c r="E394" s="8">
        <v>232</v>
      </c>
      <c r="F394" s="23" t="str">
        <f>IFERROR(VLOOKUP(C394, 'Catégorie des articles'!$A:$D, 4, FALSE), "")</f>
        <v>BOULANGERIE</v>
      </c>
      <c r="G394">
        <f t="shared" si="6"/>
        <v>202206</v>
      </c>
    </row>
    <row r="395" spans="1:7" ht="12" customHeight="1">
      <c r="A395" s="9">
        <v>44699</v>
      </c>
      <c r="B395" s="10">
        <v>142695978</v>
      </c>
      <c r="C395" s="3">
        <v>5540246183844</v>
      </c>
      <c r="D395" s="9">
        <v>44713</v>
      </c>
      <c r="E395" s="11">
        <v>140</v>
      </c>
      <c r="F395" s="23" t="str">
        <f>IFERROR(VLOOKUP(C395, 'Catégorie des articles'!$A:$D, 4, FALSE), "")</f>
        <v>BOULANGERIE</v>
      </c>
      <c r="G395">
        <f t="shared" si="6"/>
        <v>202206</v>
      </c>
    </row>
    <row r="396" spans="1:7" ht="12" customHeight="1">
      <c r="A396" s="6">
        <v>44699</v>
      </c>
      <c r="B396" s="7">
        <v>142695981</v>
      </c>
      <c r="C396" s="3">
        <v>5540246184036</v>
      </c>
      <c r="D396" s="6">
        <v>44712</v>
      </c>
      <c r="E396" s="8">
        <v>130</v>
      </c>
      <c r="F396" s="23" t="str">
        <f>IFERROR(VLOOKUP(C396, 'Catégorie des articles'!$A:$D, 4, FALSE), "")</f>
        <v>BOULANGERIE</v>
      </c>
      <c r="G396">
        <f t="shared" si="6"/>
        <v>202205</v>
      </c>
    </row>
    <row r="397" spans="1:7" ht="12" customHeight="1">
      <c r="A397" s="9">
        <v>44699</v>
      </c>
      <c r="B397" s="10">
        <v>142695981</v>
      </c>
      <c r="C397" s="3">
        <v>5540246191596</v>
      </c>
      <c r="D397" s="9">
        <v>44712</v>
      </c>
      <c r="E397" s="11">
        <v>223</v>
      </c>
      <c r="F397" s="23" t="str">
        <f>IFERROR(VLOOKUP(C397, 'Catégorie des articles'!$A:$D, 4, FALSE), "")</f>
        <v>BOULANGERIE</v>
      </c>
      <c r="G397">
        <f t="shared" si="6"/>
        <v>202205</v>
      </c>
    </row>
    <row r="398" spans="1:7" ht="12" customHeight="1">
      <c r="A398" s="6">
        <v>44699</v>
      </c>
      <c r="B398" s="7">
        <v>142695981</v>
      </c>
      <c r="C398" s="3">
        <v>5540246193505</v>
      </c>
      <c r="D398" s="6">
        <v>44712</v>
      </c>
      <c r="E398" s="8">
        <v>29696</v>
      </c>
      <c r="F398" s="23" t="str">
        <f>IFERROR(VLOOKUP(C398, 'Catégorie des articles'!$A:$D, 4, FALSE), "")</f>
        <v>BOULANGERIE</v>
      </c>
      <c r="G398">
        <f t="shared" si="6"/>
        <v>202205</v>
      </c>
    </row>
    <row r="399" spans="1:7" ht="12" customHeight="1">
      <c r="A399" s="6">
        <v>44700</v>
      </c>
      <c r="B399" s="7">
        <v>142706009</v>
      </c>
      <c r="C399" s="3">
        <v>5540246187998</v>
      </c>
      <c r="D399" s="6">
        <v>44787</v>
      </c>
      <c r="E399" s="8">
        <v>1392</v>
      </c>
      <c r="F399" s="23" t="str">
        <f>IFERROR(VLOOKUP(C399, 'Catégorie des articles'!$A:$D, 4, FALSE), "")</f>
        <v>EMBALLAGES</v>
      </c>
      <c r="G399">
        <f t="shared" si="6"/>
        <v>202208</v>
      </c>
    </row>
    <row r="400" spans="1:7" ht="12" customHeight="1">
      <c r="A400" s="9">
        <v>44700</v>
      </c>
      <c r="B400" s="10">
        <v>142706012</v>
      </c>
      <c r="C400" s="3">
        <v>5540246187995</v>
      </c>
      <c r="D400" s="9">
        <v>44723</v>
      </c>
      <c r="E400" s="11">
        <v>928</v>
      </c>
      <c r="F400" s="23" t="str">
        <f>IFERROR(VLOOKUP(C400, 'Catégorie des articles'!$A:$D, 4, FALSE), "")</f>
        <v>EMBALLAGES</v>
      </c>
      <c r="G400">
        <f t="shared" si="6"/>
        <v>202206</v>
      </c>
    </row>
    <row r="401" spans="1:7" ht="12" customHeight="1">
      <c r="A401" s="9">
        <v>44703</v>
      </c>
      <c r="B401" s="10">
        <v>142706018</v>
      </c>
      <c r="C401" s="3">
        <v>5540246176294</v>
      </c>
      <c r="D401" s="9">
        <v>44705</v>
      </c>
      <c r="E401" s="11">
        <v>2228</v>
      </c>
      <c r="F401" s="23" t="str">
        <f>IFERROR(VLOOKUP(C401, 'Catégorie des articles'!$A:$D, 4, FALSE), "")</f>
        <v>CREMERIE</v>
      </c>
      <c r="G401">
        <f t="shared" si="6"/>
        <v>202205</v>
      </c>
    </row>
    <row r="402" spans="1:7" ht="12" customHeight="1">
      <c r="A402" s="6">
        <v>44703</v>
      </c>
      <c r="B402" s="7">
        <v>142706018</v>
      </c>
      <c r="C402" s="3">
        <v>5540246176295</v>
      </c>
      <c r="D402" s="6">
        <v>44705</v>
      </c>
      <c r="E402" s="8">
        <v>7424</v>
      </c>
      <c r="F402" s="23" t="str">
        <f>IFERROR(VLOOKUP(C402, 'Catégorie des articles'!$A:$D, 4, FALSE), "")</f>
        <v>CREMERIE</v>
      </c>
      <c r="G402">
        <f t="shared" si="6"/>
        <v>202205</v>
      </c>
    </row>
    <row r="403" spans="1:7" ht="12" customHeight="1">
      <c r="A403" s="9">
        <v>44703</v>
      </c>
      <c r="B403" s="10">
        <v>142706018</v>
      </c>
      <c r="C403" s="3">
        <v>5540246187987</v>
      </c>
      <c r="D403" s="9">
        <v>44705</v>
      </c>
      <c r="E403" s="11">
        <v>2228</v>
      </c>
      <c r="F403" s="23" t="str">
        <f>IFERROR(VLOOKUP(C403, 'Catégorie des articles'!$A:$D, 4, FALSE), "")</f>
        <v>CREMERIE</v>
      </c>
      <c r="G403">
        <f t="shared" si="6"/>
        <v>202205</v>
      </c>
    </row>
    <row r="404" spans="1:7" ht="12" customHeight="1">
      <c r="A404" s="6">
        <v>44703</v>
      </c>
      <c r="B404" s="7">
        <v>142706018</v>
      </c>
      <c r="C404" s="3">
        <v>5540246188200</v>
      </c>
      <c r="D404" s="6">
        <v>44705</v>
      </c>
      <c r="E404" s="8">
        <v>1485</v>
      </c>
      <c r="F404" s="23" t="str">
        <f>IFERROR(VLOOKUP(C404, 'Catégorie des articles'!$A:$D, 4, FALSE), "")</f>
        <v>CREMERIE</v>
      </c>
      <c r="G404">
        <f t="shared" si="6"/>
        <v>202205</v>
      </c>
    </row>
    <row r="405" spans="1:7" ht="12" customHeight="1">
      <c r="A405" s="9">
        <v>44703</v>
      </c>
      <c r="B405" s="10">
        <v>142706019</v>
      </c>
      <c r="C405" s="3">
        <v>5540246172669</v>
      </c>
      <c r="D405" s="9">
        <v>44705</v>
      </c>
      <c r="E405" s="11">
        <v>209</v>
      </c>
      <c r="F405" s="23" t="str">
        <f>IFERROR(VLOOKUP(C405, 'Catégorie des articles'!$A:$D, 4, FALSE), "")</f>
        <v>CREMERIE</v>
      </c>
      <c r="G405">
        <f t="shared" si="6"/>
        <v>202205</v>
      </c>
    </row>
    <row r="406" spans="1:7" ht="12" customHeight="1">
      <c r="A406" s="6">
        <v>44703</v>
      </c>
      <c r="B406" s="7">
        <v>142706019</v>
      </c>
      <c r="C406" s="3">
        <v>5540246174174</v>
      </c>
      <c r="D406" s="6">
        <v>44705</v>
      </c>
      <c r="E406" s="8">
        <v>464</v>
      </c>
      <c r="F406" s="23" t="str">
        <f>IFERROR(VLOOKUP(C406, 'Catégorie des articles'!$A:$D, 4, FALSE), "")</f>
        <v>CREMERIE</v>
      </c>
      <c r="G406">
        <f t="shared" si="6"/>
        <v>202205</v>
      </c>
    </row>
    <row r="407" spans="1:7" ht="12" customHeight="1">
      <c r="A407" s="9">
        <v>44703</v>
      </c>
      <c r="B407" s="10">
        <v>142706024</v>
      </c>
      <c r="C407" s="3">
        <v>5540246175049</v>
      </c>
      <c r="D407" s="9">
        <v>44711</v>
      </c>
      <c r="E407" s="11">
        <v>557</v>
      </c>
      <c r="F407" s="23" t="str">
        <f>IFERROR(VLOOKUP(C407, 'Catégorie des articles'!$A:$D, 4, FALSE), "")</f>
        <v>CREMERIE</v>
      </c>
      <c r="G407">
        <f t="shared" si="6"/>
        <v>202205</v>
      </c>
    </row>
    <row r="408" spans="1:7" ht="12" customHeight="1">
      <c r="A408" s="6">
        <v>44703</v>
      </c>
      <c r="B408" s="7">
        <v>142706024</v>
      </c>
      <c r="C408" s="3">
        <v>5540246175050</v>
      </c>
      <c r="D408" s="6">
        <v>44711</v>
      </c>
      <c r="E408" s="8">
        <v>557</v>
      </c>
      <c r="F408" s="23" t="str">
        <f>IFERROR(VLOOKUP(C408, 'Catégorie des articles'!$A:$D, 4, FALSE), "")</f>
        <v>CREMERIE</v>
      </c>
      <c r="G408">
        <f t="shared" si="6"/>
        <v>202205</v>
      </c>
    </row>
    <row r="409" spans="1:7" ht="12" customHeight="1">
      <c r="A409" s="9">
        <v>44703</v>
      </c>
      <c r="B409" s="10">
        <v>142706024</v>
      </c>
      <c r="C409" s="3">
        <v>5540246190743</v>
      </c>
      <c r="D409" s="9">
        <v>44711</v>
      </c>
      <c r="E409" s="11">
        <v>557</v>
      </c>
      <c r="F409" s="23" t="str">
        <f>IFERROR(VLOOKUP(C409, 'Catégorie des articles'!$A:$D, 4, FALSE), "")</f>
        <v>CREMERIE</v>
      </c>
      <c r="G409">
        <f t="shared" si="6"/>
        <v>202205</v>
      </c>
    </row>
    <row r="410" spans="1:7" ht="12" customHeight="1">
      <c r="A410" s="6">
        <v>44703</v>
      </c>
      <c r="B410" s="7">
        <v>142706040</v>
      </c>
      <c r="C410" s="3">
        <v>5540246192518</v>
      </c>
      <c r="D410" s="6">
        <v>44707</v>
      </c>
      <c r="E410" s="8">
        <v>20463</v>
      </c>
      <c r="F410" s="23" t="str">
        <f>IFERROR(VLOOKUP(C410, 'Catégorie des articles'!$A:$D, 4, FALSE), "")</f>
        <v>MIX LEGUMES</v>
      </c>
      <c r="G410">
        <f t="shared" si="6"/>
        <v>202205</v>
      </c>
    </row>
    <row r="411" spans="1:7" ht="12" customHeight="1">
      <c r="A411" s="6">
        <v>44703</v>
      </c>
      <c r="B411" s="7">
        <v>142706041</v>
      </c>
      <c r="C411" s="3">
        <v>5540246176699</v>
      </c>
      <c r="D411" s="6">
        <v>44705</v>
      </c>
      <c r="E411" s="8">
        <v>4176</v>
      </c>
      <c r="F411" s="23" t="str">
        <f>IFERROR(VLOOKUP(C411, 'Catégorie des articles'!$A:$D, 4, FALSE), "")</f>
        <v>CREMERIE</v>
      </c>
      <c r="G411">
        <f t="shared" si="6"/>
        <v>202205</v>
      </c>
    </row>
    <row r="412" spans="1:7" ht="12" customHeight="1">
      <c r="A412" s="9">
        <v>44704</v>
      </c>
      <c r="B412" s="10">
        <v>142706048</v>
      </c>
      <c r="C412" s="3">
        <v>5540246190097</v>
      </c>
      <c r="D412" s="9">
        <v>44712</v>
      </c>
      <c r="E412" s="11">
        <v>2795</v>
      </c>
      <c r="F412" s="23" t="str">
        <f>IFERROR(VLOOKUP(C412, 'Catégorie des articles'!$A:$D, 4, FALSE), "")</f>
        <v>VOLAILLE</v>
      </c>
      <c r="G412">
        <f t="shared" si="6"/>
        <v>202205</v>
      </c>
    </row>
    <row r="413" spans="1:7" ht="12" customHeight="1">
      <c r="A413" s="9">
        <v>44704</v>
      </c>
      <c r="B413" s="10">
        <v>142706053</v>
      </c>
      <c r="C413" s="3">
        <v>5540246176295</v>
      </c>
      <c r="D413" s="9">
        <v>44706</v>
      </c>
      <c r="E413" s="11">
        <v>4455</v>
      </c>
      <c r="F413" s="23" t="str">
        <f>IFERROR(VLOOKUP(C413, 'Catégorie des articles'!$A:$D, 4, FALSE), "")</f>
        <v>CREMERIE</v>
      </c>
      <c r="G413">
        <f t="shared" si="6"/>
        <v>202205</v>
      </c>
    </row>
    <row r="414" spans="1:7" ht="12" customHeight="1">
      <c r="A414" s="9">
        <v>44704</v>
      </c>
      <c r="B414" s="10">
        <v>142706056</v>
      </c>
      <c r="C414" s="3">
        <v>5540246183589</v>
      </c>
      <c r="D414" s="9">
        <v>44714</v>
      </c>
      <c r="E414" s="11">
        <v>1300</v>
      </c>
      <c r="F414" s="23" t="str">
        <f>IFERROR(VLOOKUP(C414, 'Catégorie des articles'!$A:$D, 4, FALSE), "")</f>
        <v>MIX LEGUMES</v>
      </c>
      <c r="G414">
        <f t="shared" si="6"/>
        <v>202206</v>
      </c>
    </row>
    <row r="415" spans="1:7" ht="12" customHeight="1">
      <c r="A415" s="6">
        <v>44704</v>
      </c>
      <c r="B415" s="7">
        <v>142706056</v>
      </c>
      <c r="C415" s="3">
        <v>5540246186351</v>
      </c>
      <c r="D415" s="6">
        <v>44714</v>
      </c>
      <c r="E415" s="8">
        <v>564</v>
      </c>
      <c r="F415" s="23" t="str">
        <f>IFERROR(VLOOKUP(C415, 'Catégorie des articles'!$A:$D, 4, FALSE), "")</f>
        <v>MIX LEGUMES</v>
      </c>
      <c r="G415">
        <f t="shared" si="6"/>
        <v>202206</v>
      </c>
    </row>
    <row r="416" spans="1:7" ht="12" customHeight="1">
      <c r="A416" s="9">
        <v>44704</v>
      </c>
      <c r="B416" s="10">
        <v>142706056</v>
      </c>
      <c r="C416" s="3">
        <v>5540246186352</v>
      </c>
      <c r="D416" s="9">
        <v>44714</v>
      </c>
      <c r="E416" s="11">
        <v>2819</v>
      </c>
      <c r="F416" s="23" t="str">
        <f>IFERROR(VLOOKUP(C416, 'Catégorie des articles'!$A:$D, 4, FALSE), "")</f>
        <v>MIX LEGUMES</v>
      </c>
      <c r="G416">
        <f t="shared" si="6"/>
        <v>202206</v>
      </c>
    </row>
    <row r="417" spans="1:7" ht="12" customHeight="1">
      <c r="A417" s="9">
        <v>44704</v>
      </c>
      <c r="B417" s="10">
        <v>142706058</v>
      </c>
      <c r="C417" s="3">
        <v>5540246171759</v>
      </c>
      <c r="D417" s="9">
        <v>44711</v>
      </c>
      <c r="E417" s="11">
        <v>5012</v>
      </c>
      <c r="F417" s="23" t="str">
        <f>IFERROR(VLOOKUP(C417, 'Catégorie des articles'!$A:$D, 4, FALSE), "")</f>
        <v>MIX LEGUMES</v>
      </c>
      <c r="G417">
        <f t="shared" si="6"/>
        <v>202205</v>
      </c>
    </row>
    <row r="418" spans="1:7" ht="12" customHeight="1">
      <c r="A418" s="6">
        <v>44704</v>
      </c>
      <c r="B418" s="7">
        <v>142706058</v>
      </c>
      <c r="C418" s="3">
        <v>5540246177132</v>
      </c>
      <c r="D418" s="6">
        <v>44711</v>
      </c>
      <c r="E418" s="8">
        <v>7424</v>
      </c>
      <c r="F418" s="23" t="str">
        <f>IFERROR(VLOOKUP(C418, 'Catégorie des articles'!$A:$D, 4, FALSE), "")</f>
        <v>MIX LEGUMES</v>
      </c>
      <c r="G418">
        <f t="shared" si="6"/>
        <v>202205</v>
      </c>
    </row>
    <row r="419" spans="1:7" ht="12" customHeight="1">
      <c r="A419" s="9">
        <v>44704</v>
      </c>
      <c r="B419" s="10">
        <v>142706058</v>
      </c>
      <c r="C419" s="3">
        <v>5540246177133</v>
      </c>
      <c r="D419" s="9">
        <v>44711</v>
      </c>
      <c r="E419" s="11">
        <v>8445</v>
      </c>
      <c r="F419" s="23" t="str">
        <f>IFERROR(VLOOKUP(C419, 'Catégorie des articles'!$A:$D, 4, FALSE), "")</f>
        <v>MIX LEGUMES</v>
      </c>
      <c r="G419">
        <f t="shared" si="6"/>
        <v>202205</v>
      </c>
    </row>
    <row r="420" spans="1:7" ht="12" customHeight="1">
      <c r="A420" s="6">
        <v>44704</v>
      </c>
      <c r="B420" s="7">
        <v>142706060</v>
      </c>
      <c r="C420" s="3">
        <v>5540246188583</v>
      </c>
      <c r="D420" s="6">
        <v>44710</v>
      </c>
      <c r="E420" s="8">
        <v>2784</v>
      </c>
      <c r="F420" s="23" t="str">
        <f>IFERROR(VLOOKUP(C420, 'Catégorie des articles'!$A:$D, 4, FALSE), "")</f>
        <v>BOULANGERIE</v>
      </c>
      <c r="G420">
        <f t="shared" si="6"/>
        <v>202205</v>
      </c>
    </row>
    <row r="421" spans="1:7" ht="12" customHeight="1">
      <c r="A421" s="6">
        <v>44705</v>
      </c>
      <c r="B421" s="7">
        <v>142706067</v>
      </c>
      <c r="C421" s="3">
        <v>5540246171933</v>
      </c>
      <c r="D421" s="6">
        <v>44707</v>
      </c>
      <c r="E421" s="8">
        <v>557</v>
      </c>
      <c r="F421" s="23" t="str">
        <f>IFERROR(VLOOKUP(C421, 'Catégorie des articles'!$A:$D, 4, FALSE), "")</f>
        <v>CREMERIE</v>
      </c>
      <c r="G421">
        <f t="shared" si="6"/>
        <v>202205</v>
      </c>
    </row>
    <row r="422" spans="1:7" ht="12" customHeight="1">
      <c r="A422" s="9">
        <v>44705</v>
      </c>
      <c r="B422" s="10">
        <v>142706067</v>
      </c>
      <c r="C422" s="3">
        <v>5540246176294</v>
      </c>
      <c r="D422" s="9">
        <v>44707</v>
      </c>
      <c r="E422" s="11">
        <v>3712</v>
      </c>
      <c r="F422" s="23" t="str">
        <f>IFERROR(VLOOKUP(C422, 'Catégorie des articles'!$A:$D, 4, FALSE), "")</f>
        <v>CREMERIE</v>
      </c>
      <c r="G422">
        <f t="shared" si="6"/>
        <v>202205</v>
      </c>
    </row>
    <row r="423" spans="1:7" ht="12" customHeight="1">
      <c r="A423" s="6">
        <v>44705</v>
      </c>
      <c r="B423" s="7">
        <v>142706067</v>
      </c>
      <c r="C423" s="3">
        <v>5540246176295</v>
      </c>
      <c r="D423" s="6">
        <v>44707</v>
      </c>
      <c r="E423" s="8">
        <v>7424</v>
      </c>
      <c r="F423" s="23" t="str">
        <f>IFERROR(VLOOKUP(C423, 'Catégorie des articles'!$A:$D, 4, FALSE), "")</f>
        <v>CREMERIE</v>
      </c>
      <c r="G423">
        <f t="shared" si="6"/>
        <v>202205</v>
      </c>
    </row>
    <row r="424" spans="1:7" ht="12" customHeight="1">
      <c r="A424" s="9">
        <v>44705</v>
      </c>
      <c r="B424" s="10">
        <v>142706067</v>
      </c>
      <c r="C424" s="3">
        <v>5540246187987</v>
      </c>
      <c r="D424" s="9">
        <v>44707</v>
      </c>
      <c r="E424" s="11">
        <v>4455</v>
      </c>
      <c r="F424" s="23" t="str">
        <f>IFERROR(VLOOKUP(C424, 'Catégorie des articles'!$A:$D, 4, FALSE), "")</f>
        <v>CREMERIE</v>
      </c>
      <c r="G424">
        <f t="shared" si="6"/>
        <v>202205</v>
      </c>
    </row>
    <row r="425" spans="1:7" ht="12" customHeight="1">
      <c r="A425" s="6">
        <v>44705</v>
      </c>
      <c r="B425" s="7">
        <v>142706067</v>
      </c>
      <c r="C425" s="3">
        <v>5540246188200</v>
      </c>
      <c r="D425" s="6">
        <v>44707</v>
      </c>
      <c r="E425" s="8">
        <v>743</v>
      </c>
      <c r="F425" s="23" t="str">
        <f>IFERROR(VLOOKUP(C425, 'Catégorie des articles'!$A:$D, 4, FALSE), "")</f>
        <v>CREMERIE</v>
      </c>
      <c r="G425">
        <f t="shared" si="6"/>
        <v>202205</v>
      </c>
    </row>
    <row r="426" spans="1:7" ht="12" customHeight="1">
      <c r="A426" s="6">
        <v>44705</v>
      </c>
      <c r="B426" s="7">
        <v>142706068</v>
      </c>
      <c r="C426" s="3">
        <v>5540246172669</v>
      </c>
      <c r="D426" s="6">
        <v>44707</v>
      </c>
      <c r="E426" s="8">
        <v>279</v>
      </c>
      <c r="F426" s="23" t="str">
        <f>IFERROR(VLOOKUP(C426, 'Catégorie des articles'!$A:$D, 4, FALSE), "")</f>
        <v>CREMERIE</v>
      </c>
      <c r="G426">
        <f t="shared" si="6"/>
        <v>202205</v>
      </c>
    </row>
    <row r="427" spans="1:7" ht="12" customHeight="1">
      <c r="A427" s="9">
        <v>44705</v>
      </c>
      <c r="B427" s="10">
        <v>142706068</v>
      </c>
      <c r="C427" s="3">
        <v>5540246172978</v>
      </c>
      <c r="D427" s="9">
        <v>44707</v>
      </c>
      <c r="E427" s="11">
        <v>1253</v>
      </c>
      <c r="F427" s="23" t="str">
        <f>IFERROR(VLOOKUP(C427, 'Catégorie des articles'!$A:$D, 4, FALSE), "")</f>
        <v>CREMERIE</v>
      </c>
      <c r="G427">
        <f t="shared" si="6"/>
        <v>202205</v>
      </c>
    </row>
    <row r="428" spans="1:7" ht="12" customHeight="1">
      <c r="A428" s="9">
        <v>44705</v>
      </c>
      <c r="B428" s="10">
        <v>142706068</v>
      </c>
      <c r="C428" s="3">
        <v>5540246174174</v>
      </c>
      <c r="D428" s="9">
        <v>44707</v>
      </c>
      <c r="E428" s="11">
        <v>464</v>
      </c>
      <c r="F428" s="23" t="str">
        <f>IFERROR(VLOOKUP(C428, 'Catégorie des articles'!$A:$D, 4, FALSE), "")</f>
        <v>CREMERIE</v>
      </c>
      <c r="G428">
        <f t="shared" si="6"/>
        <v>202205</v>
      </c>
    </row>
    <row r="429" spans="1:7" ht="12" customHeight="1">
      <c r="A429" s="6">
        <v>44705</v>
      </c>
      <c r="B429" s="7">
        <v>142706068</v>
      </c>
      <c r="C429" s="3">
        <v>5540246176699</v>
      </c>
      <c r="D429" s="6">
        <v>44707</v>
      </c>
      <c r="E429" s="8">
        <v>2088</v>
      </c>
      <c r="F429" s="23" t="str">
        <f>IFERROR(VLOOKUP(C429, 'Catégorie des articles'!$A:$D, 4, FALSE), "")</f>
        <v>CREMERIE</v>
      </c>
      <c r="G429">
        <f t="shared" si="6"/>
        <v>202205</v>
      </c>
    </row>
    <row r="430" spans="1:7" ht="12" customHeight="1">
      <c r="A430" s="6">
        <v>44706</v>
      </c>
      <c r="B430" s="7">
        <v>142706093</v>
      </c>
      <c r="C430" s="3">
        <v>5540246172978</v>
      </c>
      <c r="D430" s="6">
        <v>44710</v>
      </c>
      <c r="E430" s="8">
        <v>418</v>
      </c>
      <c r="F430" s="23" t="str">
        <f>IFERROR(VLOOKUP(C430, 'Catégorie des articles'!$A:$D, 4, FALSE), "")</f>
        <v>CREMERIE</v>
      </c>
      <c r="G430">
        <f t="shared" si="6"/>
        <v>202205</v>
      </c>
    </row>
    <row r="431" spans="1:7" ht="12" customHeight="1">
      <c r="A431" s="9">
        <v>44706</v>
      </c>
      <c r="B431" s="10">
        <v>142706093</v>
      </c>
      <c r="C431" s="3">
        <v>5540246174174</v>
      </c>
      <c r="D431" s="9">
        <v>44710</v>
      </c>
      <c r="E431" s="11">
        <v>232</v>
      </c>
      <c r="F431" s="23" t="str">
        <f>IFERROR(VLOOKUP(C431, 'Catégorie des articles'!$A:$D, 4, FALSE), "")</f>
        <v>CREMERIE</v>
      </c>
      <c r="G431">
        <f t="shared" si="6"/>
        <v>202205</v>
      </c>
    </row>
    <row r="432" spans="1:7" ht="12" customHeight="1">
      <c r="A432" s="6">
        <v>44706</v>
      </c>
      <c r="B432" s="7">
        <v>142706094</v>
      </c>
      <c r="C432" s="3">
        <v>5540246171933</v>
      </c>
      <c r="D432" s="6">
        <v>44710</v>
      </c>
      <c r="E432" s="8">
        <v>557</v>
      </c>
      <c r="F432" s="23" t="str">
        <f>IFERROR(VLOOKUP(C432, 'Catégorie des articles'!$A:$D, 4, FALSE), "")</f>
        <v>CREMERIE</v>
      </c>
      <c r="G432">
        <f t="shared" si="6"/>
        <v>202205</v>
      </c>
    </row>
    <row r="433" spans="1:7" ht="12" customHeight="1">
      <c r="A433" s="6">
        <v>44706</v>
      </c>
      <c r="B433" s="7">
        <v>142706094</v>
      </c>
      <c r="C433" s="3">
        <v>5540246187987</v>
      </c>
      <c r="D433" s="6">
        <v>44710</v>
      </c>
      <c r="E433" s="8">
        <v>2228</v>
      </c>
      <c r="F433" s="23" t="str">
        <f>IFERROR(VLOOKUP(C433, 'Catégorie des articles'!$A:$D, 4, FALSE), "")</f>
        <v>CREMERIE</v>
      </c>
      <c r="G433">
        <f t="shared" si="6"/>
        <v>202205</v>
      </c>
    </row>
    <row r="434" spans="1:7" ht="12" customHeight="1">
      <c r="A434" s="9">
        <v>44706</v>
      </c>
      <c r="B434" s="10">
        <v>142706101</v>
      </c>
      <c r="C434" s="3">
        <v>5540246193999</v>
      </c>
      <c r="D434" s="9">
        <v>44711</v>
      </c>
      <c r="E434" s="11">
        <v>23490</v>
      </c>
      <c r="F434" s="23" t="str">
        <f>IFERROR(VLOOKUP(C434, 'Catégorie des articles'!$A:$D, 4, FALSE), "")</f>
        <v>MIX LEGUMES</v>
      </c>
      <c r="G434">
        <f t="shared" si="6"/>
        <v>202205</v>
      </c>
    </row>
    <row r="435" spans="1:7" ht="12" customHeight="1">
      <c r="A435" s="6">
        <v>44706</v>
      </c>
      <c r="B435" s="7">
        <v>142706106</v>
      </c>
      <c r="C435" s="3">
        <v>5540246183130</v>
      </c>
      <c r="D435" s="6">
        <v>44713</v>
      </c>
      <c r="E435" s="8">
        <v>1128</v>
      </c>
      <c r="F435" s="23" t="str">
        <f>IFERROR(VLOOKUP(C435, 'Catégorie des articles'!$A:$D, 4, FALSE), "")</f>
        <v>MIX LEGUMES</v>
      </c>
      <c r="G435">
        <f t="shared" si="6"/>
        <v>202206</v>
      </c>
    </row>
    <row r="436" spans="1:7" ht="12" customHeight="1">
      <c r="A436" s="9">
        <v>44706</v>
      </c>
      <c r="B436" s="10">
        <v>142706106</v>
      </c>
      <c r="C436" s="3">
        <v>5540246183455</v>
      </c>
      <c r="D436" s="9">
        <v>44713</v>
      </c>
      <c r="E436" s="11">
        <v>1044</v>
      </c>
      <c r="F436" s="23" t="str">
        <f>IFERROR(VLOOKUP(C436, 'Catégorie des articles'!$A:$D, 4, FALSE), "")</f>
        <v>MIX LEGUMES</v>
      </c>
      <c r="G436">
        <f t="shared" si="6"/>
        <v>202206</v>
      </c>
    </row>
    <row r="437" spans="1:7" ht="12" customHeight="1">
      <c r="A437" s="9">
        <v>44706</v>
      </c>
      <c r="B437" s="10">
        <v>142706111</v>
      </c>
      <c r="C437" s="3">
        <v>5540246171759</v>
      </c>
      <c r="D437" s="9">
        <v>44714</v>
      </c>
      <c r="E437" s="11">
        <v>2506</v>
      </c>
      <c r="F437" s="23" t="str">
        <f>IFERROR(VLOOKUP(C437, 'Catégorie des articles'!$A:$D, 4, FALSE), "")</f>
        <v>MIX LEGUMES</v>
      </c>
      <c r="G437">
        <f t="shared" si="6"/>
        <v>202206</v>
      </c>
    </row>
    <row r="438" spans="1:7" ht="12" customHeight="1">
      <c r="A438" s="6">
        <v>44706</v>
      </c>
      <c r="B438" s="7">
        <v>142706111</v>
      </c>
      <c r="C438" s="3">
        <v>5540246177132</v>
      </c>
      <c r="D438" s="6">
        <v>44714</v>
      </c>
      <c r="E438" s="8">
        <v>6496</v>
      </c>
      <c r="F438" s="23" t="str">
        <f>IFERROR(VLOOKUP(C438, 'Catégorie des articles'!$A:$D, 4, FALSE), "")</f>
        <v>MIX LEGUMES</v>
      </c>
      <c r="G438">
        <f t="shared" si="6"/>
        <v>202206</v>
      </c>
    </row>
    <row r="439" spans="1:7" ht="12" customHeight="1">
      <c r="A439" s="9">
        <v>44706</v>
      </c>
      <c r="B439" s="10">
        <v>142706111</v>
      </c>
      <c r="C439" s="3">
        <v>5540246183562</v>
      </c>
      <c r="D439" s="9">
        <v>44714</v>
      </c>
      <c r="E439" s="11">
        <v>2088</v>
      </c>
      <c r="F439" s="23" t="str">
        <f>IFERROR(VLOOKUP(C439, 'Catégorie des articles'!$A:$D, 4, FALSE), "")</f>
        <v>MIX LEGUMES</v>
      </c>
      <c r="G439">
        <f t="shared" si="6"/>
        <v>202206</v>
      </c>
    </row>
    <row r="440" spans="1:7" ht="12" customHeight="1">
      <c r="A440" s="6">
        <v>44707</v>
      </c>
      <c r="B440" s="7">
        <v>142716113</v>
      </c>
      <c r="C440" s="3">
        <v>5540246190097</v>
      </c>
      <c r="D440" s="6">
        <v>44728</v>
      </c>
      <c r="E440" s="8">
        <v>5555</v>
      </c>
      <c r="F440" s="23" t="str">
        <f>IFERROR(VLOOKUP(C440, 'Catégorie des articles'!$A:$D, 4, FALSE), "")</f>
        <v>VOLAILLE</v>
      </c>
      <c r="G440">
        <f t="shared" si="6"/>
        <v>202206</v>
      </c>
    </row>
    <row r="441" spans="1:7" ht="12" customHeight="1">
      <c r="A441" s="6">
        <v>44707</v>
      </c>
      <c r="B441" s="7">
        <v>142716118</v>
      </c>
      <c r="C441" s="3">
        <v>5540246172669</v>
      </c>
      <c r="D441" s="6">
        <v>44711</v>
      </c>
      <c r="E441" s="8">
        <v>557</v>
      </c>
      <c r="F441" s="23" t="str">
        <f>IFERROR(VLOOKUP(C441, 'Catégorie des articles'!$A:$D, 4, FALSE), "")</f>
        <v>CREMERIE</v>
      </c>
      <c r="G441">
        <f t="shared" si="6"/>
        <v>202205</v>
      </c>
    </row>
    <row r="442" spans="1:7" ht="12" customHeight="1">
      <c r="A442" s="9">
        <v>44707</v>
      </c>
      <c r="B442" s="10">
        <v>142716118</v>
      </c>
      <c r="C442" s="3">
        <v>5540246188175</v>
      </c>
      <c r="D442" s="9">
        <v>44711</v>
      </c>
      <c r="E442" s="11">
        <v>232</v>
      </c>
      <c r="F442" s="23" t="str">
        <f>IFERROR(VLOOKUP(C442, 'Catégorie des articles'!$A:$D, 4, FALSE), "")</f>
        <v>CREMERIE</v>
      </c>
      <c r="G442">
        <f t="shared" si="6"/>
        <v>202205</v>
      </c>
    </row>
    <row r="443" spans="1:7" ht="12" customHeight="1">
      <c r="A443" s="9">
        <v>44707</v>
      </c>
      <c r="B443" s="10">
        <v>142716119</v>
      </c>
      <c r="C443" s="3">
        <v>5540246188200</v>
      </c>
      <c r="D443" s="9">
        <v>44711</v>
      </c>
      <c r="E443" s="11">
        <v>743</v>
      </c>
      <c r="F443" s="23" t="str">
        <f>IFERROR(VLOOKUP(C443, 'Catégorie des articles'!$A:$D, 4, FALSE), "")</f>
        <v>CREMERIE</v>
      </c>
      <c r="G443">
        <f t="shared" si="6"/>
        <v>202205</v>
      </c>
    </row>
    <row r="444" spans="1:7" ht="12" customHeight="1">
      <c r="A444" s="9">
        <v>44707</v>
      </c>
      <c r="B444" s="10">
        <v>142716122</v>
      </c>
      <c r="C444" s="3">
        <v>5540246185429</v>
      </c>
      <c r="D444" s="9">
        <v>44711</v>
      </c>
      <c r="E444" s="11">
        <v>140</v>
      </c>
      <c r="F444" s="23" t="str">
        <f>IFERROR(VLOOKUP(C444, 'Catégorie des articles'!$A:$D, 4, FALSE), "")</f>
        <v>CREMERIE</v>
      </c>
      <c r="G444">
        <f t="shared" si="6"/>
        <v>202205</v>
      </c>
    </row>
    <row r="445" spans="1:7" ht="12" customHeight="1">
      <c r="A445" s="6">
        <v>44707</v>
      </c>
      <c r="B445" s="7">
        <v>142716122</v>
      </c>
      <c r="C445" s="3">
        <v>5540246186325</v>
      </c>
      <c r="D445" s="6">
        <v>44711</v>
      </c>
      <c r="E445" s="8">
        <v>279</v>
      </c>
      <c r="F445" s="23" t="str">
        <f>IFERROR(VLOOKUP(C445, 'Catégorie des articles'!$A:$D, 4, FALSE), "")</f>
        <v>CREMERIE</v>
      </c>
      <c r="G445">
        <f t="shared" si="6"/>
        <v>202205</v>
      </c>
    </row>
    <row r="446" spans="1:7" ht="12" customHeight="1">
      <c r="A446" s="6">
        <v>44707</v>
      </c>
      <c r="B446" s="7">
        <v>142716131</v>
      </c>
      <c r="C446" s="3">
        <v>5540246183558</v>
      </c>
      <c r="D446" s="6">
        <v>44721</v>
      </c>
      <c r="E446" s="8">
        <v>3898</v>
      </c>
      <c r="F446" s="23" t="str">
        <f>IFERROR(VLOOKUP(C446, 'Catégorie des articles'!$A:$D, 4, FALSE), "")</f>
        <v>MIX LEGUMES</v>
      </c>
      <c r="G446">
        <f t="shared" si="6"/>
        <v>202206</v>
      </c>
    </row>
    <row r="447" spans="1:7" ht="12" customHeight="1">
      <c r="A447" s="9">
        <v>44707</v>
      </c>
      <c r="B447" s="10">
        <v>142716134</v>
      </c>
      <c r="C447" s="3">
        <v>5540246188224</v>
      </c>
      <c r="D447" s="9">
        <v>44727</v>
      </c>
      <c r="E447" s="11">
        <v>2413</v>
      </c>
      <c r="F447" s="23" t="str">
        <f>IFERROR(VLOOKUP(C447, 'Catégorie des articles'!$A:$D, 4, FALSE), "")</f>
        <v>VOLAILLE</v>
      </c>
      <c r="G447">
        <f t="shared" si="6"/>
        <v>202206</v>
      </c>
    </row>
    <row r="448" spans="1:7" ht="12" customHeight="1">
      <c r="A448" s="9">
        <v>44707</v>
      </c>
      <c r="B448" s="10">
        <v>142716136</v>
      </c>
      <c r="C448" s="3">
        <v>5540246192907</v>
      </c>
      <c r="D448" s="9">
        <v>44732</v>
      </c>
      <c r="E448" s="11">
        <v>14477</v>
      </c>
      <c r="F448" s="23" t="str">
        <f>IFERROR(VLOOKUP(C448, 'Catégorie des articles'!$A:$D, 4, FALSE), "")</f>
        <v>VOLAILLE</v>
      </c>
      <c r="G448">
        <f t="shared" si="6"/>
        <v>202206</v>
      </c>
    </row>
    <row r="449" spans="1:7" ht="12" customHeight="1">
      <c r="A449" s="6">
        <v>44707</v>
      </c>
      <c r="B449" s="7">
        <v>142716137</v>
      </c>
      <c r="C449" s="3">
        <v>5540246193878</v>
      </c>
      <c r="D449" s="6">
        <v>44719</v>
      </c>
      <c r="E449" s="8">
        <v>11136</v>
      </c>
      <c r="F449" s="23" t="str">
        <f>IFERROR(VLOOKUP(C449, 'Catégorie des articles'!$A:$D, 4, FALSE), "")</f>
        <v>VOLAILLE</v>
      </c>
      <c r="G449">
        <f t="shared" si="6"/>
        <v>202206</v>
      </c>
    </row>
    <row r="450" spans="1:7" ht="12" customHeight="1">
      <c r="A450" s="9">
        <v>44707</v>
      </c>
      <c r="B450" s="10">
        <v>142716138</v>
      </c>
      <c r="C450" s="3">
        <v>5540246186352</v>
      </c>
      <c r="D450" s="9">
        <v>44725</v>
      </c>
      <c r="E450" s="11">
        <v>8457</v>
      </c>
      <c r="F450" s="23" t="str">
        <f>IFERROR(VLOOKUP(C450, 'Catégorie des articles'!$A:$D, 4, FALSE), "")</f>
        <v>MIX LEGUMES</v>
      </c>
      <c r="G450">
        <f t="shared" si="6"/>
        <v>202206</v>
      </c>
    </row>
    <row r="451" spans="1:7" ht="12" customHeight="1">
      <c r="A451" s="6">
        <v>44710</v>
      </c>
      <c r="B451" s="7">
        <v>142716150</v>
      </c>
      <c r="C451" s="3">
        <v>5540246172978</v>
      </c>
      <c r="D451" s="6">
        <v>44712</v>
      </c>
      <c r="E451" s="8">
        <v>1253</v>
      </c>
      <c r="F451" s="23" t="str">
        <f>IFERROR(VLOOKUP(C451, 'Catégorie des articles'!$A:$D, 4, FALSE), "")</f>
        <v>CREMERIE</v>
      </c>
      <c r="G451">
        <f t="shared" ref="G451:G514" si="7">YEAR(D451)*100 + MONTH(D451)</f>
        <v>202205</v>
      </c>
    </row>
    <row r="452" spans="1:7" ht="12" customHeight="1">
      <c r="A452" s="6">
        <v>44710</v>
      </c>
      <c r="B452" s="7">
        <v>142716150</v>
      </c>
      <c r="C452" s="3">
        <v>5540246176699</v>
      </c>
      <c r="D452" s="6">
        <v>44712</v>
      </c>
      <c r="E452" s="8">
        <v>3132</v>
      </c>
      <c r="F452" s="23" t="str">
        <f>IFERROR(VLOOKUP(C452, 'Catégorie des articles'!$A:$D, 4, FALSE), "")</f>
        <v>CREMERIE</v>
      </c>
      <c r="G452">
        <f t="shared" si="7"/>
        <v>202205</v>
      </c>
    </row>
    <row r="453" spans="1:7" ht="12" customHeight="1">
      <c r="A453" s="9">
        <v>44710</v>
      </c>
      <c r="B453" s="10">
        <v>142716150</v>
      </c>
      <c r="C453" s="3">
        <v>5540246192102</v>
      </c>
      <c r="D453" s="9">
        <v>44712</v>
      </c>
      <c r="E453" s="11">
        <v>4009</v>
      </c>
      <c r="F453" s="23" t="str">
        <f>IFERROR(VLOOKUP(C453, 'Catégorie des articles'!$A:$D, 4, FALSE), "")</f>
        <v>CREMERIE</v>
      </c>
      <c r="G453">
        <f t="shared" si="7"/>
        <v>202205</v>
      </c>
    </row>
    <row r="454" spans="1:7" ht="12" customHeight="1">
      <c r="A454" s="6">
        <v>44710</v>
      </c>
      <c r="B454" s="7">
        <v>142716151</v>
      </c>
      <c r="C454" s="3">
        <v>5540246176294</v>
      </c>
      <c r="D454" s="6">
        <v>44712</v>
      </c>
      <c r="E454" s="8">
        <v>2228</v>
      </c>
      <c r="F454" s="23" t="str">
        <f>IFERROR(VLOOKUP(C454, 'Catégorie des articles'!$A:$D, 4, FALSE), "")</f>
        <v>CREMERIE</v>
      </c>
      <c r="G454">
        <f t="shared" si="7"/>
        <v>202205</v>
      </c>
    </row>
    <row r="455" spans="1:7" ht="12" customHeight="1">
      <c r="A455" s="9">
        <v>44710</v>
      </c>
      <c r="B455" s="10">
        <v>142716151</v>
      </c>
      <c r="C455" s="3">
        <v>5540246176295</v>
      </c>
      <c r="D455" s="9">
        <v>44712</v>
      </c>
      <c r="E455" s="11">
        <v>7424</v>
      </c>
      <c r="F455" s="23" t="str">
        <f>IFERROR(VLOOKUP(C455, 'Catégorie des articles'!$A:$D, 4, FALSE), "")</f>
        <v>CREMERIE</v>
      </c>
      <c r="G455">
        <f t="shared" si="7"/>
        <v>202205</v>
      </c>
    </row>
    <row r="456" spans="1:7" ht="12" customHeight="1">
      <c r="A456" s="9">
        <v>44710</v>
      </c>
      <c r="B456" s="10">
        <v>142716151</v>
      </c>
      <c r="C456" s="3">
        <v>5540246188200</v>
      </c>
      <c r="D456" s="9">
        <v>44712</v>
      </c>
      <c r="E456" s="11">
        <v>1485</v>
      </c>
      <c r="F456" s="23" t="str">
        <f>IFERROR(VLOOKUP(C456, 'Catégorie des articles'!$A:$D, 4, FALSE), "")</f>
        <v>CREMERIE</v>
      </c>
      <c r="G456">
        <f t="shared" si="7"/>
        <v>202205</v>
      </c>
    </row>
    <row r="457" spans="1:7" ht="12" customHeight="1">
      <c r="A457" s="9">
        <v>44711</v>
      </c>
      <c r="B457" s="10">
        <v>142716168</v>
      </c>
      <c r="C457" s="3">
        <v>5540246192264</v>
      </c>
      <c r="D457" s="9">
        <v>44738</v>
      </c>
      <c r="E457" s="11">
        <v>372</v>
      </c>
      <c r="F457" s="23" t="str">
        <f>IFERROR(VLOOKUP(C457, 'Catégorie des articles'!$A:$D, 4, FALSE), "")</f>
        <v>CREMERIE</v>
      </c>
      <c r="G457">
        <f t="shared" si="7"/>
        <v>202206</v>
      </c>
    </row>
    <row r="458" spans="1:7" ht="12" customHeight="1">
      <c r="A458" s="6">
        <v>44711</v>
      </c>
      <c r="B458" s="7">
        <v>142716168</v>
      </c>
      <c r="C458" s="3">
        <v>5540246192265</v>
      </c>
      <c r="D458" s="6">
        <v>44738</v>
      </c>
      <c r="E458" s="8">
        <v>1411</v>
      </c>
      <c r="F458" s="23" t="str">
        <f>IFERROR(VLOOKUP(C458, 'Catégorie des articles'!$A:$D, 4, FALSE), "")</f>
        <v>CREMERIE</v>
      </c>
      <c r="G458">
        <f t="shared" si="7"/>
        <v>202206</v>
      </c>
    </row>
    <row r="459" spans="1:7" ht="12" customHeight="1">
      <c r="A459" s="6">
        <v>44711</v>
      </c>
      <c r="B459" s="7">
        <v>142716170</v>
      </c>
      <c r="C459" s="3">
        <v>5540246176295</v>
      </c>
      <c r="D459" s="6">
        <v>44713</v>
      </c>
      <c r="E459" s="8">
        <v>7424</v>
      </c>
      <c r="F459" s="23" t="str">
        <f>IFERROR(VLOOKUP(C459, 'Catégorie des articles'!$A:$D, 4, FALSE), "")</f>
        <v>CREMERIE</v>
      </c>
      <c r="G459">
        <f t="shared" si="7"/>
        <v>202206</v>
      </c>
    </row>
    <row r="460" spans="1:7" ht="12" customHeight="1">
      <c r="A460" s="9">
        <v>44711</v>
      </c>
      <c r="B460" s="10">
        <v>142716170</v>
      </c>
      <c r="C460" s="3">
        <v>5540246187987</v>
      </c>
      <c r="D460" s="9">
        <v>44713</v>
      </c>
      <c r="E460" s="11">
        <v>2228</v>
      </c>
      <c r="F460" s="23" t="str">
        <f>IFERROR(VLOOKUP(C460, 'Catégorie des articles'!$A:$D, 4, FALSE), "")</f>
        <v>CREMERIE</v>
      </c>
      <c r="G460">
        <f t="shared" si="7"/>
        <v>202206</v>
      </c>
    </row>
    <row r="461" spans="1:7" ht="12" customHeight="1">
      <c r="A461" s="9">
        <v>44711</v>
      </c>
      <c r="B461" s="10">
        <v>142716176</v>
      </c>
      <c r="C461" s="3">
        <v>5540246185429</v>
      </c>
      <c r="D461" s="9">
        <v>44714</v>
      </c>
      <c r="E461" s="11">
        <v>140</v>
      </c>
      <c r="F461" s="23" t="str">
        <f>IFERROR(VLOOKUP(C461, 'Catégorie des articles'!$A:$D, 4, FALSE), "")</f>
        <v>CREMERIE</v>
      </c>
      <c r="G461">
        <f t="shared" si="7"/>
        <v>202206</v>
      </c>
    </row>
    <row r="462" spans="1:7" ht="12" customHeight="1">
      <c r="A462" s="9">
        <v>44711</v>
      </c>
      <c r="B462" s="10">
        <v>142716182</v>
      </c>
      <c r="C462" s="3">
        <v>5540246171759</v>
      </c>
      <c r="D462" s="9">
        <v>44719</v>
      </c>
      <c r="E462" s="11">
        <v>3759</v>
      </c>
      <c r="F462" s="23" t="str">
        <f>IFERROR(VLOOKUP(C462, 'Catégorie des articles'!$A:$D, 4, FALSE), "")</f>
        <v>MIX LEGUMES</v>
      </c>
      <c r="G462">
        <f t="shared" si="7"/>
        <v>202206</v>
      </c>
    </row>
    <row r="463" spans="1:7" ht="12" customHeight="1">
      <c r="A463" s="6">
        <v>44711</v>
      </c>
      <c r="B463" s="7">
        <v>142716182</v>
      </c>
      <c r="C463" s="3">
        <v>5540246177132</v>
      </c>
      <c r="D463" s="6">
        <v>44719</v>
      </c>
      <c r="E463" s="8">
        <v>8352</v>
      </c>
      <c r="F463" s="23" t="str">
        <f>IFERROR(VLOOKUP(C463, 'Catégorie des articles'!$A:$D, 4, FALSE), "")</f>
        <v>MIX LEGUMES</v>
      </c>
      <c r="G463">
        <f t="shared" si="7"/>
        <v>202206</v>
      </c>
    </row>
    <row r="464" spans="1:7" ht="12" customHeight="1">
      <c r="A464" s="9">
        <v>44711</v>
      </c>
      <c r="B464" s="10">
        <v>142716182</v>
      </c>
      <c r="C464" s="3">
        <v>5540246183562</v>
      </c>
      <c r="D464" s="9">
        <v>44719</v>
      </c>
      <c r="E464" s="11">
        <v>696</v>
      </c>
      <c r="F464" s="23" t="str">
        <f>IFERROR(VLOOKUP(C464, 'Catégorie des articles'!$A:$D, 4, FALSE), "")</f>
        <v>MIX LEGUMES</v>
      </c>
      <c r="G464">
        <f t="shared" si="7"/>
        <v>202206</v>
      </c>
    </row>
    <row r="465" spans="1:7" ht="12" customHeight="1">
      <c r="A465" s="6">
        <v>44711</v>
      </c>
      <c r="B465" s="7">
        <v>142716182</v>
      </c>
      <c r="C465" s="3">
        <v>5540246192518</v>
      </c>
      <c r="D465" s="6">
        <v>44719</v>
      </c>
      <c r="E465" s="8">
        <v>8770</v>
      </c>
      <c r="F465" s="23" t="str">
        <f>IFERROR(VLOOKUP(C465, 'Catégorie des articles'!$A:$D, 4, FALSE), "")</f>
        <v>MIX LEGUMES</v>
      </c>
      <c r="G465">
        <f t="shared" si="7"/>
        <v>202206</v>
      </c>
    </row>
    <row r="466" spans="1:7" ht="12" customHeight="1">
      <c r="A466" s="9">
        <v>44711</v>
      </c>
      <c r="B466" s="10">
        <v>142716192</v>
      </c>
      <c r="C466" s="3">
        <v>5540246181061</v>
      </c>
      <c r="D466" s="9">
        <v>44731</v>
      </c>
      <c r="E466" s="11">
        <v>6615</v>
      </c>
      <c r="F466" s="23" t="str">
        <f>IFERROR(VLOOKUP(C466, 'Catégorie des articles'!$A:$D, 4, FALSE), "")</f>
        <v>VOLAILLE</v>
      </c>
      <c r="G466">
        <f t="shared" si="7"/>
        <v>202206</v>
      </c>
    </row>
    <row r="467" spans="1:7" ht="12" customHeight="1">
      <c r="A467" s="6">
        <v>44711</v>
      </c>
      <c r="B467" s="7">
        <v>142716192</v>
      </c>
      <c r="C467" s="3">
        <v>5540246183547</v>
      </c>
      <c r="D467" s="6">
        <v>44731</v>
      </c>
      <c r="E467" s="8">
        <v>10023</v>
      </c>
      <c r="F467" s="23" t="str">
        <f>IFERROR(VLOOKUP(C467, 'Catégorie des articles'!$A:$D, 4, FALSE), "")</f>
        <v>VOLAILLE</v>
      </c>
      <c r="G467">
        <f t="shared" si="7"/>
        <v>202206</v>
      </c>
    </row>
    <row r="468" spans="1:7" ht="12" customHeight="1">
      <c r="A468" s="9">
        <v>44711</v>
      </c>
      <c r="B468" s="10">
        <v>142716192</v>
      </c>
      <c r="C468" s="3">
        <v>5540246185278</v>
      </c>
      <c r="D468" s="9">
        <v>44731</v>
      </c>
      <c r="E468" s="11">
        <v>1120</v>
      </c>
      <c r="F468" s="23" t="str">
        <f>IFERROR(VLOOKUP(C468, 'Catégorie des articles'!$A:$D, 4, FALSE), "")</f>
        <v>VOLAILLE</v>
      </c>
      <c r="G468">
        <f t="shared" si="7"/>
        <v>202206</v>
      </c>
    </row>
    <row r="469" spans="1:7" ht="12" customHeight="1">
      <c r="A469" s="9">
        <v>44712</v>
      </c>
      <c r="B469" s="10">
        <v>142716209</v>
      </c>
      <c r="C469" s="3">
        <v>5540246187987</v>
      </c>
      <c r="D469" s="9">
        <v>44714</v>
      </c>
      <c r="E469" s="11">
        <v>2228</v>
      </c>
      <c r="F469" s="23" t="str">
        <f>IFERROR(VLOOKUP(C469, 'Catégorie des articles'!$A:$D, 4, FALSE), "")</f>
        <v>CREMERIE</v>
      </c>
      <c r="G469">
        <f t="shared" si="7"/>
        <v>202206</v>
      </c>
    </row>
    <row r="470" spans="1:7" ht="12" customHeight="1">
      <c r="A470" s="9">
        <v>44712</v>
      </c>
      <c r="B470" s="10">
        <v>142716210</v>
      </c>
      <c r="C470" s="3">
        <v>5540246176699</v>
      </c>
      <c r="D470" s="9">
        <v>44714</v>
      </c>
      <c r="E470" s="11">
        <v>1044</v>
      </c>
      <c r="F470" s="23" t="str">
        <f>IFERROR(VLOOKUP(C470, 'Catégorie des articles'!$A:$D, 4, FALSE), "")</f>
        <v>CREMERIE</v>
      </c>
      <c r="G470">
        <f t="shared" si="7"/>
        <v>202206</v>
      </c>
    </row>
    <row r="471" spans="1:7" ht="12" customHeight="1">
      <c r="A471" s="6">
        <v>44713</v>
      </c>
      <c r="B471" s="7">
        <v>142716223</v>
      </c>
      <c r="C471" s="3">
        <v>5540246172978</v>
      </c>
      <c r="D471" s="6">
        <v>44714</v>
      </c>
      <c r="E471" s="8">
        <v>836</v>
      </c>
      <c r="F471" s="23" t="str">
        <f>IFERROR(VLOOKUP(C471, 'Catégorie des articles'!$A:$D, 4, FALSE), "")</f>
        <v>CREMERIE</v>
      </c>
      <c r="G471">
        <f t="shared" si="7"/>
        <v>202206</v>
      </c>
    </row>
    <row r="472" spans="1:7" ht="12" customHeight="1">
      <c r="A472" s="9">
        <v>44713</v>
      </c>
      <c r="B472" s="10">
        <v>142716223</v>
      </c>
      <c r="C472" s="3">
        <v>5540246176699</v>
      </c>
      <c r="D472" s="9">
        <v>44714</v>
      </c>
      <c r="E472" s="11">
        <v>4176</v>
      </c>
      <c r="F472" s="23" t="str">
        <f>IFERROR(VLOOKUP(C472, 'Catégorie des articles'!$A:$D, 4, FALSE), "")</f>
        <v>CREMERIE</v>
      </c>
      <c r="G472">
        <f t="shared" si="7"/>
        <v>202206</v>
      </c>
    </row>
    <row r="473" spans="1:7" ht="12" customHeight="1">
      <c r="A473" s="9">
        <v>44713</v>
      </c>
      <c r="B473" s="10">
        <v>142716225</v>
      </c>
      <c r="C473" s="3">
        <v>5540246171933</v>
      </c>
      <c r="D473" s="9">
        <v>44717</v>
      </c>
      <c r="E473" s="11">
        <v>1114</v>
      </c>
      <c r="F473" s="23" t="str">
        <f>IFERROR(VLOOKUP(C473, 'Catégorie des articles'!$A:$D, 4, FALSE), "")</f>
        <v>CREMERIE</v>
      </c>
      <c r="G473">
        <f t="shared" si="7"/>
        <v>202206</v>
      </c>
    </row>
    <row r="474" spans="1:7" ht="12" customHeight="1">
      <c r="A474" s="6">
        <v>44713</v>
      </c>
      <c r="B474" s="7">
        <v>142716225</v>
      </c>
      <c r="C474" s="3">
        <v>5540246187987</v>
      </c>
      <c r="D474" s="6">
        <v>44717</v>
      </c>
      <c r="E474" s="8">
        <v>4455</v>
      </c>
      <c r="F474" s="23" t="str">
        <f>IFERROR(VLOOKUP(C474, 'Catégorie des articles'!$A:$D, 4, FALSE), "")</f>
        <v>CREMERIE</v>
      </c>
      <c r="G474">
        <f t="shared" si="7"/>
        <v>202206</v>
      </c>
    </row>
    <row r="475" spans="1:7" ht="12" customHeight="1">
      <c r="A475" s="9">
        <v>44713</v>
      </c>
      <c r="B475" s="10">
        <v>142716225</v>
      </c>
      <c r="C475" s="3">
        <v>5540246188200</v>
      </c>
      <c r="D475" s="9">
        <v>44717</v>
      </c>
      <c r="E475" s="11">
        <v>2228</v>
      </c>
      <c r="F475" s="23" t="str">
        <f>IFERROR(VLOOKUP(C475, 'Catégorie des articles'!$A:$D, 4, FALSE), "")</f>
        <v>CREMERIE</v>
      </c>
      <c r="G475">
        <f t="shared" si="7"/>
        <v>202206</v>
      </c>
    </row>
    <row r="476" spans="1:7" ht="12" customHeight="1">
      <c r="A476" s="9">
        <v>44713</v>
      </c>
      <c r="B476" s="10">
        <v>142716226</v>
      </c>
      <c r="C476" s="3">
        <v>5540246172978</v>
      </c>
      <c r="D476" s="9">
        <v>44717</v>
      </c>
      <c r="E476" s="11">
        <v>418</v>
      </c>
      <c r="F476" s="23" t="str">
        <f>IFERROR(VLOOKUP(C476, 'Catégorie des articles'!$A:$D, 4, FALSE), "")</f>
        <v>CREMERIE</v>
      </c>
      <c r="G476">
        <f t="shared" si="7"/>
        <v>202206</v>
      </c>
    </row>
    <row r="477" spans="1:7" ht="12" customHeight="1">
      <c r="A477" s="9">
        <v>44713</v>
      </c>
      <c r="B477" s="10">
        <v>142716226</v>
      </c>
      <c r="C477" s="3">
        <v>5540246174174</v>
      </c>
      <c r="D477" s="9">
        <v>44717</v>
      </c>
      <c r="E477" s="11">
        <v>696</v>
      </c>
      <c r="F477" s="23" t="str">
        <f>IFERROR(VLOOKUP(C477, 'Catégorie des articles'!$A:$D, 4, FALSE), "")</f>
        <v>CREMERIE</v>
      </c>
      <c r="G477">
        <f t="shared" si="7"/>
        <v>202206</v>
      </c>
    </row>
    <row r="478" spans="1:7" ht="12" customHeight="1">
      <c r="A478" s="9">
        <v>44713</v>
      </c>
      <c r="B478" s="10">
        <v>142716226</v>
      </c>
      <c r="C478" s="3">
        <v>5540246176699</v>
      </c>
      <c r="D478" s="9">
        <v>44717</v>
      </c>
      <c r="E478" s="11">
        <v>2088</v>
      </c>
      <c r="F478" s="23" t="str">
        <f>IFERROR(VLOOKUP(C478, 'Catégorie des articles'!$A:$D, 4, FALSE), "")</f>
        <v>CREMERIE</v>
      </c>
      <c r="G478">
        <f t="shared" si="7"/>
        <v>202206</v>
      </c>
    </row>
    <row r="479" spans="1:7" ht="12" customHeight="1">
      <c r="A479" s="9">
        <v>44713</v>
      </c>
      <c r="B479" s="10">
        <v>142716226</v>
      </c>
      <c r="C479" s="3">
        <v>5540246188175</v>
      </c>
      <c r="D479" s="9">
        <v>44717</v>
      </c>
      <c r="E479" s="11">
        <v>232</v>
      </c>
      <c r="F479" s="23" t="str">
        <f>IFERROR(VLOOKUP(C479, 'Catégorie des articles'!$A:$D, 4, FALSE), "")</f>
        <v>CREMERIE</v>
      </c>
      <c r="G479">
        <f t="shared" si="7"/>
        <v>202206</v>
      </c>
    </row>
    <row r="480" spans="1:7" ht="12" customHeight="1">
      <c r="A480" s="9">
        <v>44713</v>
      </c>
      <c r="B480" s="10">
        <v>142716239</v>
      </c>
      <c r="C480" s="3">
        <v>5540246173472</v>
      </c>
      <c r="D480" s="9">
        <v>44720</v>
      </c>
      <c r="E480" s="11">
        <v>279</v>
      </c>
      <c r="F480" s="23" t="str">
        <f>IFERROR(VLOOKUP(C480, 'Catégorie des articles'!$A:$D, 4, FALSE), "")</f>
        <v>CREMERIE</v>
      </c>
      <c r="G480">
        <f t="shared" si="7"/>
        <v>202206</v>
      </c>
    </row>
    <row r="481" spans="1:7" ht="12" customHeight="1">
      <c r="A481" s="6">
        <v>44713</v>
      </c>
      <c r="B481" s="7">
        <v>142716239</v>
      </c>
      <c r="C481" s="3">
        <v>5540246174095</v>
      </c>
      <c r="D481" s="6">
        <v>44720</v>
      </c>
      <c r="E481" s="8">
        <v>70</v>
      </c>
      <c r="F481" s="23" t="str">
        <f>IFERROR(VLOOKUP(C481, 'Catégorie des articles'!$A:$D, 4, FALSE), "")</f>
        <v>CREMERIE</v>
      </c>
      <c r="G481">
        <f t="shared" si="7"/>
        <v>202206</v>
      </c>
    </row>
    <row r="482" spans="1:7" ht="12" customHeight="1">
      <c r="A482" s="9">
        <v>44713</v>
      </c>
      <c r="B482" s="10">
        <v>142716239</v>
      </c>
      <c r="C482" s="3">
        <v>5540246175049</v>
      </c>
      <c r="D482" s="9">
        <v>44720</v>
      </c>
      <c r="E482" s="11">
        <v>836</v>
      </c>
      <c r="F482" s="23" t="str">
        <f>IFERROR(VLOOKUP(C482, 'Catégorie des articles'!$A:$D, 4, FALSE), "")</f>
        <v>CREMERIE</v>
      </c>
      <c r="G482">
        <f t="shared" si="7"/>
        <v>202206</v>
      </c>
    </row>
    <row r="483" spans="1:7" ht="12" customHeight="1">
      <c r="A483" s="6">
        <v>44713</v>
      </c>
      <c r="B483" s="7">
        <v>142716239</v>
      </c>
      <c r="C483" s="3">
        <v>5540246175050</v>
      </c>
      <c r="D483" s="6">
        <v>44720</v>
      </c>
      <c r="E483" s="8">
        <v>557</v>
      </c>
      <c r="F483" s="23" t="str">
        <f>IFERROR(VLOOKUP(C483, 'Catégorie des articles'!$A:$D, 4, FALSE), "")</f>
        <v>CREMERIE</v>
      </c>
      <c r="G483">
        <f t="shared" si="7"/>
        <v>202206</v>
      </c>
    </row>
    <row r="484" spans="1:7" ht="12" customHeight="1">
      <c r="A484" s="9">
        <v>44713</v>
      </c>
      <c r="B484" s="10">
        <v>142716242</v>
      </c>
      <c r="C484" s="3">
        <v>5540246171888</v>
      </c>
      <c r="D484" s="9">
        <v>44719</v>
      </c>
      <c r="E484" s="11">
        <v>650</v>
      </c>
      <c r="F484" s="23" t="str">
        <f>IFERROR(VLOOKUP(C484, 'Catégorie des articles'!$A:$D, 4, FALSE), "")</f>
        <v>BOULANGERIE</v>
      </c>
      <c r="G484">
        <f t="shared" si="7"/>
        <v>202206</v>
      </c>
    </row>
    <row r="485" spans="1:7" ht="12" customHeight="1">
      <c r="A485" s="6">
        <v>44713</v>
      </c>
      <c r="B485" s="7">
        <v>142716247</v>
      </c>
      <c r="C485" s="3">
        <v>5540246170256</v>
      </c>
      <c r="D485" s="6">
        <v>44740</v>
      </c>
      <c r="E485" s="8">
        <v>1235</v>
      </c>
      <c r="F485" s="23" t="str">
        <f>IFERROR(VLOOKUP(C485, 'Catégorie des articles'!$A:$D, 4, FALSE), "")</f>
        <v>BOULANGERIE</v>
      </c>
      <c r="G485">
        <f t="shared" si="7"/>
        <v>202206</v>
      </c>
    </row>
    <row r="486" spans="1:7" ht="12" customHeight="1">
      <c r="A486" s="9">
        <v>44713</v>
      </c>
      <c r="B486" s="10">
        <v>142716247</v>
      </c>
      <c r="C486" s="3">
        <v>5540246171888</v>
      </c>
      <c r="D486" s="9">
        <v>44740</v>
      </c>
      <c r="E486" s="11">
        <v>260</v>
      </c>
      <c r="F486" s="23" t="str">
        <f>IFERROR(VLOOKUP(C486, 'Catégorie des articles'!$A:$D, 4, FALSE), "")</f>
        <v>BOULANGERIE</v>
      </c>
      <c r="G486">
        <f t="shared" si="7"/>
        <v>202206</v>
      </c>
    </row>
    <row r="487" spans="1:7" ht="12" customHeight="1">
      <c r="A487" s="6">
        <v>44713</v>
      </c>
      <c r="B487" s="7">
        <v>142716248</v>
      </c>
      <c r="C487" s="3">
        <v>5540246184036</v>
      </c>
      <c r="D487" s="6">
        <v>44727</v>
      </c>
      <c r="E487" s="8">
        <v>130</v>
      </c>
      <c r="F487" s="23" t="str">
        <f>IFERROR(VLOOKUP(C487, 'Catégorie des articles'!$A:$D, 4, FALSE), "")</f>
        <v>BOULANGERIE</v>
      </c>
      <c r="G487">
        <f t="shared" si="7"/>
        <v>202206</v>
      </c>
    </row>
    <row r="488" spans="1:7" ht="12" customHeight="1">
      <c r="A488" s="9">
        <v>44713</v>
      </c>
      <c r="B488" s="10">
        <v>142716248</v>
      </c>
      <c r="C488" s="3">
        <v>5540246191596</v>
      </c>
      <c r="D488" s="9">
        <v>44727</v>
      </c>
      <c r="E488" s="11">
        <v>223</v>
      </c>
      <c r="F488" s="23" t="str">
        <f>IFERROR(VLOOKUP(C488, 'Catégorie des articles'!$A:$D, 4, FALSE), "")</f>
        <v>BOULANGERIE</v>
      </c>
      <c r="G488">
        <f t="shared" si="7"/>
        <v>202206</v>
      </c>
    </row>
    <row r="489" spans="1:7" ht="12" customHeight="1">
      <c r="A489" s="6">
        <v>44713</v>
      </c>
      <c r="B489" s="7">
        <v>142716248</v>
      </c>
      <c r="C489" s="3">
        <v>5540246193505</v>
      </c>
      <c r="D489" s="6">
        <v>44727</v>
      </c>
      <c r="E489" s="8">
        <v>26727</v>
      </c>
      <c r="F489" s="23" t="str">
        <f>IFERROR(VLOOKUP(C489, 'Catégorie des articles'!$A:$D, 4, FALSE), "")</f>
        <v>BOULANGERIE</v>
      </c>
      <c r="G489">
        <f t="shared" si="7"/>
        <v>202206</v>
      </c>
    </row>
    <row r="490" spans="1:7" ht="12" customHeight="1">
      <c r="A490" s="9">
        <v>44713</v>
      </c>
      <c r="B490" s="10">
        <v>142716250</v>
      </c>
      <c r="C490" s="3">
        <v>5540246188583</v>
      </c>
      <c r="D490" s="9">
        <v>44719</v>
      </c>
      <c r="E490" s="11">
        <v>3898</v>
      </c>
      <c r="F490" s="23" t="str">
        <f>IFERROR(VLOOKUP(C490, 'Catégorie des articles'!$A:$D, 4, FALSE), "")</f>
        <v>BOULANGERIE</v>
      </c>
      <c r="G490">
        <f t="shared" si="7"/>
        <v>202206</v>
      </c>
    </row>
    <row r="491" spans="1:7" ht="12" customHeight="1">
      <c r="A491" s="6">
        <v>44713</v>
      </c>
      <c r="B491" s="7">
        <v>142716251</v>
      </c>
      <c r="C491" s="3">
        <v>5540246188583</v>
      </c>
      <c r="D491" s="6">
        <v>44734</v>
      </c>
      <c r="E491" s="8">
        <v>3898</v>
      </c>
      <c r="F491" s="23" t="str">
        <f>IFERROR(VLOOKUP(C491, 'Catégorie des articles'!$A:$D, 4, FALSE), "")</f>
        <v>BOULANGERIE</v>
      </c>
      <c r="G491">
        <f t="shared" si="7"/>
        <v>202206</v>
      </c>
    </row>
    <row r="492" spans="1:7" ht="12" customHeight="1">
      <c r="A492" s="6">
        <v>44714</v>
      </c>
      <c r="B492" s="7">
        <v>142726264</v>
      </c>
      <c r="C492" s="3">
        <v>5540246171933</v>
      </c>
      <c r="D492" s="6">
        <v>44718</v>
      </c>
      <c r="E492" s="8">
        <v>1114</v>
      </c>
      <c r="F492" s="23" t="str">
        <f>IFERROR(VLOOKUP(C492, 'Catégorie des articles'!$A:$D, 4, FALSE), "")</f>
        <v>CREMERIE</v>
      </c>
      <c r="G492">
        <f t="shared" si="7"/>
        <v>202206</v>
      </c>
    </row>
    <row r="493" spans="1:7" ht="12" customHeight="1">
      <c r="A493" s="9">
        <v>44714</v>
      </c>
      <c r="B493" s="10">
        <v>142726264</v>
      </c>
      <c r="C493" s="3">
        <v>5540246176294</v>
      </c>
      <c r="D493" s="9">
        <v>44718</v>
      </c>
      <c r="E493" s="11">
        <v>2228</v>
      </c>
      <c r="F493" s="23" t="str">
        <f>IFERROR(VLOOKUP(C493, 'Catégorie des articles'!$A:$D, 4, FALSE), "")</f>
        <v>CREMERIE</v>
      </c>
      <c r="G493">
        <f t="shared" si="7"/>
        <v>202206</v>
      </c>
    </row>
    <row r="494" spans="1:7" ht="12" customHeight="1">
      <c r="A494" s="6">
        <v>44714</v>
      </c>
      <c r="B494" s="7">
        <v>142726264</v>
      </c>
      <c r="C494" s="3">
        <v>5540246176295</v>
      </c>
      <c r="D494" s="6">
        <v>44718</v>
      </c>
      <c r="E494" s="8">
        <v>4455</v>
      </c>
      <c r="F494" s="23" t="str">
        <f>IFERROR(VLOOKUP(C494, 'Catégorie des articles'!$A:$D, 4, FALSE), "")</f>
        <v>CREMERIE</v>
      </c>
      <c r="G494">
        <f t="shared" si="7"/>
        <v>202206</v>
      </c>
    </row>
    <row r="495" spans="1:7" ht="12" customHeight="1">
      <c r="A495" s="9">
        <v>44714</v>
      </c>
      <c r="B495" s="10">
        <v>142726265</v>
      </c>
      <c r="C495" s="3">
        <v>5540246172539</v>
      </c>
      <c r="D495" s="9">
        <v>44718</v>
      </c>
      <c r="E495" s="11">
        <v>24</v>
      </c>
      <c r="F495" s="23" t="str">
        <f>IFERROR(VLOOKUP(C495, 'Catégorie des articles'!$A:$D, 4, FALSE), "")</f>
        <v>CREMERIE</v>
      </c>
      <c r="G495">
        <f t="shared" si="7"/>
        <v>202206</v>
      </c>
    </row>
    <row r="496" spans="1:7" ht="12" customHeight="1">
      <c r="A496" s="9">
        <v>44714</v>
      </c>
      <c r="B496" s="10">
        <v>142726265</v>
      </c>
      <c r="C496" s="3">
        <v>5540246176699</v>
      </c>
      <c r="D496" s="9">
        <v>44718</v>
      </c>
      <c r="E496" s="11">
        <v>3132</v>
      </c>
      <c r="F496" s="23" t="str">
        <f>IFERROR(VLOOKUP(C496, 'Catégorie des articles'!$A:$D, 4, FALSE), "")</f>
        <v>CREMERIE</v>
      </c>
      <c r="G496">
        <f t="shared" si="7"/>
        <v>202206</v>
      </c>
    </row>
    <row r="497" spans="1:7" ht="12" customHeight="1">
      <c r="A497" s="9">
        <v>44714</v>
      </c>
      <c r="B497" s="10">
        <v>142726276</v>
      </c>
      <c r="C497" s="3">
        <v>5540246183587</v>
      </c>
      <c r="D497" s="9">
        <v>44732</v>
      </c>
      <c r="E497" s="11">
        <v>1003</v>
      </c>
      <c r="F497" s="23" t="str">
        <f>IFERROR(VLOOKUP(C497, 'Catégorie des articles'!$A:$D, 4, FALSE), "")</f>
        <v>MIX LEGUMES</v>
      </c>
      <c r="G497">
        <f t="shared" si="7"/>
        <v>202206</v>
      </c>
    </row>
    <row r="498" spans="1:7" ht="12" customHeight="1">
      <c r="A498" s="6">
        <v>44714</v>
      </c>
      <c r="B498" s="7">
        <v>142726276</v>
      </c>
      <c r="C498" s="3">
        <v>5540246183589</v>
      </c>
      <c r="D498" s="6">
        <v>44732</v>
      </c>
      <c r="E498" s="8">
        <v>1949</v>
      </c>
      <c r="F498" s="23" t="str">
        <f>IFERROR(VLOOKUP(C498, 'Catégorie des articles'!$A:$D, 4, FALSE), "")</f>
        <v>MIX LEGUMES</v>
      </c>
      <c r="G498">
        <f t="shared" si="7"/>
        <v>202206</v>
      </c>
    </row>
    <row r="499" spans="1:7" ht="12" customHeight="1">
      <c r="A499" s="9">
        <v>44714</v>
      </c>
      <c r="B499" s="10">
        <v>142726276</v>
      </c>
      <c r="C499" s="3">
        <v>5540246186351</v>
      </c>
      <c r="D499" s="9">
        <v>44732</v>
      </c>
      <c r="E499" s="11">
        <v>564</v>
      </c>
      <c r="F499" s="23" t="str">
        <f>IFERROR(VLOOKUP(C499, 'Catégorie des articles'!$A:$D, 4, FALSE), "")</f>
        <v>MIX LEGUMES</v>
      </c>
      <c r="G499">
        <f t="shared" si="7"/>
        <v>202206</v>
      </c>
    </row>
    <row r="500" spans="1:7" ht="12" customHeight="1">
      <c r="A500" s="6">
        <v>44714</v>
      </c>
      <c r="B500" s="7">
        <v>142726276</v>
      </c>
      <c r="C500" s="3">
        <v>5540246186352</v>
      </c>
      <c r="D500" s="6">
        <v>44732</v>
      </c>
      <c r="E500" s="8">
        <v>1880</v>
      </c>
      <c r="F500" s="23" t="str">
        <f>IFERROR(VLOOKUP(C500, 'Catégorie des articles'!$A:$D, 4, FALSE), "")</f>
        <v>MIX LEGUMES</v>
      </c>
      <c r="G500">
        <f t="shared" si="7"/>
        <v>202206</v>
      </c>
    </row>
    <row r="501" spans="1:7" ht="12" customHeight="1">
      <c r="A501" s="9">
        <v>44714</v>
      </c>
      <c r="B501" s="10">
        <v>142726276</v>
      </c>
      <c r="C501" s="3">
        <v>5540246191718</v>
      </c>
      <c r="D501" s="9">
        <v>44732</v>
      </c>
      <c r="E501" s="11">
        <v>2339</v>
      </c>
      <c r="F501" s="23" t="str">
        <f>IFERROR(VLOOKUP(C501, 'Catégorie des articles'!$A:$D, 4, FALSE), "")</f>
        <v>MIX LEGUMES</v>
      </c>
      <c r="G501">
        <f t="shared" si="7"/>
        <v>202206</v>
      </c>
    </row>
    <row r="502" spans="1:7" ht="12" customHeight="1">
      <c r="A502" s="6">
        <v>44714</v>
      </c>
      <c r="B502" s="7">
        <v>142726278</v>
      </c>
      <c r="C502" s="3">
        <v>5540246183558</v>
      </c>
      <c r="D502" s="6">
        <v>44733</v>
      </c>
      <c r="E502" s="8">
        <v>3898</v>
      </c>
      <c r="F502" s="23" t="str">
        <f>IFERROR(VLOOKUP(C502, 'Catégorie des articles'!$A:$D, 4, FALSE), "")</f>
        <v>MIX LEGUMES</v>
      </c>
      <c r="G502">
        <f t="shared" si="7"/>
        <v>202206</v>
      </c>
    </row>
    <row r="503" spans="1:7" ht="12" customHeight="1">
      <c r="A503" s="9">
        <v>44714</v>
      </c>
      <c r="B503" s="10">
        <v>142726278</v>
      </c>
      <c r="C503" s="3">
        <v>5540246183560</v>
      </c>
      <c r="D503" s="9">
        <v>44733</v>
      </c>
      <c r="E503" s="11">
        <v>223</v>
      </c>
      <c r="F503" s="23" t="str">
        <f>IFERROR(VLOOKUP(C503, 'Catégorie des articles'!$A:$D, 4, FALSE), "")</f>
        <v>MIX LEGUMES</v>
      </c>
      <c r="G503">
        <f t="shared" si="7"/>
        <v>202206</v>
      </c>
    </row>
    <row r="504" spans="1:7" ht="12" customHeight="1">
      <c r="A504" s="6">
        <v>44714</v>
      </c>
      <c r="B504" s="7">
        <v>142726278</v>
      </c>
      <c r="C504" s="3">
        <v>5540246192209</v>
      </c>
      <c r="D504" s="6">
        <v>44733</v>
      </c>
      <c r="E504" s="8">
        <v>1114</v>
      </c>
      <c r="F504" s="23" t="str">
        <f>IFERROR(VLOOKUP(C504, 'Catégorie des articles'!$A:$D, 4, FALSE), "")</f>
        <v>MIX LEGUMES</v>
      </c>
      <c r="G504">
        <f t="shared" si="7"/>
        <v>202206</v>
      </c>
    </row>
    <row r="505" spans="1:7" ht="12" customHeight="1">
      <c r="A505" s="9">
        <v>44714</v>
      </c>
      <c r="B505" s="10">
        <v>142726278</v>
      </c>
      <c r="C505" s="3">
        <v>5540246192462</v>
      </c>
      <c r="D505" s="9">
        <v>44733</v>
      </c>
      <c r="E505" s="11">
        <v>1114</v>
      </c>
      <c r="F505" s="23" t="str">
        <f>IFERROR(VLOOKUP(C505, 'Catégorie des articles'!$A:$D, 4, FALSE), "")</f>
        <v>MIX LEGUMES</v>
      </c>
      <c r="G505">
        <f t="shared" si="7"/>
        <v>202206</v>
      </c>
    </row>
    <row r="506" spans="1:7" ht="12" customHeight="1">
      <c r="A506" s="9">
        <v>44714</v>
      </c>
      <c r="B506" s="10">
        <v>142726281</v>
      </c>
      <c r="C506" s="3">
        <v>5540246183130</v>
      </c>
      <c r="D506" s="9">
        <v>44726</v>
      </c>
      <c r="E506" s="11">
        <v>2819</v>
      </c>
      <c r="F506" s="23" t="str">
        <f>IFERROR(VLOOKUP(C506, 'Catégorie des articles'!$A:$D, 4, FALSE), "")</f>
        <v>MIX LEGUMES</v>
      </c>
      <c r="G506">
        <f t="shared" si="7"/>
        <v>202206</v>
      </c>
    </row>
    <row r="507" spans="1:7" ht="12" customHeight="1">
      <c r="A507" s="6">
        <v>44714</v>
      </c>
      <c r="B507" s="7">
        <v>142726281</v>
      </c>
      <c r="C507" s="3">
        <v>5540246183455</v>
      </c>
      <c r="D507" s="6">
        <v>44726</v>
      </c>
      <c r="E507" s="8">
        <v>1044</v>
      </c>
      <c r="F507" s="23" t="str">
        <f>IFERROR(VLOOKUP(C507, 'Catégorie des articles'!$A:$D, 4, FALSE), "")</f>
        <v>MIX LEGUMES</v>
      </c>
      <c r="G507">
        <f t="shared" si="7"/>
        <v>202206</v>
      </c>
    </row>
    <row r="508" spans="1:7" ht="12" customHeight="1">
      <c r="A508" s="9">
        <v>44714</v>
      </c>
      <c r="B508" s="10">
        <v>142726281</v>
      </c>
      <c r="C508" s="3">
        <v>5540246183538</v>
      </c>
      <c r="D508" s="9">
        <v>44726</v>
      </c>
      <c r="E508" s="11">
        <v>919</v>
      </c>
      <c r="F508" s="23" t="str">
        <f>IFERROR(VLOOKUP(C508, 'Catégorie des articles'!$A:$D, 4, FALSE), "")</f>
        <v>MIX LEGUMES</v>
      </c>
      <c r="G508">
        <f t="shared" si="7"/>
        <v>202206</v>
      </c>
    </row>
    <row r="509" spans="1:7" ht="12" customHeight="1">
      <c r="A509" s="6">
        <v>44714</v>
      </c>
      <c r="B509" s="7">
        <v>142726281</v>
      </c>
      <c r="C509" s="3">
        <v>5540246192571</v>
      </c>
      <c r="D509" s="6">
        <v>44726</v>
      </c>
      <c r="E509" s="8">
        <v>669</v>
      </c>
      <c r="F509" s="23" t="str">
        <f>IFERROR(VLOOKUP(C509, 'Catégorie des articles'!$A:$D, 4, FALSE), "")</f>
        <v>MIX LEGUMES</v>
      </c>
      <c r="G509">
        <f t="shared" si="7"/>
        <v>202206</v>
      </c>
    </row>
    <row r="510" spans="1:7" ht="12" customHeight="1">
      <c r="A510" s="6">
        <v>44717</v>
      </c>
      <c r="B510" s="7">
        <v>142726298</v>
      </c>
      <c r="C510" s="3">
        <v>5540246172978</v>
      </c>
      <c r="D510" s="6">
        <v>44719</v>
      </c>
      <c r="E510" s="8">
        <v>418</v>
      </c>
      <c r="F510" s="23" t="str">
        <f>IFERROR(VLOOKUP(C510, 'Catégorie des articles'!$A:$D, 4, FALSE), "")</f>
        <v>CREMERIE</v>
      </c>
      <c r="G510">
        <f t="shared" si="7"/>
        <v>202206</v>
      </c>
    </row>
    <row r="511" spans="1:7" ht="12" customHeight="1">
      <c r="A511" s="9">
        <v>44717</v>
      </c>
      <c r="B511" s="10">
        <v>142726298</v>
      </c>
      <c r="C511" s="3">
        <v>5540246174174</v>
      </c>
      <c r="D511" s="9">
        <v>44719</v>
      </c>
      <c r="E511" s="11">
        <v>464</v>
      </c>
      <c r="F511" s="23" t="str">
        <f>IFERROR(VLOOKUP(C511, 'Catégorie des articles'!$A:$D, 4, FALSE), "")</f>
        <v>CREMERIE</v>
      </c>
      <c r="G511">
        <f t="shared" si="7"/>
        <v>202206</v>
      </c>
    </row>
    <row r="512" spans="1:7" ht="12" customHeight="1">
      <c r="A512" s="6">
        <v>44717</v>
      </c>
      <c r="B512" s="7">
        <v>142726299</v>
      </c>
      <c r="C512" s="3">
        <v>5540246171933</v>
      </c>
      <c r="D512" s="6">
        <v>44719</v>
      </c>
      <c r="E512" s="8">
        <v>836</v>
      </c>
      <c r="F512" s="23" t="str">
        <f>IFERROR(VLOOKUP(C512, 'Catégorie des articles'!$A:$D, 4, FALSE), "")</f>
        <v>CREMERIE</v>
      </c>
      <c r="G512">
        <f t="shared" si="7"/>
        <v>202206</v>
      </c>
    </row>
    <row r="513" spans="1:7" ht="12" customHeight="1">
      <c r="A513" s="9">
        <v>44717</v>
      </c>
      <c r="B513" s="10">
        <v>142726299</v>
      </c>
      <c r="C513" s="3">
        <v>5540246176294</v>
      </c>
      <c r="D513" s="9">
        <v>44719</v>
      </c>
      <c r="E513" s="11">
        <v>2970</v>
      </c>
      <c r="F513" s="23" t="str">
        <f>IFERROR(VLOOKUP(C513, 'Catégorie des articles'!$A:$D, 4, FALSE), "")</f>
        <v>CREMERIE</v>
      </c>
      <c r="G513">
        <f t="shared" si="7"/>
        <v>202206</v>
      </c>
    </row>
    <row r="514" spans="1:7" ht="12" customHeight="1">
      <c r="A514" s="6">
        <v>44717</v>
      </c>
      <c r="B514" s="7">
        <v>142726299</v>
      </c>
      <c r="C514" s="3">
        <v>5540246176295</v>
      </c>
      <c r="D514" s="6">
        <v>44719</v>
      </c>
      <c r="E514" s="8">
        <v>7424</v>
      </c>
      <c r="F514" s="23" t="str">
        <f>IFERROR(VLOOKUP(C514, 'Catégorie des articles'!$A:$D, 4, FALSE), "")</f>
        <v>CREMERIE</v>
      </c>
      <c r="G514">
        <f t="shared" si="7"/>
        <v>202206</v>
      </c>
    </row>
    <row r="515" spans="1:7" ht="12" customHeight="1">
      <c r="A515" s="9">
        <v>44717</v>
      </c>
      <c r="B515" s="10">
        <v>142726299</v>
      </c>
      <c r="C515" s="3">
        <v>5540246187987</v>
      </c>
      <c r="D515" s="9">
        <v>44719</v>
      </c>
      <c r="E515" s="11">
        <v>4455</v>
      </c>
      <c r="F515" s="23" t="str">
        <f>IFERROR(VLOOKUP(C515, 'Catégorie des articles'!$A:$D, 4, FALSE), "")</f>
        <v>CREMERIE</v>
      </c>
      <c r="G515">
        <f t="shared" ref="G515:G578" si="8">YEAR(D515)*100 + MONTH(D515)</f>
        <v>202206</v>
      </c>
    </row>
    <row r="516" spans="1:7" ht="12" customHeight="1">
      <c r="A516" s="6">
        <v>44717</v>
      </c>
      <c r="B516" s="7">
        <v>142726299</v>
      </c>
      <c r="C516" s="3">
        <v>5540246188200</v>
      </c>
      <c r="D516" s="6">
        <v>44719</v>
      </c>
      <c r="E516" s="8">
        <v>743</v>
      </c>
      <c r="F516" s="23" t="str">
        <f>IFERROR(VLOOKUP(C516, 'Catégorie des articles'!$A:$D, 4, FALSE), "")</f>
        <v>CREMERIE</v>
      </c>
      <c r="G516">
        <f t="shared" si="8"/>
        <v>202206</v>
      </c>
    </row>
    <row r="517" spans="1:7" ht="12" customHeight="1">
      <c r="A517" s="9">
        <v>44717</v>
      </c>
      <c r="B517" s="10">
        <v>142726301</v>
      </c>
      <c r="C517" s="3">
        <v>5540246185429</v>
      </c>
      <c r="D517" s="9">
        <v>44720</v>
      </c>
      <c r="E517" s="11">
        <v>140</v>
      </c>
      <c r="F517" s="23" t="str">
        <f>IFERROR(VLOOKUP(C517, 'Catégorie des articles'!$A:$D, 4, FALSE), "")</f>
        <v>CREMERIE</v>
      </c>
      <c r="G517">
        <f t="shared" si="8"/>
        <v>202206</v>
      </c>
    </row>
    <row r="518" spans="1:7" ht="12" customHeight="1">
      <c r="A518" s="6">
        <v>44717</v>
      </c>
      <c r="B518" s="7">
        <v>142726301</v>
      </c>
      <c r="C518" s="3">
        <v>5540246186325</v>
      </c>
      <c r="D518" s="6">
        <v>44720</v>
      </c>
      <c r="E518" s="8">
        <v>279</v>
      </c>
      <c r="F518" s="23" t="str">
        <f>IFERROR(VLOOKUP(C518, 'Catégorie des articles'!$A:$D, 4, FALSE), "")</f>
        <v>CREMERIE</v>
      </c>
      <c r="G518">
        <f t="shared" si="8"/>
        <v>202206</v>
      </c>
    </row>
    <row r="519" spans="1:7" ht="12" customHeight="1">
      <c r="A519" s="9">
        <v>44717</v>
      </c>
      <c r="B519" s="10">
        <v>142726302</v>
      </c>
      <c r="C519" s="3">
        <v>5540246173472</v>
      </c>
      <c r="D519" s="9">
        <v>44726</v>
      </c>
      <c r="E519" s="11">
        <v>557</v>
      </c>
      <c r="F519" s="23" t="str">
        <f>IFERROR(VLOOKUP(C519, 'Catégorie des articles'!$A:$D, 4, FALSE), "")</f>
        <v>CREMERIE</v>
      </c>
      <c r="G519">
        <f t="shared" si="8"/>
        <v>202206</v>
      </c>
    </row>
    <row r="520" spans="1:7" ht="12" customHeight="1">
      <c r="A520" s="6">
        <v>44717</v>
      </c>
      <c r="B520" s="7">
        <v>142726302</v>
      </c>
      <c r="C520" s="3">
        <v>5540246175049</v>
      </c>
      <c r="D520" s="6">
        <v>44726</v>
      </c>
      <c r="E520" s="8">
        <v>557</v>
      </c>
      <c r="F520" s="23" t="str">
        <f>IFERROR(VLOOKUP(C520, 'Catégorie des articles'!$A:$D, 4, FALSE), "")</f>
        <v>CREMERIE</v>
      </c>
      <c r="G520">
        <f t="shared" si="8"/>
        <v>202206</v>
      </c>
    </row>
    <row r="521" spans="1:7" ht="12" customHeight="1">
      <c r="A521" s="9">
        <v>44717</v>
      </c>
      <c r="B521" s="10">
        <v>142726302</v>
      </c>
      <c r="C521" s="3">
        <v>5540246175050</v>
      </c>
      <c r="D521" s="9">
        <v>44726</v>
      </c>
      <c r="E521" s="11">
        <v>557</v>
      </c>
      <c r="F521" s="23" t="str">
        <f>IFERROR(VLOOKUP(C521, 'Catégorie des articles'!$A:$D, 4, FALSE), "")</f>
        <v>CREMERIE</v>
      </c>
      <c r="G521">
        <f t="shared" si="8"/>
        <v>202206</v>
      </c>
    </row>
    <row r="522" spans="1:7" ht="12" customHeight="1">
      <c r="A522" s="9">
        <v>44718</v>
      </c>
      <c r="B522" s="10">
        <v>142726322</v>
      </c>
      <c r="C522" s="3">
        <v>5540246172978</v>
      </c>
      <c r="D522" s="9">
        <v>44720</v>
      </c>
      <c r="E522" s="11">
        <v>1253</v>
      </c>
      <c r="F522" s="23" t="str">
        <f>IFERROR(VLOOKUP(C522, 'Catégorie des articles'!$A:$D, 4, FALSE), "")</f>
        <v>CREMERIE</v>
      </c>
      <c r="G522">
        <f t="shared" si="8"/>
        <v>202206</v>
      </c>
    </row>
    <row r="523" spans="1:7" ht="12" customHeight="1">
      <c r="A523" s="9">
        <v>44718</v>
      </c>
      <c r="B523" s="10">
        <v>142726322</v>
      </c>
      <c r="C523" s="3">
        <v>5540246188175</v>
      </c>
      <c r="D523" s="9">
        <v>44720</v>
      </c>
      <c r="E523" s="11">
        <v>232</v>
      </c>
      <c r="F523" s="23" t="str">
        <f>IFERROR(VLOOKUP(C523, 'Catégorie des articles'!$A:$D, 4, FALSE), "")</f>
        <v>CREMERIE</v>
      </c>
      <c r="G523">
        <f t="shared" si="8"/>
        <v>202206</v>
      </c>
    </row>
    <row r="524" spans="1:7" ht="12" customHeight="1">
      <c r="A524" s="6">
        <v>44718</v>
      </c>
      <c r="B524" s="7">
        <v>142726323</v>
      </c>
      <c r="C524" s="3">
        <v>5540246176294</v>
      </c>
      <c r="D524" s="6">
        <v>44720</v>
      </c>
      <c r="E524" s="8">
        <v>1485</v>
      </c>
      <c r="F524" s="23" t="str">
        <f>IFERROR(VLOOKUP(C524, 'Catégorie des articles'!$A:$D, 4, FALSE), "")</f>
        <v>CREMERIE</v>
      </c>
      <c r="G524">
        <f t="shared" si="8"/>
        <v>202206</v>
      </c>
    </row>
    <row r="525" spans="1:7" ht="12" customHeight="1">
      <c r="A525" s="9">
        <v>44718</v>
      </c>
      <c r="B525" s="10">
        <v>142726323</v>
      </c>
      <c r="C525" s="3">
        <v>5540246176295</v>
      </c>
      <c r="D525" s="9">
        <v>44720</v>
      </c>
      <c r="E525" s="11">
        <v>5940</v>
      </c>
      <c r="F525" s="23" t="str">
        <f>IFERROR(VLOOKUP(C525, 'Catégorie des articles'!$A:$D, 4, FALSE), "")</f>
        <v>CREMERIE</v>
      </c>
      <c r="G525">
        <f t="shared" si="8"/>
        <v>202206</v>
      </c>
    </row>
    <row r="526" spans="1:7" ht="12" customHeight="1">
      <c r="A526" s="6">
        <v>44718</v>
      </c>
      <c r="B526" s="7">
        <v>142726323</v>
      </c>
      <c r="C526" s="3">
        <v>5540246187987</v>
      </c>
      <c r="D526" s="6">
        <v>44720</v>
      </c>
      <c r="E526" s="8">
        <v>2228</v>
      </c>
      <c r="F526" s="23" t="str">
        <f>IFERROR(VLOOKUP(C526, 'Catégorie des articles'!$A:$D, 4, FALSE), "")</f>
        <v>CREMERIE</v>
      </c>
      <c r="G526">
        <f t="shared" si="8"/>
        <v>202206</v>
      </c>
    </row>
    <row r="527" spans="1:7" ht="12" customHeight="1">
      <c r="A527" s="9">
        <v>44718</v>
      </c>
      <c r="B527" s="10">
        <v>142726323</v>
      </c>
      <c r="C527" s="3">
        <v>5540246188200</v>
      </c>
      <c r="D527" s="9">
        <v>44720</v>
      </c>
      <c r="E527" s="11">
        <v>743</v>
      </c>
      <c r="F527" s="23" t="str">
        <f>IFERROR(VLOOKUP(C527, 'Catégorie des articles'!$A:$D, 4, FALSE), "")</f>
        <v>CREMERIE</v>
      </c>
      <c r="G527">
        <f t="shared" si="8"/>
        <v>202206</v>
      </c>
    </row>
    <row r="528" spans="1:7" ht="12" customHeight="1">
      <c r="A528" s="6">
        <v>44718</v>
      </c>
      <c r="B528" s="7">
        <v>142726329</v>
      </c>
      <c r="C528" s="3">
        <v>5540246177132</v>
      </c>
      <c r="D528" s="6">
        <v>44721</v>
      </c>
      <c r="E528" s="8">
        <v>15312</v>
      </c>
      <c r="F528" s="23" t="str">
        <f>IFERROR(VLOOKUP(C528, 'Catégorie des articles'!$A:$D, 4, FALSE), "")</f>
        <v>MIX LEGUMES</v>
      </c>
      <c r="G528">
        <f t="shared" si="8"/>
        <v>202206</v>
      </c>
    </row>
    <row r="529" spans="1:7" ht="12" customHeight="1">
      <c r="A529" s="9">
        <v>44718</v>
      </c>
      <c r="B529" s="10">
        <v>142726330</v>
      </c>
      <c r="C529" s="3">
        <v>5540246173906</v>
      </c>
      <c r="D529" s="9">
        <v>44732</v>
      </c>
      <c r="E529" s="11">
        <v>2450</v>
      </c>
      <c r="F529" s="23" t="str">
        <f>IFERROR(VLOOKUP(C529, 'Catégorie des articles'!$A:$D, 4, FALSE), "")</f>
        <v>VOLAILLE</v>
      </c>
      <c r="G529">
        <f t="shared" si="8"/>
        <v>202206</v>
      </c>
    </row>
    <row r="530" spans="1:7" ht="12" customHeight="1">
      <c r="A530" s="6">
        <v>44718</v>
      </c>
      <c r="B530" s="7">
        <v>142726330</v>
      </c>
      <c r="C530" s="3">
        <v>5540246181016</v>
      </c>
      <c r="D530" s="6">
        <v>44732</v>
      </c>
      <c r="E530" s="8">
        <v>8018</v>
      </c>
      <c r="F530" s="23" t="str">
        <f>IFERROR(VLOOKUP(C530, 'Catégorie des articles'!$A:$D, 4, FALSE), "")</f>
        <v>VOLAILLE</v>
      </c>
      <c r="G530">
        <f t="shared" si="8"/>
        <v>202206</v>
      </c>
    </row>
    <row r="531" spans="1:7" ht="12" customHeight="1">
      <c r="A531" s="6">
        <v>44718</v>
      </c>
      <c r="B531" s="7">
        <v>142726334</v>
      </c>
      <c r="C531" s="3">
        <v>5540246183541</v>
      </c>
      <c r="D531" s="6">
        <v>44726</v>
      </c>
      <c r="E531" s="8">
        <v>2088</v>
      </c>
      <c r="F531" s="23" t="str">
        <f>IFERROR(VLOOKUP(C531, 'Catégorie des articles'!$A:$D, 4, FALSE), "")</f>
        <v>MIX LEGUMES</v>
      </c>
      <c r="G531">
        <f t="shared" si="8"/>
        <v>202206</v>
      </c>
    </row>
    <row r="532" spans="1:7" ht="12" customHeight="1">
      <c r="A532" s="9">
        <v>44719</v>
      </c>
      <c r="B532" s="10">
        <v>142726344</v>
      </c>
      <c r="C532" s="3">
        <v>5540246176699</v>
      </c>
      <c r="D532" s="9">
        <v>44720</v>
      </c>
      <c r="E532" s="11">
        <v>4176</v>
      </c>
      <c r="F532" s="23" t="str">
        <f>IFERROR(VLOOKUP(C532, 'Catégorie des articles'!$A:$D, 4, FALSE), "")</f>
        <v>CREMERIE</v>
      </c>
      <c r="G532">
        <f t="shared" si="8"/>
        <v>202206</v>
      </c>
    </row>
    <row r="533" spans="1:7" ht="12" customHeight="1">
      <c r="A533" s="9">
        <v>44719</v>
      </c>
      <c r="B533" s="10">
        <v>142726346</v>
      </c>
      <c r="C533" s="3">
        <v>5540246171933</v>
      </c>
      <c r="D533" s="9">
        <v>44721</v>
      </c>
      <c r="E533" s="11">
        <v>1114</v>
      </c>
      <c r="F533" s="23" t="str">
        <f>IFERROR(VLOOKUP(C533, 'Catégorie des articles'!$A:$D, 4, FALSE), "")</f>
        <v>CREMERIE</v>
      </c>
      <c r="G533">
        <f t="shared" si="8"/>
        <v>202206</v>
      </c>
    </row>
    <row r="534" spans="1:7" ht="12" customHeight="1">
      <c r="A534" s="6">
        <v>44719</v>
      </c>
      <c r="B534" s="7">
        <v>142726346</v>
      </c>
      <c r="C534" s="3">
        <v>5540246176294</v>
      </c>
      <c r="D534" s="6">
        <v>44721</v>
      </c>
      <c r="E534" s="8">
        <v>4455</v>
      </c>
      <c r="F534" s="23" t="str">
        <f>IFERROR(VLOOKUP(C534, 'Catégorie des articles'!$A:$D, 4, FALSE), "")</f>
        <v>CREMERIE</v>
      </c>
      <c r="G534">
        <f t="shared" si="8"/>
        <v>202206</v>
      </c>
    </row>
    <row r="535" spans="1:7" ht="12" customHeight="1">
      <c r="A535" s="9">
        <v>44719</v>
      </c>
      <c r="B535" s="10">
        <v>142726346</v>
      </c>
      <c r="C535" s="3">
        <v>5540246176295</v>
      </c>
      <c r="D535" s="9">
        <v>44721</v>
      </c>
      <c r="E535" s="11">
        <v>14848</v>
      </c>
      <c r="F535" s="23" t="str">
        <f>IFERROR(VLOOKUP(C535, 'Catégorie des articles'!$A:$D, 4, FALSE), "")</f>
        <v>CREMERIE</v>
      </c>
      <c r="G535">
        <f t="shared" si="8"/>
        <v>202206</v>
      </c>
    </row>
    <row r="536" spans="1:7" ht="12" customHeight="1">
      <c r="A536" s="9">
        <v>44719</v>
      </c>
      <c r="B536" s="10">
        <v>142726346</v>
      </c>
      <c r="C536" s="3">
        <v>5540246187987</v>
      </c>
      <c r="D536" s="9">
        <v>44721</v>
      </c>
      <c r="E536" s="11">
        <v>6682</v>
      </c>
      <c r="F536" s="23" t="str">
        <f>IFERROR(VLOOKUP(C536, 'Catégorie des articles'!$A:$D, 4, FALSE), "")</f>
        <v>CREMERIE</v>
      </c>
      <c r="G536">
        <f t="shared" si="8"/>
        <v>202206</v>
      </c>
    </row>
    <row r="537" spans="1:7" ht="12" customHeight="1">
      <c r="A537" s="6">
        <v>44719</v>
      </c>
      <c r="B537" s="7">
        <v>142726346</v>
      </c>
      <c r="C537" s="3">
        <v>5540246188200</v>
      </c>
      <c r="D537" s="6">
        <v>44721</v>
      </c>
      <c r="E537" s="8">
        <v>2228</v>
      </c>
      <c r="F537" s="23" t="str">
        <f>IFERROR(VLOOKUP(C537, 'Catégorie des articles'!$A:$D, 4, FALSE), "")</f>
        <v>CREMERIE</v>
      </c>
      <c r="G537">
        <f t="shared" si="8"/>
        <v>202206</v>
      </c>
    </row>
    <row r="538" spans="1:7" ht="12" customHeight="1">
      <c r="A538" s="9">
        <v>44719</v>
      </c>
      <c r="B538" s="10">
        <v>142726347</v>
      </c>
      <c r="C538" s="3">
        <v>5540246172978</v>
      </c>
      <c r="D538" s="9">
        <v>44721</v>
      </c>
      <c r="E538" s="11">
        <v>1671</v>
      </c>
      <c r="F538" s="23" t="str">
        <f>IFERROR(VLOOKUP(C538, 'Catégorie des articles'!$A:$D, 4, FALSE), "")</f>
        <v>CREMERIE</v>
      </c>
      <c r="G538">
        <f t="shared" si="8"/>
        <v>202206</v>
      </c>
    </row>
    <row r="539" spans="1:7" ht="12" customHeight="1">
      <c r="A539" s="6">
        <v>44719</v>
      </c>
      <c r="B539" s="7">
        <v>142726347</v>
      </c>
      <c r="C539" s="3">
        <v>5540246174174</v>
      </c>
      <c r="D539" s="6">
        <v>44721</v>
      </c>
      <c r="E539" s="8">
        <v>464</v>
      </c>
      <c r="F539" s="23" t="str">
        <f>IFERROR(VLOOKUP(C539, 'Catégorie des articles'!$A:$D, 4, FALSE), "")</f>
        <v>CREMERIE</v>
      </c>
      <c r="G539">
        <f t="shared" si="8"/>
        <v>202206</v>
      </c>
    </row>
    <row r="540" spans="1:7" ht="12" customHeight="1">
      <c r="A540" s="6">
        <v>44719</v>
      </c>
      <c r="B540" s="7">
        <v>142726347</v>
      </c>
      <c r="C540" s="3">
        <v>5540246176699</v>
      </c>
      <c r="D540" s="6">
        <v>44721</v>
      </c>
      <c r="E540" s="8">
        <v>4176</v>
      </c>
      <c r="F540" s="23" t="str">
        <f>IFERROR(VLOOKUP(C540, 'Catégorie des articles'!$A:$D, 4, FALSE), "")</f>
        <v>CREMERIE</v>
      </c>
      <c r="G540">
        <f t="shared" si="8"/>
        <v>202206</v>
      </c>
    </row>
    <row r="541" spans="1:7" ht="12" customHeight="1">
      <c r="A541" s="6">
        <v>44719</v>
      </c>
      <c r="B541" s="7">
        <v>142726363</v>
      </c>
      <c r="C541" s="3">
        <v>5540246183547</v>
      </c>
      <c r="D541" s="6">
        <v>44720</v>
      </c>
      <c r="E541" s="8">
        <v>2228</v>
      </c>
      <c r="F541" s="23" t="str">
        <f>IFERROR(VLOOKUP(C541, 'Catégorie des articles'!$A:$D, 4, FALSE), "")</f>
        <v>VOLAILLE</v>
      </c>
      <c r="G541">
        <f t="shared" si="8"/>
        <v>202206</v>
      </c>
    </row>
    <row r="542" spans="1:7" ht="12" customHeight="1">
      <c r="A542" s="9">
        <v>44719</v>
      </c>
      <c r="B542" s="10">
        <v>142726364</v>
      </c>
      <c r="C542" s="3">
        <v>5540246173472</v>
      </c>
      <c r="D542" s="9">
        <v>44731</v>
      </c>
      <c r="E542" s="11">
        <v>279</v>
      </c>
      <c r="F542" s="23" t="str">
        <f>IFERROR(VLOOKUP(C542, 'Catégorie des articles'!$A:$D, 4, FALSE), "")</f>
        <v>CREMERIE</v>
      </c>
      <c r="G542">
        <f t="shared" si="8"/>
        <v>202206</v>
      </c>
    </row>
    <row r="543" spans="1:7" ht="12" customHeight="1">
      <c r="A543" s="6">
        <v>44719</v>
      </c>
      <c r="B543" s="7">
        <v>142726364</v>
      </c>
      <c r="C543" s="3">
        <v>5540246174095</v>
      </c>
      <c r="D543" s="6">
        <v>44731</v>
      </c>
      <c r="E543" s="8">
        <v>70</v>
      </c>
      <c r="F543" s="23" t="str">
        <f>IFERROR(VLOOKUP(C543, 'Catégorie des articles'!$A:$D, 4, FALSE), "")</f>
        <v>CREMERIE</v>
      </c>
      <c r="G543">
        <f t="shared" si="8"/>
        <v>202206</v>
      </c>
    </row>
    <row r="544" spans="1:7" ht="12" customHeight="1">
      <c r="A544" s="9">
        <v>44719</v>
      </c>
      <c r="B544" s="10">
        <v>142726364</v>
      </c>
      <c r="C544" s="3">
        <v>5540246175047</v>
      </c>
      <c r="D544" s="9">
        <v>44731</v>
      </c>
      <c r="E544" s="11">
        <v>140</v>
      </c>
      <c r="F544" s="23" t="str">
        <f>IFERROR(VLOOKUP(C544, 'Catégorie des articles'!$A:$D, 4, FALSE), "")</f>
        <v>CREMERIE</v>
      </c>
      <c r="G544">
        <f t="shared" si="8"/>
        <v>202206</v>
      </c>
    </row>
    <row r="545" spans="1:7" ht="12" customHeight="1">
      <c r="A545" s="6">
        <v>44719</v>
      </c>
      <c r="B545" s="7">
        <v>142726364</v>
      </c>
      <c r="C545" s="3">
        <v>5540246175049</v>
      </c>
      <c r="D545" s="6">
        <v>44731</v>
      </c>
      <c r="E545" s="8">
        <v>279</v>
      </c>
      <c r="F545" s="23" t="str">
        <f>IFERROR(VLOOKUP(C545, 'Catégorie des articles'!$A:$D, 4, FALSE), "")</f>
        <v>CREMERIE</v>
      </c>
      <c r="G545">
        <f t="shared" si="8"/>
        <v>202206</v>
      </c>
    </row>
    <row r="546" spans="1:7" ht="12" customHeight="1">
      <c r="A546" s="9">
        <v>44719</v>
      </c>
      <c r="B546" s="10">
        <v>142726364</v>
      </c>
      <c r="C546" s="3">
        <v>5540246175050</v>
      </c>
      <c r="D546" s="9">
        <v>44731</v>
      </c>
      <c r="E546" s="11">
        <v>836</v>
      </c>
      <c r="F546" s="23" t="str">
        <f>IFERROR(VLOOKUP(C546, 'Catégorie des articles'!$A:$D, 4, FALSE), "")</f>
        <v>CREMERIE</v>
      </c>
      <c r="G546">
        <f t="shared" si="8"/>
        <v>202206</v>
      </c>
    </row>
    <row r="547" spans="1:7" ht="12" customHeight="1">
      <c r="A547" s="6">
        <v>44719</v>
      </c>
      <c r="B547" s="7">
        <v>142726368</v>
      </c>
      <c r="C547" s="3">
        <v>5540246171759</v>
      </c>
      <c r="D547" s="6">
        <v>44725</v>
      </c>
      <c r="E547" s="8">
        <v>2506</v>
      </c>
      <c r="F547" s="23" t="str">
        <f>IFERROR(VLOOKUP(C547, 'Catégorie des articles'!$A:$D, 4, FALSE), "")</f>
        <v>MIX LEGUMES</v>
      </c>
      <c r="G547">
        <f t="shared" si="8"/>
        <v>202206</v>
      </c>
    </row>
    <row r="548" spans="1:7" ht="12" customHeight="1">
      <c r="A548" s="9">
        <v>44719</v>
      </c>
      <c r="B548" s="10">
        <v>142726368</v>
      </c>
      <c r="C548" s="3">
        <v>5540246177132</v>
      </c>
      <c r="D548" s="9">
        <v>44725</v>
      </c>
      <c r="E548" s="11">
        <v>10208</v>
      </c>
      <c r="F548" s="23" t="str">
        <f>IFERROR(VLOOKUP(C548, 'Catégorie des articles'!$A:$D, 4, FALSE), "")</f>
        <v>MIX LEGUMES</v>
      </c>
      <c r="G548">
        <f t="shared" si="8"/>
        <v>202206</v>
      </c>
    </row>
    <row r="549" spans="1:7" ht="12" customHeight="1">
      <c r="A549" s="6">
        <v>44719</v>
      </c>
      <c r="B549" s="7">
        <v>142726368</v>
      </c>
      <c r="C549" s="3">
        <v>5540246177133</v>
      </c>
      <c r="D549" s="6">
        <v>44725</v>
      </c>
      <c r="E549" s="8">
        <v>3341</v>
      </c>
      <c r="F549" s="23" t="str">
        <f>IFERROR(VLOOKUP(C549, 'Catégorie des articles'!$A:$D, 4, FALSE), "")</f>
        <v>MIX LEGUMES</v>
      </c>
      <c r="G549">
        <f t="shared" si="8"/>
        <v>202206</v>
      </c>
    </row>
    <row r="550" spans="1:7" ht="12" customHeight="1">
      <c r="A550" s="6">
        <v>44720</v>
      </c>
      <c r="B550" s="7">
        <v>142726370</v>
      </c>
      <c r="C550" s="3">
        <v>5540246171933</v>
      </c>
      <c r="D550" s="6">
        <v>44724</v>
      </c>
      <c r="E550" s="8">
        <v>1114</v>
      </c>
      <c r="F550" s="23" t="str">
        <f>IFERROR(VLOOKUP(C550, 'Catégorie des articles'!$A:$D, 4, FALSE), "")</f>
        <v>CREMERIE</v>
      </c>
      <c r="G550">
        <f t="shared" si="8"/>
        <v>202206</v>
      </c>
    </row>
    <row r="551" spans="1:7" ht="12" customHeight="1">
      <c r="A551" s="9">
        <v>44720</v>
      </c>
      <c r="B551" s="10">
        <v>142726370</v>
      </c>
      <c r="C551" s="3">
        <v>5540246176294</v>
      </c>
      <c r="D551" s="9">
        <v>44724</v>
      </c>
      <c r="E551" s="11">
        <v>1485</v>
      </c>
      <c r="F551" s="23" t="str">
        <f>IFERROR(VLOOKUP(C551, 'Catégorie des articles'!$A:$D, 4, FALSE), "")</f>
        <v>CREMERIE</v>
      </c>
      <c r="G551">
        <f t="shared" si="8"/>
        <v>202206</v>
      </c>
    </row>
    <row r="552" spans="1:7" ht="12" customHeight="1">
      <c r="A552" s="6">
        <v>44720</v>
      </c>
      <c r="B552" s="7">
        <v>142726370</v>
      </c>
      <c r="C552" s="3">
        <v>5540246176295</v>
      </c>
      <c r="D552" s="6">
        <v>44724</v>
      </c>
      <c r="E552" s="8">
        <v>11136</v>
      </c>
      <c r="F552" s="23" t="str">
        <f>IFERROR(VLOOKUP(C552, 'Catégorie des articles'!$A:$D, 4, FALSE), "")</f>
        <v>CREMERIE</v>
      </c>
      <c r="G552">
        <f t="shared" si="8"/>
        <v>202206</v>
      </c>
    </row>
    <row r="553" spans="1:7" ht="12" customHeight="1">
      <c r="A553" s="9">
        <v>44720</v>
      </c>
      <c r="B553" s="10">
        <v>142726370</v>
      </c>
      <c r="C553" s="3">
        <v>5540246187987</v>
      </c>
      <c r="D553" s="9">
        <v>44724</v>
      </c>
      <c r="E553" s="11">
        <v>4455</v>
      </c>
      <c r="F553" s="23" t="str">
        <f>IFERROR(VLOOKUP(C553, 'Catégorie des articles'!$A:$D, 4, FALSE), "")</f>
        <v>CREMERIE</v>
      </c>
      <c r="G553">
        <f t="shared" si="8"/>
        <v>202206</v>
      </c>
    </row>
    <row r="554" spans="1:7" ht="12" customHeight="1">
      <c r="A554" s="6">
        <v>44720</v>
      </c>
      <c r="B554" s="7">
        <v>142726370</v>
      </c>
      <c r="C554" s="3">
        <v>5540246188200</v>
      </c>
      <c r="D554" s="6">
        <v>44724</v>
      </c>
      <c r="E554" s="8">
        <v>1485</v>
      </c>
      <c r="F554" s="23" t="str">
        <f>IFERROR(VLOOKUP(C554, 'Catégorie des articles'!$A:$D, 4, FALSE), "")</f>
        <v>CREMERIE</v>
      </c>
      <c r="G554">
        <f t="shared" si="8"/>
        <v>202206</v>
      </c>
    </row>
    <row r="555" spans="1:7" ht="12" customHeight="1">
      <c r="A555" s="9">
        <v>44720</v>
      </c>
      <c r="B555" s="10">
        <v>142726371</v>
      </c>
      <c r="C555" s="3">
        <v>5540246172539</v>
      </c>
      <c r="D555" s="9">
        <v>44724</v>
      </c>
      <c r="E555" s="11">
        <v>47</v>
      </c>
      <c r="F555" s="23" t="str">
        <f>IFERROR(VLOOKUP(C555, 'Catégorie des articles'!$A:$D, 4, FALSE), "")</f>
        <v>CREMERIE</v>
      </c>
      <c r="G555">
        <f t="shared" si="8"/>
        <v>202206</v>
      </c>
    </row>
    <row r="556" spans="1:7" ht="12" customHeight="1">
      <c r="A556" s="6">
        <v>44720</v>
      </c>
      <c r="B556" s="7">
        <v>142726371</v>
      </c>
      <c r="C556" s="3">
        <v>5540246172978</v>
      </c>
      <c r="D556" s="6">
        <v>44724</v>
      </c>
      <c r="E556" s="8">
        <v>2506</v>
      </c>
      <c r="F556" s="23" t="str">
        <f>IFERROR(VLOOKUP(C556, 'Catégorie des articles'!$A:$D, 4, FALSE), "")</f>
        <v>CREMERIE</v>
      </c>
      <c r="G556">
        <f t="shared" si="8"/>
        <v>202206</v>
      </c>
    </row>
    <row r="557" spans="1:7" ht="12" customHeight="1">
      <c r="A557" s="9">
        <v>44720</v>
      </c>
      <c r="B557" s="10">
        <v>142726371</v>
      </c>
      <c r="C557" s="3">
        <v>5540246176699</v>
      </c>
      <c r="D557" s="9">
        <v>44724</v>
      </c>
      <c r="E557" s="11">
        <v>2088</v>
      </c>
      <c r="F557" s="23" t="str">
        <f>IFERROR(VLOOKUP(C557, 'Catégorie des articles'!$A:$D, 4, FALSE), "")</f>
        <v>CREMERIE</v>
      </c>
      <c r="G557">
        <f t="shared" si="8"/>
        <v>202206</v>
      </c>
    </row>
    <row r="558" spans="1:7" ht="12" customHeight="1">
      <c r="A558" s="6">
        <v>44721</v>
      </c>
      <c r="B558" s="7">
        <v>142736392</v>
      </c>
      <c r="C558" s="3">
        <v>5540246176295</v>
      </c>
      <c r="D558" s="6">
        <v>44725</v>
      </c>
      <c r="E558" s="8">
        <v>4455</v>
      </c>
      <c r="F558" s="23" t="str">
        <f>IFERROR(VLOOKUP(C558, 'Catégorie des articles'!$A:$D, 4, FALSE), "")</f>
        <v>CREMERIE</v>
      </c>
      <c r="G558">
        <f t="shared" si="8"/>
        <v>202206</v>
      </c>
    </row>
    <row r="559" spans="1:7" ht="12" customHeight="1">
      <c r="A559" s="6">
        <v>44721</v>
      </c>
      <c r="B559" s="7">
        <v>142736392</v>
      </c>
      <c r="C559" s="3">
        <v>5540246187987</v>
      </c>
      <c r="D559" s="6">
        <v>44725</v>
      </c>
      <c r="E559" s="8">
        <v>2228</v>
      </c>
      <c r="F559" s="23" t="str">
        <f>IFERROR(VLOOKUP(C559, 'Catégorie des articles'!$A:$D, 4, FALSE), "")</f>
        <v>CREMERIE</v>
      </c>
      <c r="G559">
        <f t="shared" si="8"/>
        <v>202206</v>
      </c>
    </row>
    <row r="560" spans="1:7" ht="12" customHeight="1">
      <c r="A560" s="9">
        <v>44721</v>
      </c>
      <c r="B560" s="10">
        <v>142736392</v>
      </c>
      <c r="C560" s="3">
        <v>5540246188200</v>
      </c>
      <c r="D560" s="9">
        <v>44725</v>
      </c>
      <c r="E560" s="11">
        <v>1485</v>
      </c>
      <c r="F560" s="23" t="str">
        <f>IFERROR(VLOOKUP(C560, 'Catégorie des articles'!$A:$D, 4, FALSE), "")</f>
        <v>CREMERIE</v>
      </c>
      <c r="G560">
        <f t="shared" si="8"/>
        <v>202206</v>
      </c>
    </row>
    <row r="561" spans="1:7" ht="12" customHeight="1">
      <c r="A561" s="6">
        <v>44721</v>
      </c>
      <c r="B561" s="7">
        <v>142736394</v>
      </c>
      <c r="C561" s="3">
        <v>5540246188175</v>
      </c>
      <c r="D561" s="6">
        <v>44725</v>
      </c>
      <c r="E561" s="8">
        <v>93</v>
      </c>
      <c r="F561" s="23" t="str">
        <f>IFERROR(VLOOKUP(C561, 'Catégorie des articles'!$A:$D, 4, FALSE), "")</f>
        <v>CREMERIE</v>
      </c>
      <c r="G561">
        <f t="shared" si="8"/>
        <v>202206</v>
      </c>
    </row>
    <row r="562" spans="1:7" ht="12" customHeight="1">
      <c r="A562" s="9">
        <v>44721</v>
      </c>
      <c r="B562" s="10">
        <v>142736412</v>
      </c>
      <c r="C562" s="3">
        <v>5540246182684</v>
      </c>
      <c r="D562" s="9">
        <v>44734</v>
      </c>
      <c r="E562" s="11">
        <v>140</v>
      </c>
      <c r="F562" s="23" t="str">
        <f>IFERROR(VLOOKUP(C562, 'Catégorie des articles'!$A:$D, 4, FALSE), "")</f>
        <v>BOULANGERIE</v>
      </c>
      <c r="G562">
        <f t="shared" si="8"/>
        <v>202206</v>
      </c>
    </row>
    <row r="563" spans="1:7" ht="12" customHeight="1">
      <c r="A563" s="6">
        <v>44721</v>
      </c>
      <c r="B563" s="7">
        <v>142736412</v>
      </c>
      <c r="C563" s="3">
        <v>5540246183844</v>
      </c>
      <c r="D563" s="6">
        <v>44734</v>
      </c>
      <c r="E563" s="8">
        <v>186</v>
      </c>
      <c r="F563" s="23" t="str">
        <f>IFERROR(VLOOKUP(C563, 'Catégorie des articles'!$A:$D, 4, FALSE), "")</f>
        <v>BOULANGERIE</v>
      </c>
      <c r="G563">
        <f t="shared" si="8"/>
        <v>202206</v>
      </c>
    </row>
    <row r="564" spans="1:7" ht="12" customHeight="1">
      <c r="A564" s="6">
        <v>44721</v>
      </c>
      <c r="B564" s="7">
        <v>142736414</v>
      </c>
      <c r="C564" s="3">
        <v>5540246193316</v>
      </c>
      <c r="D564" s="6">
        <v>44735</v>
      </c>
      <c r="E564" s="8">
        <v>223</v>
      </c>
      <c r="F564" s="23" t="str">
        <f>IFERROR(VLOOKUP(C564, 'Catégorie des articles'!$A:$D, 4, FALSE), "")</f>
        <v>BOULANGERIE</v>
      </c>
      <c r="G564">
        <f t="shared" si="8"/>
        <v>202206</v>
      </c>
    </row>
    <row r="565" spans="1:7" ht="12" customHeight="1">
      <c r="A565" s="6">
        <v>44721</v>
      </c>
      <c r="B565" s="7">
        <v>142736417</v>
      </c>
      <c r="C565" s="3">
        <v>5540246177132</v>
      </c>
      <c r="D565" s="6">
        <v>44727</v>
      </c>
      <c r="E565" s="8">
        <v>6032</v>
      </c>
      <c r="F565" s="23" t="str">
        <f>IFERROR(VLOOKUP(C565, 'Catégorie des articles'!$A:$D, 4, FALSE), "")</f>
        <v>MIX LEGUMES</v>
      </c>
      <c r="G565">
        <f t="shared" si="8"/>
        <v>202206</v>
      </c>
    </row>
    <row r="566" spans="1:7" ht="12" customHeight="1">
      <c r="A566" s="9">
        <v>44721</v>
      </c>
      <c r="B566" s="10">
        <v>142736417</v>
      </c>
      <c r="C566" s="3">
        <v>5540246177133</v>
      </c>
      <c r="D566" s="9">
        <v>44727</v>
      </c>
      <c r="E566" s="11">
        <v>9466</v>
      </c>
      <c r="F566" s="23" t="str">
        <f>IFERROR(VLOOKUP(C566, 'Catégorie des articles'!$A:$D, 4, FALSE), "")</f>
        <v>MIX LEGUMES</v>
      </c>
      <c r="G566">
        <f t="shared" si="8"/>
        <v>202206</v>
      </c>
    </row>
    <row r="567" spans="1:7" ht="12" customHeight="1">
      <c r="A567" s="9">
        <v>44724</v>
      </c>
      <c r="B567" s="10">
        <v>142736424</v>
      </c>
      <c r="C567" s="3">
        <v>5540246176294</v>
      </c>
      <c r="D567" s="9">
        <v>44726</v>
      </c>
      <c r="E567" s="11">
        <v>2228</v>
      </c>
      <c r="F567" s="23" t="str">
        <f>IFERROR(VLOOKUP(C567, 'Catégorie des articles'!$A:$D, 4, FALSE), "")</f>
        <v>CREMERIE</v>
      </c>
      <c r="G567">
        <f t="shared" si="8"/>
        <v>202206</v>
      </c>
    </row>
    <row r="568" spans="1:7" ht="12" customHeight="1">
      <c r="A568" s="6">
        <v>44724</v>
      </c>
      <c r="B568" s="7">
        <v>142736424</v>
      </c>
      <c r="C568" s="3">
        <v>5540246176295</v>
      </c>
      <c r="D568" s="6">
        <v>44726</v>
      </c>
      <c r="E568" s="8">
        <v>3712</v>
      </c>
      <c r="F568" s="23" t="str">
        <f>IFERROR(VLOOKUP(C568, 'Catégorie des articles'!$A:$D, 4, FALSE), "")</f>
        <v>CREMERIE</v>
      </c>
      <c r="G568">
        <f t="shared" si="8"/>
        <v>202206</v>
      </c>
    </row>
    <row r="569" spans="1:7" ht="12" customHeight="1">
      <c r="A569" s="6">
        <v>44724</v>
      </c>
      <c r="B569" s="7">
        <v>142736425</v>
      </c>
      <c r="C569" s="3">
        <v>5540246172978</v>
      </c>
      <c r="D569" s="6">
        <v>44726</v>
      </c>
      <c r="E569" s="8">
        <v>1504</v>
      </c>
      <c r="F569" s="23" t="str">
        <f>IFERROR(VLOOKUP(C569, 'Catégorie des articles'!$A:$D, 4, FALSE), "")</f>
        <v>CREMERIE</v>
      </c>
      <c r="G569">
        <f t="shared" si="8"/>
        <v>202206</v>
      </c>
    </row>
    <row r="570" spans="1:7" ht="12" customHeight="1">
      <c r="A570" s="9">
        <v>44724</v>
      </c>
      <c r="B570" s="10">
        <v>142736425</v>
      </c>
      <c r="C570" s="3">
        <v>5540246176699</v>
      </c>
      <c r="D570" s="9">
        <v>44726</v>
      </c>
      <c r="E570" s="11">
        <v>2088</v>
      </c>
      <c r="F570" s="23" t="str">
        <f>IFERROR(VLOOKUP(C570, 'Catégorie des articles'!$A:$D, 4, FALSE), "")</f>
        <v>CREMERIE</v>
      </c>
      <c r="G570">
        <f t="shared" si="8"/>
        <v>202206</v>
      </c>
    </row>
    <row r="571" spans="1:7" ht="12" customHeight="1">
      <c r="A571" s="6">
        <v>44724</v>
      </c>
      <c r="B571" s="7">
        <v>142736425</v>
      </c>
      <c r="C571" s="3">
        <v>5540246192102</v>
      </c>
      <c r="D571" s="6">
        <v>44726</v>
      </c>
      <c r="E571" s="8">
        <v>4009</v>
      </c>
      <c r="F571" s="23" t="str">
        <f>IFERROR(VLOOKUP(C571, 'Catégorie des articles'!$A:$D, 4, FALSE), "")</f>
        <v>CREMERIE</v>
      </c>
      <c r="G571">
        <f t="shared" si="8"/>
        <v>202206</v>
      </c>
    </row>
    <row r="572" spans="1:7" ht="12" customHeight="1">
      <c r="A572" s="6">
        <v>44724</v>
      </c>
      <c r="B572" s="7">
        <v>142736427</v>
      </c>
      <c r="C572" s="3">
        <v>5540246185429</v>
      </c>
      <c r="D572" s="6">
        <v>44726</v>
      </c>
      <c r="E572" s="8">
        <v>70</v>
      </c>
      <c r="F572" s="23" t="str">
        <f>IFERROR(VLOOKUP(C572, 'Catégorie des articles'!$A:$D, 4, FALSE), "")</f>
        <v>CREMERIE</v>
      </c>
      <c r="G572">
        <f t="shared" si="8"/>
        <v>202206</v>
      </c>
    </row>
    <row r="573" spans="1:7" ht="12" customHeight="1">
      <c r="A573" s="9">
        <v>44724</v>
      </c>
      <c r="B573" s="10">
        <v>142736427</v>
      </c>
      <c r="C573" s="3">
        <v>5540246185562</v>
      </c>
      <c r="D573" s="9">
        <v>44726</v>
      </c>
      <c r="E573" s="11">
        <v>209</v>
      </c>
      <c r="F573" s="23" t="str">
        <f>IFERROR(VLOOKUP(C573, 'Catégorie des articles'!$A:$D, 4, FALSE), "")</f>
        <v>CREMERIE</v>
      </c>
      <c r="G573">
        <f t="shared" si="8"/>
        <v>202206</v>
      </c>
    </row>
    <row r="574" spans="1:7" ht="12" customHeight="1">
      <c r="A574" s="9">
        <v>44724</v>
      </c>
      <c r="B574" s="10">
        <v>142736435</v>
      </c>
      <c r="C574" s="3">
        <v>5540246188583</v>
      </c>
      <c r="D574" s="9">
        <v>44735</v>
      </c>
      <c r="E574" s="11">
        <v>4455</v>
      </c>
      <c r="F574" s="23" t="str">
        <f>IFERROR(VLOOKUP(C574, 'Catégorie des articles'!$A:$D, 4, FALSE), "")</f>
        <v>BOULANGERIE</v>
      </c>
      <c r="G574">
        <f t="shared" si="8"/>
        <v>202206</v>
      </c>
    </row>
    <row r="575" spans="1:7" ht="12" customHeight="1">
      <c r="A575" s="9">
        <v>44725</v>
      </c>
      <c r="B575" s="10">
        <v>142736449</v>
      </c>
      <c r="C575" s="3">
        <v>5540246187987</v>
      </c>
      <c r="D575" s="9">
        <v>44727</v>
      </c>
      <c r="E575" s="11">
        <v>2228</v>
      </c>
      <c r="F575" s="23" t="str">
        <f>IFERROR(VLOOKUP(C575, 'Catégorie des articles'!$A:$D, 4, FALSE), "")</f>
        <v>CREMERIE</v>
      </c>
      <c r="G575">
        <f t="shared" si="8"/>
        <v>202206</v>
      </c>
    </row>
    <row r="576" spans="1:7" ht="12" customHeight="1">
      <c r="A576" s="6">
        <v>44725</v>
      </c>
      <c r="B576" s="7">
        <v>142736456</v>
      </c>
      <c r="C576" s="3">
        <v>5540246192264</v>
      </c>
      <c r="D576" s="6">
        <v>44756</v>
      </c>
      <c r="E576" s="8">
        <v>1485</v>
      </c>
      <c r="F576" s="23" t="str">
        <f>IFERROR(VLOOKUP(C576, 'Catégorie des articles'!$A:$D, 4, FALSE), "")</f>
        <v>CREMERIE</v>
      </c>
      <c r="G576">
        <f t="shared" si="8"/>
        <v>202207</v>
      </c>
    </row>
    <row r="577" spans="1:7" ht="12" customHeight="1">
      <c r="A577" s="9">
        <v>44725</v>
      </c>
      <c r="B577" s="10">
        <v>142736456</v>
      </c>
      <c r="C577" s="3">
        <v>5540246192265</v>
      </c>
      <c r="D577" s="9">
        <v>44756</v>
      </c>
      <c r="E577" s="11">
        <v>297</v>
      </c>
      <c r="F577" s="23" t="str">
        <f>IFERROR(VLOOKUP(C577, 'Catégorie des articles'!$A:$D, 4, FALSE), "")</f>
        <v>CREMERIE</v>
      </c>
      <c r="G577">
        <f t="shared" si="8"/>
        <v>202207</v>
      </c>
    </row>
    <row r="578" spans="1:7" ht="12" customHeight="1">
      <c r="A578" s="9">
        <v>44725</v>
      </c>
      <c r="B578" s="10">
        <v>142736459</v>
      </c>
      <c r="C578" s="3">
        <v>5540246180522</v>
      </c>
      <c r="D578" s="9">
        <v>44738</v>
      </c>
      <c r="E578" s="11">
        <v>279</v>
      </c>
      <c r="F578" s="23" t="str">
        <f>IFERROR(VLOOKUP(C578, 'Catégorie des articles'!$A:$D, 4, FALSE), "")</f>
        <v>BOULANGERIE</v>
      </c>
      <c r="G578">
        <f t="shared" si="8"/>
        <v>202206</v>
      </c>
    </row>
    <row r="579" spans="1:7" ht="12" customHeight="1">
      <c r="A579" s="6">
        <v>44725</v>
      </c>
      <c r="B579" s="7">
        <v>142736459</v>
      </c>
      <c r="C579" s="3">
        <v>5540246193409</v>
      </c>
      <c r="D579" s="6">
        <v>44738</v>
      </c>
      <c r="E579" s="8">
        <v>65</v>
      </c>
      <c r="F579" s="23" t="str">
        <f>IFERROR(VLOOKUP(C579, 'Catégorie des articles'!$A:$D, 4, FALSE), "")</f>
        <v>BOULANGERIE</v>
      </c>
      <c r="G579">
        <f t="shared" ref="G579:G642" si="9">YEAR(D579)*100 + MONTH(D579)</f>
        <v>202206</v>
      </c>
    </row>
    <row r="580" spans="1:7" ht="12" customHeight="1">
      <c r="A580" s="9">
        <v>44725</v>
      </c>
      <c r="B580" s="10">
        <v>142736462</v>
      </c>
      <c r="C580" s="3">
        <v>5540246171759</v>
      </c>
      <c r="D580" s="9">
        <v>44731</v>
      </c>
      <c r="E580" s="11">
        <v>2506</v>
      </c>
      <c r="F580" s="23" t="str">
        <f>IFERROR(VLOOKUP(C580, 'Catégorie des articles'!$A:$D, 4, FALSE), "")</f>
        <v>MIX LEGUMES</v>
      </c>
      <c r="G580">
        <f t="shared" si="9"/>
        <v>202206</v>
      </c>
    </row>
    <row r="581" spans="1:7" ht="12" customHeight="1">
      <c r="A581" s="6">
        <v>44725</v>
      </c>
      <c r="B581" s="7">
        <v>142736462</v>
      </c>
      <c r="C581" s="3">
        <v>5540246177132</v>
      </c>
      <c r="D581" s="6">
        <v>44731</v>
      </c>
      <c r="E581" s="8">
        <v>7888</v>
      </c>
      <c r="F581" s="23" t="str">
        <f>IFERROR(VLOOKUP(C581, 'Catégorie des articles'!$A:$D, 4, FALSE), "")</f>
        <v>MIX LEGUMES</v>
      </c>
      <c r="G581">
        <f t="shared" si="9"/>
        <v>202206</v>
      </c>
    </row>
    <row r="582" spans="1:7" ht="12" customHeight="1">
      <c r="A582" s="9">
        <v>44725</v>
      </c>
      <c r="B582" s="10">
        <v>142736462</v>
      </c>
      <c r="C582" s="3">
        <v>5540246177133</v>
      </c>
      <c r="D582" s="9">
        <v>44731</v>
      </c>
      <c r="E582" s="11">
        <v>3341</v>
      </c>
      <c r="F582" s="23" t="str">
        <f>IFERROR(VLOOKUP(C582, 'Catégorie des articles'!$A:$D, 4, FALSE), "")</f>
        <v>MIX LEGUMES</v>
      </c>
      <c r="G582">
        <f t="shared" si="9"/>
        <v>202206</v>
      </c>
    </row>
    <row r="583" spans="1:7" ht="12" customHeight="1">
      <c r="A583" s="6">
        <v>44725</v>
      </c>
      <c r="B583" s="7">
        <v>142736462</v>
      </c>
      <c r="C583" s="3">
        <v>5540246192518</v>
      </c>
      <c r="D583" s="6">
        <v>44731</v>
      </c>
      <c r="E583" s="8">
        <v>5847</v>
      </c>
      <c r="F583" s="23" t="str">
        <f>IFERROR(VLOOKUP(C583, 'Catégorie des articles'!$A:$D, 4, FALSE), "")</f>
        <v>MIX LEGUMES</v>
      </c>
      <c r="G583">
        <f t="shared" si="9"/>
        <v>202206</v>
      </c>
    </row>
    <row r="584" spans="1:7" ht="12" customHeight="1">
      <c r="A584" s="9">
        <v>44725</v>
      </c>
      <c r="B584" s="10">
        <v>142736463</v>
      </c>
      <c r="C584" s="3">
        <v>5540246183587</v>
      </c>
      <c r="D584" s="9">
        <v>44747</v>
      </c>
      <c r="E584" s="11">
        <v>502</v>
      </c>
      <c r="F584" s="23" t="str">
        <f>IFERROR(VLOOKUP(C584, 'Catégorie des articles'!$A:$D, 4, FALSE), "")</f>
        <v>MIX LEGUMES</v>
      </c>
      <c r="G584">
        <f t="shared" si="9"/>
        <v>202207</v>
      </c>
    </row>
    <row r="585" spans="1:7" ht="12" customHeight="1">
      <c r="A585" s="6">
        <v>44725</v>
      </c>
      <c r="B585" s="7">
        <v>142736464</v>
      </c>
      <c r="C585" s="3">
        <v>5540246190097</v>
      </c>
      <c r="D585" s="6">
        <v>44740</v>
      </c>
      <c r="E585" s="8">
        <v>2319</v>
      </c>
      <c r="F585" s="23" t="str">
        <f>IFERROR(VLOOKUP(C585, 'Catégorie des articles'!$A:$D, 4, FALSE), "")</f>
        <v>VOLAILLE</v>
      </c>
      <c r="G585">
        <f t="shared" si="9"/>
        <v>202206</v>
      </c>
    </row>
    <row r="586" spans="1:7" ht="12" customHeight="1">
      <c r="A586" s="9">
        <v>44726</v>
      </c>
      <c r="B586" s="10">
        <v>142736471</v>
      </c>
      <c r="C586" s="3">
        <v>5540246176295</v>
      </c>
      <c r="D586" s="9">
        <v>44728</v>
      </c>
      <c r="E586" s="11">
        <v>7424</v>
      </c>
      <c r="F586" s="23" t="str">
        <f>IFERROR(VLOOKUP(C586, 'Catégorie des articles'!$A:$D, 4, FALSE), "")</f>
        <v>CREMERIE</v>
      </c>
      <c r="G586">
        <f t="shared" si="9"/>
        <v>202206</v>
      </c>
    </row>
    <row r="587" spans="1:7" ht="12" customHeight="1">
      <c r="A587" s="9">
        <v>44726</v>
      </c>
      <c r="B587" s="10">
        <v>142736471</v>
      </c>
      <c r="C587" s="3">
        <v>5540246187987</v>
      </c>
      <c r="D587" s="9">
        <v>44728</v>
      </c>
      <c r="E587" s="11">
        <v>3341</v>
      </c>
      <c r="F587" s="23" t="str">
        <f>IFERROR(VLOOKUP(C587, 'Catégorie des articles'!$A:$D, 4, FALSE), "")</f>
        <v>CREMERIE</v>
      </c>
      <c r="G587">
        <f t="shared" si="9"/>
        <v>202206</v>
      </c>
    </row>
    <row r="588" spans="1:7" ht="12" customHeight="1">
      <c r="A588" s="6">
        <v>44726</v>
      </c>
      <c r="B588" s="7">
        <v>142736471</v>
      </c>
      <c r="C588" s="3">
        <v>5540246188200</v>
      </c>
      <c r="D588" s="6">
        <v>44728</v>
      </c>
      <c r="E588" s="8">
        <v>2228</v>
      </c>
      <c r="F588" s="23" t="str">
        <f>IFERROR(VLOOKUP(C588, 'Catégorie des articles'!$A:$D, 4, FALSE), "")</f>
        <v>CREMERIE</v>
      </c>
      <c r="G588">
        <f t="shared" si="9"/>
        <v>202206</v>
      </c>
    </row>
    <row r="589" spans="1:7" ht="12" customHeight="1">
      <c r="A589" s="9">
        <v>44726</v>
      </c>
      <c r="B589" s="10">
        <v>142736472</v>
      </c>
      <c r="C589" s="3">
        <v>5540246172978</v>
      </c>
      <c r="D589" s="9">
        <v>44728</v>
      </c>
      <c r="E589" s="11">
        <v>836</v>
      </c>
      <c r="F589" s="23" t="str">
        <f>IFERROR(VLOOKUP(C589, 'Catégorie des articles'!$A:$D, 4, FALSE), "")</f>
        <v>CREMERIE</v>
      </c>
      <c r="G589">
        <f t="shared" si="9"/>
        <v>202206</v>
      </c>
    </row>
    <row r="590" spans="1:7" ht="12" customHeight="1">
      <c r="A590" s="9">
        <v>44726</v>
      </c>
      <c r="B590" s="10">
        <v>142736474</v>
      </c>
      <c r="C590" s="3">
        <v>5540246188200</v>
      </c>
      <c r="D590" s="9">
        <v>44727</v>
      </c>
      <c r="E590" s="11">
        <v>483</v>
      </c>
      <c r="F590" s="23" t="str">
        <f>IFERROR(VLOOKUP(C590, 'Catégorie des articles'!$A:$D, 4, FALSE), "")</f>
        <v>CREMERIE</v>
      </c>
      <c r="G590">
        <f t="shared" si="9"/>
        <v>202206</v>
      </c>
    </row>
    <row r="591" spans="1:7" ht="12" customHeight="1">
      <c r="A591" s="9">
        <v>44727</v>
      </c>
      <c r="B591" s="10">
        <v>142736489</v>
      </c>
      <c r="C591" s="3">
        <v>5540246176295</v>
      </c>
      <c r="D591" s="9">
        <v>44731</v>
      </c>
      <c r="E591" s="11">
        <v>7424</v>
      </c>
      <c r="F591" s="23" t="str">
        <f>IFERROR(VLOOKUP(C591, 'Catégorie des articles'!$A:$D, 4, FALSE), "")</f>
        <v>CREMERIE</v>
      </c>
      <c r="G591">
        <f t="shared" si="9"/>
        <v>202206</v>
      </c>
    </row>
    <row r="592" spans="1:7" ht="12" customHeight="1">
      <c r="A592" s="6">
        <v>44727</v>
      </c>
      <c r="B592" s="7">
        <v>142736489</v>
      </c>
      <c r="C592" s="3">
        <v>5540246187987</v>
      </c>
      <c r="D592" s="6">
        <v>44731</v>
      </c>
      <c r="E592" s="8">
        <v>4455</v>
      </c>
      <c r="F592" s="23" t="str">
        <f>IFERROR(VLOOKUP(C592, 'Catégorie des articles'!$A:$D, 4, FALSE), "")</f>
        <v>CREMERIE</v>
      </c>
      <c r="G592">
        <f t="shared" si="9"/>
        <v>202206</v>
      </c>
    </row>
    <row r="593" spans="1:7" ht="12" customHeight="1">
      <c r="A593" s="6">
        <v>44727</v>
      </c>
      <c r="B593" s="7">
        <v>142736490</v>
      </c>
      <c r="C593" s="3">
        <v>5540246172669</v>
      </c>
      <c r="D593" s="6">
        <v>44731</v>
      </c>
      <c r="E593" s="8">
        <v>279</v>
      </c>
      <c r="F593" s="23" t="str">
        <f>IFERROR(VLOOKUP(C593, 'Catégorie des articles'!$A:$D, 4, FALSE), "")</f>
        <v>CREMERIE</v>
      </c>
      <c r="G593">
        <f t="shared" si="9"/>
        <v>202206</v>
      </c>
    </row>
    <row r="594" spans="1:7" ht="12" customHeight="1">
      <c r="A594" s="6">
        <v>44727</v>
      </c>
      <c r="B594" s="7">
        <v>142736490</v>
      </c>
      <c r="C594" s="3">
        <v>5540246174174</v>
      </c>
      <c r="D594" s="6">
        <v>44731</v>
      </c>
      <c r="E594" s="8">
        <v>464</v>
      </c>
      <c r="F594" s="23" t="str">
        <f>IFERROR(VLOOKUP(C594, 'Catégorie des articles'!$A:$D, 4, FALSE), "")</f>
        <v>CREMERIE</v>
      </c>
      <c r="G594">
        <f t="shared" si="9"/>
        <v>202206</v>
      </c>
    </row>
    <row r="595" spans="1:7" ht="12" customHeight="1">
      <c r="A595" s="9">
        <v>44727</v>
      </c>
      <c r="B595" s="10">
        <v>142736490</v>
      </c>
      <c r="C595" s="3">
        <v>5540246176699</v>
      </c>
      <c r="D595" s="9">
        <v>44731</v>
      </c>
      <c r="E595" s="11">
        <v>2088</v>
      </c>
      <c r="F595" s="23" t="str">
        <f>IFERROR(VLOOKUP(C595, 'Catégorie des articles'!$A:$D, 4, FALSE), "")</f>
        <v>CREMERIE</v>
      </c>
      <c r="G595">
        <f t="shared" si="9"/>
        <v>202206</v>
      </c>
    </row>
    <row r="596" spans="1:7" ht="12" customHeight="1">
      <c r="A596" s="6">
        <v>44727</v>
      </c>
      <c r="B596" s="7">
        <v>142736490</v>
      </c>
      <c r="C596" s="3">
        <v>5540246188175</v>
      </c>
      <c r="D596" s="6">
        <v>44731</v>
      </c>
      <c r="E596" s="8">
        <v>116</v>
      </c>
      <c r="F596" s="23" t="str">
        <f>IFERROR(VLOOKUP(C596, 'Catégorie des articles'!$A:$D, 4, FALSE), "")</f>
        <v>CREMERIE</v>
      </c>
      <c r="G596">
        <f t="shared" si="9"/>
        <v>202206</v>
      </c>
    </row>
    <row r="597" spans="1:7" ht="12" customHeight="1">
      <c r="A597" s="6">
        <v>44727</v>
      </c>
      <c r="B597" s="7">
        <v>142736493</v>
      </c>
      <c r="C597" s="3">
        <v>5540246185429</v>
      </c>
      <c r="D597" s="6">
        <v>44731</v>
      </c>
      <c r="E597" s="8">
        <v>70</v>
      </c>
      <c r="F597" s="23" t="str">
        <f>IFERROR(VLOOKUP(C597, 'Catégorie des articles'!$A:$D, 4, FALSE), "")</f>
        <v>CREMERIE</v>
      </c>
      <c r="G597">
        <f t="shared" si="9"/>
        <v>202206</v>
      </c>
    </row>
    <row r="598" spans="1:7" ht="12" customHeight="1">
      <c r="A598" s="9">
        <v>44727</v>
      </c>
      <c r="B598" s="10">
        <v>142736493</v>
      </c>
      <c r="C598" s="3">
        <v>5540246186325</v>
      </c>
      <c r="D598" s="9">
        <v>44731</v>
      </c>
      <c r="E598" s="11">
        <v>279</v>
      </c>
      <c r="F598" s="23" t="str">
        <f>IFERROR(VLOOKUP(C598, 'Catégorie des articles'!$A:$D, 4, FALSE), "")</f>
        <v>CREMERIE</v>
      </c>
      <c r="G598">
        <f t="shared" si="9"/>
        <v>202206</v>
      </c>
    </row>
    <row r="599" spans="1:7" ht="12" customHeight="1">
      <c r="A599" s="9">
        <v>44727</v>
      </c>
      <c r="B599" s="10">
        <v>142736499</v>
      </c>
      <c r="C599" s="3">
        <v>5540246173906</v>
      </c>
      <c r="D599" s="9">
        <v>44739</v>
      </c>
      <c r="E599" s="11">
        <v>1634</v>
      </c>
      <c r="F599" s="23" t="str">
        <f>IFERROR(VLOOKUP(C599, 'Catégorie des articles'!$A:$D, 4, FALSE), "")</f>
        <v>VOLAILLE</v>
      </c>
      <c r="G599">
        <f t="shared" si="9"/>
        <v>202206</v>
      </c>
    </row>
    <row r="600" spans="1:7" ht="12" customHeight="1">
      <c r="A600" s="6">
        <v>44727</v>
      </c>
      <c r="B600" s="7">
        <v>142736499</v>
      </c>
      <c r="C600" s="3">
        <v>5540246181016</v>
      </c>
      <c r="D600" s="6">
        <v>44739</v>
      </c>
      <c r="E600" s="8">
        <v>6237</v>
      </c>
      <c r="F600" s="23" t="str">
        <f>IFERROR(VLOOKUP(C600, 'Catégorie des articles'!$A:$D, 4, FALSE), "")</f>
        <v>VOLAILLE</v>
      </c>
      <c r="G600">
        <f t="shared" si="9"/>
        <v>202206</v>
      </c>
    </row>
    <row r="601" spans="1:7" ht="12" customHeight="1">
      <c r="A601" s="6">
        <v>44727</v>
      </c>
      <c r="B601" s="7">
        <v>142736502</v>
      </c>
      <c r="C601" s="3">
        <v>5540246177376</v>
      </c>
      <c r="D601" s="6">
        <v>44746</v>
      </c>
      <c r="E601" s="8">
        <v>1420</v>
      </c>
      <c r="F601" s="23" t="str">
        <f>IFERROR(VLOOKUP(C601, 'Catégorie des articles'!$A:$D, 4, FALSE), "")</f>
        <v>BOULANGERIE</v>
      </c>
      <c r="G601">
        <f t="shared" si="9"/>
        <v>202207</v>
      </c>
    </row>
    <row r="602" spans="1:7" ht="12" customHeight="1">
      <c r="A602" s="6">
        <v>44728</v>
      </c>
      <c r="B602" s="7">
        <v>142746514</v>
      </c>
      <c r="C602" s="3">
        <v>5540246176699</v>
      </c>
      <c r="D602" s="6">
        <v>44732</v>
      </c>
      <c r="E602" s="8">
        <v>4176</v>
      </c>
      <c r="F602" s="23" t="str">
        <f>IFERROR(VLOOKUP(C602, 'Catégorie des articles'!$A:$D, 4, FALSE), "")</f>
        <v>CREMERIE</v>
      </c>
      <c r="G602">
        <f t="shared" si="9"/>
        <v>202206</v>
      </c>
    </row>
    <row r="603" spans="1:7" ht="12" customHeight="1">
      <c r="A603" s="9">
        <v>44728</v>
      </c>
      <c r="B603" s="10">
        <v>142746514</v>
      </c>
      <c r="C603" s="3">
        <v>5540246188175</v>
      </c>
      <c r="D603" s="9">
        <v>44732</v>
      </c>
      <c r="E603" s="11">
        <v>93</v>
      </c>
      <c r="F603" s="23" t="str">
        <f>IFERROR(VLOOKUP(C603, 'Catégorie des articles'!$A:$D, 4, FALSE), "")</f>
        <v>CREMERIE</v>
      </c>
      <c r="G603">
        <f t="shared" si="9"/>
        <v>202206</v>
      </c>
    </row>
    <row r="604" spans="1:7" ht="12" customHeight="1">
      <c r="A604" s="6">
        <v>44728</v>
      </c>
      <c r="B604" s="7">
        <v>142746515</v>
      </c>
      <c r="C604" s="3">
        <v>5540246171933</v>
      </c>
      <c r="D604" s="6">
        <v>44732</v>
      </c>
      <c r="E604" s="8">
        <v>557</v>
      </c>
      <c r="F604" s="23" t="str">
        <f>IFERROR(VLOOKUP(C604, 'Catégorie des articles'!$A:$D, 4, FALSE), "")</f>
        <v>CREMERIE</v>
      </c>
      <c r="G604">
        <f t="shared" si="9"/>
        <v>202206</v>
      </c>
    </row>
    <row r="605" spans="1:7" ht="12" customHeight="1">
      <c r="A605" s="6">
        <v>44728</v>
      </c>
      <c r="B605" s="7">
        <v>142746516</v>
      </c>
      <c r="C605" s="3">
        <v>5540246171759</v>
      </c>
      <c r="D605" s="6">
        <v>44735</v>
      </c>
      <c r="E605" s="8">
        <v>2506</v>
      </c>
      <c r="F605" s="23" t="str">
        <f>IFERROR(VLOOKUP(C605, 'Catégorie des articles'!$A:$D, 4, FALSE), "")</f>
        <v>MIX LEGUMES</v>
      </c>
      <c r="G605">
        <f t="shared" si="9"/>
        <v>202206</v>
      </c>
    </row>
    <row r="606" spans="1:7" ht="12" customHeight="1">
      <c r="A606" s="9">
        <v>44728</v>
      </c>
      <c r="B606" s="10">
        <v>142746516</v>
      </c>
      <c r="C606" s="3">
        <v>5540246177132</v>
      </c>
      <c r="D606" s="9">
        <v>44735</v>
      </c>
      <c r="E606" s="11">
        <v>6960</v>
      </c>
      <c r="F606" s="23" t="str">
        <f>IFERROR(VLOOKUP(C606, 'Catégorie des articles'!$A:$D, 4, FALSE), "")</f>
        <v>MIX LEGUMES</v>
      </c>
      <c r="G606">
        <f t="shared" si="9"/>
        <v>202206</v>
      </c>
    </row>
    <row r="607" spans="1:7" ht="12" customHeight="1">
      <c r="A607" s="6">
        <v>44728</v>
      </c>
      <c r="B607" s="7">
        <v>142746516</v>
      </c>
      <c r="C607" s="3">
        <v>5540246177133</v>
      </c>
      <c r="D607" s="6">
        <v>44735</v>
      </c>
      <c r="E607" s="8">
        <v>7796</v>
      </c>
      <c r="F607" s="23" t="str">
        <f>IFERROR(VLOOKUP(C607, 'Catégorie des articles'!$A:$D, 4, FALSE), "")</f>
        <v>MIX LEGUMES</v>
      </c>
      <c r="G607">
        <f t="shared" si="9"/>
        <v>202206</v>
      </c>
    </row>
    <row r="608" spans="1:7" ht="12" customHeight="1">
      <c r="A608" s="6">
        <v>44728</v>
      </c>
      <c r="B608" s="7">
        <v>142746517</v>
      </c>
      <c r="C608" s="3">
        <v>5540246183562</v>
      </c>
      <c r="D608" s="6">
        <v>44732</v>
      </c>
      <c r="E608" s="8">
        <v>12528</v>
      </c>
      <c r="F608" s="23" t="str">
        <f>IFERROR(VLOOKUP(C608, 'Catégorie des articles'!$A:$D, 4, FALSE), "")</f>
        <v>MIX LEGUMES</v>
      </c>
      <c r="G608">
        <f t="shared" si="9"/>
        <v>202206</v>
      </c>
    </row>
    <row r="609" spans="1:7" ht="12" customHeight="1">
      <c r="A609" s="6">
        <v>44728</v>
      </c>
      <c r="B609" s="7">
        <v>142746524</v>
      </c>
      <c r="C609" s="3">
        <v>5540246181061</v>
      </c>
      <c r="D609" s="6">
        <v>44740</v>
      </c>
      <c r="E609" s="8">
        <v>3308</v>
      </c>
      <c r="F609" s="23" t="str">
        <f>IFERROR(VLOOKUP(C609, 'Catégorie des articles'!$A:$D, 4, FALSE), "")</f>
        <v>VOLAILLE</v>
      </c>
      <c r="G609">
        <f t="shared" si="9"/>
        <v>202206</v>
      </c>
    </row>
    <row r="610" spans="1:7" ht="12" customHeight="1">
      <c r="A610" s="9">
        <v>44728</v>
      </c>
      <c r="B610" s="10">
        <v>142746524</v>
      </c>
      <c r="C610" s="3">
        <v>5540246183547</v>
      </c>
      <c r="D610" s="9">
        <v>44740</v>
      </c>
      <c r="E610" s="11">
        <v>1114</v>
      </c>
      <c r="F610" s="23" t="str">
        <f>IFERROR(VLOOKUP(C610, 'Catégorie des articles'!$A:$D, 4, FALSE), "")</f>
        <v>VOLAILLE</v>
      </c>
      <c r="G610">
        <f t="shared" si="9"/>
        <v>202206</v>
      </c>
    </row>
    <row r="611" spans="1:7" ht="12" customHeight="1">
      <c r="A611" s="6">
        <v>44728</v>
      </c>
      <c r="B611" s="7">
        <v>142746524</v>
      </c>
      <c r="C611" s="3">
        <v>5540246185278</v>
      </c>
      <c r="D611" s="6">
        <v>44740</v>
      </c>
      <c r="E611" s="8">
        <v>2239</v>
      </c>
      <c r="F611" s="23" t="str">
        <f>IFERROR(VLOOKUP(C611, 'Catégorie des articles'!$A:$D, 4, FALSE), "")</f>
        <v>VOLAILLE</v>
      </c>
      <c r="G611">
        <f t="shared" si="9"/>
        <v>202206</v>
      </c>
    </row>
    <row r="612" spans="1:7" ht="12" customHeight="1">
      <c r="A612" s="6">
        <v>44731</v>
      </c>
      <c r="B612" s="7">
        <v>142746542</v>
      </c>
      <c r="C612" s="3">
        <v>5540246192907</v>
      </c>
      <c r="D612" s="6">
        <v>44731</v>
      </c>
      <c r="E612" s="8">
        <v>2228</v>
      </c>
      <c r="F612" s="23" t="str">
        <f>IFERROR(VLOOKUP(C612, 'Catégorie des articles'!$A:$D, 4, FALSE), "")</f>
        <v>VOLAILLE</v>
      </c>
      <c r="G612">
        <f t="shared" si="9"/>
        <v>202206</v>
      </c>
    </row>
    <row r="613" spans="1:7" ht="12" customHeight="1">
      <c r="A613" s="6">
        <v>44731</v>
      </c>
      <c r="B613" s="7">
        <v>142746545</v>
      </c>
      <c r="C613" s="3">
        <v>5540246171933</v>
      </c>
      <c r="D613" s="6">
        <v>44733</v>
      </c>
      <c r="E613" s="8">
        <v>557</v>
      </c>
      <c r="F613" s="23" t="str">
        <f>IFERROR(VLOOKUP(C613, 'Catégorie des articles'!$A:$D, 4, FALSE), "")</f>
        <v>CREMERIE</v>
      </c>
      <c r="G613">
        <f t="shared" si="9"/>
        <v>202206</v>
      </c>
    </row>
    <row r="614" spans="1:7" ht="12" customHeight="1">
      <c r="A614" s="9">
        <v>44731</v>
      </c>
      <c r="B614" s="10">
        <v>142746545</v>
      </c>
      <c r="C614" s="3">
        <v>5540246176294</v>
      </c>
      <c r="D614" s="9">
        <v>44733</v>
      </c>
      <c r="E614" s="11">
        <v>2970</v>
      </c>
      <c r="F614" s="23" t="str">
        <f>IFERROR(VLOOKUP(C614, 'Catégorie des articles'!$A:$D, 4, FALSE), "")</f>
        <v>CREMERIE</v>
      </c>
      <c r="G614">
        <f t="shared" si="9"/>
        <v>202206</v>
      </c>
    </row>
    <row r="615" spans="1:7" ht="12" customHeight="1">
      <c r="A615" s="6">
        <v>44731</v>
      </c>
      <c r="B615" s="7">
        <v>142746545</v>
      </c>
      <c r="C615" s="3">
        <v>5540246176295</v>
      </c>
      <c r="D615" s="6">
        <v>44733</v>
      </c>
      <c r="E615" s="8">
        <v>7424</v>
      </c>
      <c r="F615" s="23" t="str">
        <f>IFERROR(VLOOKUP(C615, 'Catégorie des articles'!$A:$D, 4, FALSE), "")</f>
        <v>CREMERIE</v>
      </c>
      <c r="G615">
        <f t="shared" si="9"/>
        <v>202206</v>
      </c>
    </row>
    <row r="616" spans="1:7" ht="12" customHeight="1">
      <c r="A616" s="9">
        <v>44731</v>
      </c>
      <c r="B616" s="10">
        <v>142746545</v>
      </c>
      <c r="C616" s="3">
        <v>5540246187987</v>
      </c>
      <c r="D616" s="9">
        <v>44733</v>
      </c>
      <c r="E616" s="11">
        <v>2228</v>
      </c>
      <c r="F616" s="23" t="str">
        <f>IFERROR(VLOOKUP(C616, 'Catégorie des articles'!$A:$D, 4, FALSE), "")</f>
        <v>CREMERIE</v>
      </c>
      <c r="G616">
        <f t="shared" si="9"/>
        <v>202206</v>
      </c>
    </row>
    <row r="617" spans="1:7" ht="12" customHeight="1">
      <c r="A617" s="6">
        <v>44731</v>
      </c>
      <c r="B617" s="7">
        <v>142746545</v>
      </c>
      <c r="C617" s="3">
        <v>5540246188200</v>
      </c>
      <c r="D617" s="6">
        <v>44733</v>
      </c>
      <c r="E617" s="8">
        <v>743</v>
      </c>
      <c r="F617" s="23" t="str">
        <f>IFERROR(VLOOKUP(C617, 'Catégorie des articles'!$A:$D, 4, FALSE), "")</f>
        <v>CREMERIE</v>
      </c>
      <c r="G617">
        <f t="shared" si="9"/>
        <v>202206</v>
      </c>
    </row>
    <row r="618" spans="1:7" ht="12" customHeight="1">
      <c r="A618" s="6">
        <v>44731</v>
      </c>
      <c r="B618" s="7">
        <v>142746546</v>
      </c>
      <c r="C618" s="3">
        <v>5540246176699</v>
      </c>
      <c r="D618" s="6">
        <v>44733</v>
      </c>
      <c r="E618" s="8">
        <v>4176</v>
      </c>
      <c r="F618" s="23" t="str">
        <f>IFERROR(VLOOKUP(C618, 'Catégorie des articles'!$A:$D, 4, FALSE), "")</f>
        <v>CREMERIE</v>
      </c>
      <c r="G618">
        <f t="shared" si="9"/>
        <v>202206</v>
      </c>
    </row>
    <row r="619" spans="1:7" ht="12" customHeight="1">
      <c r="A619" s="6">
        <v>44732</v>
      </c>
      <c r="B619" s="7">
        <v>142746569</v>
      </c>
      <c r="C619" s="3">
        <v>5540246172978</v>
      </c>
      <c r="D619" s="6">
        <v>44734</v>
      </c>
      <c r="E619" s="8">
        <v>836</v>
      </c>
      <c r="F619" s="23" t="str">
        <f>IFERROR(VLOOKUP(C619, 'Catégorie des articles'!$A:$D, 4, FALSE), "")</f>
        <v>CREMERIE</v>
      </c>
      <c r="G619">
        <f t="shared" si="9"/>
        <v>202206</v>
      </c>
    </row>
    <row r="620" spans="1:7" ht="12" customHeight="1">
      <c r="A620" s="6">
        <v>44732</v>
      </c>
      <c r="B620" s="7">
        <v>142746570</v>
      </c>
      <c r="C620" s="3">
        <v>5540246176295</v>
      </c>
      <c r="D620" s="6">
        <v>44734</v>
      </c>
      <c r="E620" s="8">
        <v>7424</v>
      </c>
      <c r="F620" s="23" t="str">
        <f>IFERROR(VLOOKUP(C620, 'Catégorie des articles'!$A:$D, 4, FALSE), "")</f>
        <v>CREMERIE</v>
      </c>
      <c r="G620">
        <f t="shared" si="9"/>
        <v>202206</v>
      </c>
    </row>
    <row r="621" spans="1:7" ht="12" customHeight="1">
      <c r="A621" s="6">
        <v>44732</v>
      </c>
      <c r="B621" s="7">
        <v>142746570</v>
      </c>
      <c r="C621" s="3">
        <v>5540246187987</v>
      </c>
      <c r="D621" s="6">
        <v>44734</v>
      </c>
      <c r="E621" s="8">
        <v>2228</v>
      </c>
      <c r="F621" s="23" t="str">
        <f>IFERROR(VLOOKUP(C621, 'Catégorie des articles'!$A:$D, 4, FALSE), "")</f>
        <v>CREMERIE</v>
      </c>
      <c r="G621">
        <f t="shared" si="9"/>
        <v>202206</v>
      </c>
    </row>
    <row r="622" spans="1:7" ht="12" customHeight="1">
      <c r="A622" s="9">
        <v>44732</v>
      </c>
      <c r="B622" s="10">
        <v>142746570</v>
      </c>
      <c r="C622" s="3">
        <v>5540246188200</v>
      </c>
      <c r="D622" s="9">
        <v>44734</v>
      </c>
      <c r="E622" s="11">
        <v>743</v>
      </c>
      <c r="F622" s="23" t="str">
        <f>IFERROR(VLOOKUP(C622, 'Catégorie des articles'!$A:$D, 4, FALSE), "")</f>
        <v>CREMERIE</v>
      </c>
      <c r="G622">
        <f t="shared" si="9"/>
        <v>202206</v>
      </c>
    </row>
    <row r="623" spans="1:7" ht="12" customHeight="1">
      <c r="A623" s="6">
        <v>44732</v>
      </c>
      <c r="B623" s="7">
        <v>142746575</v>
      </c>
      <c r="C623" s="3">
        <v>5540246170256</v>
      </c>
      <c r="D623" s="6">
        <v>44747</v>
      </c>
      <c r="E623" s="8">
        <v>2998</v>
      </c>
      <c r="F623" s="23" t="str">
        <f>IFERROR(VLOOKUP(C623, 'Catégorie des articles'!$A:$D, 4, FALSE), "")</f>
        <v>BOULANGERIE</v>
      </c>
      <c r="G623">
        <f t="shared" si="9"/>
        <v>202207</v>
      </c>
    </row>
    <row r="624" spans="1:7" ht="12" customHeight="1">
      <c r="A624" s="9">
        <v>44732</v>
      </c>
      <c r="B624" s="10">
        <v>142746575</v>
      </c>
      <c r="C624" s="3">
        <v>5540246171888</v>
      </c>
      <c r="D624" s="9">
        <v>44747</v>
      </c>
      <c r="E624" s="11">
        <v>650</v>
      </c>
      <c r="F624" s="23" t="str">
        <f>IFERROR(VLOOKUP(C624, 'Catégorie des articles'!$A:$D, 4, FALSE), "")</f>
        <v>BOULANGERIE</v>
      </c>
      <c r="G624">
        <f t="shared" si="9"/>
        <v>202207</v>
      </c>
    </row>
    <row r="625" spans="1:7" ht="12" customHeight="1">
      <c r="A625" s="9">
        <v>44733</v>
      </c>
      <c r="B625" s="10">
        <v>142746588</v>
      </c>
      <c r="C625" s="3">
        <v>5540246172978</v>
      </c>
      <c r="D625" s="9">
        <v>44735</v>
      </c>
      <c r="E625" s="11">
        <v>418</v>
      </c>
      <c r="F625" s="23" t="str">
        <f>IFERROR(VLOOKUP(C625, 'Catégorie des articles'!$A:$D, 4, FALSE), "")</f>
        <v>CREMERIE</v>
      </c>
      <c r="G625">
        <f t="shared" si="9"/>
        <v>202206</v>
      </c>
    </row>
    <row r="626" spans="1:7" ht="12" customHeight="1">
      <c r="A626" s="6">
        <v>44733</v>
      </c>
      <c r="B626" s="7">
        <v>142746588</v>
      </c>
      <c r="C626" s="3">
        <v>5540246174174</v>
      </c>
      <c r="D626" s="6">
        <v>44735</v>
      </c>
      <c r="E626" s="8">
        <v>232</v>
      </c>
      <c r="F626" s="23" t="str">
        <f>IFERROR(VLOOKUP(C626, 'Catégorie des articles'!$A:$D, 4, FALSE), "")</f>
        <v>CREMERIE</v>
      </c>
      <c r="G626">
        <f t="shared" si="9"/>
        <v>202206</v>
      </c>
    </row>
    <row r="627" spans="1:7" ht="12" customHeight="1">
      <c r="A627" s="6">
        <v>44733</v>
      </c>
      <c r="B627" s="7">
        <v>142746588</v>
      </c>
      <c r="C627" s="3">
        <v>5540246176699</v>
      </c>
      <c r="D627" s="6">
        <v>44735</v>
      </c>
      <c r="E627" s="8">
        <v>4176</v>
      </c>
      <c r="F627" s="23" t="str">
        <f>IFERROR(VLOOKUP(C627, 'Catégorie des articles'!$A:$D, 4, FALSE), "")</f>
        <v>CREMERIE</v>
      </c>
      <c r="G627">
        <f t="shared" si="9"/>
        <v>202206</v>
      </c>
    </row>
    <row r="628" spans="1:7" ht="12" customHeight="1">
      <c r="A628" s="9">
        <v>44733</v>
      </c>
      <c r="B628" s="10">
        <v>142746588</v>
      </c>
      <c r="C628" s="3">
        <v>5540246188175</v>
      </c>
      <c r="D628" s="9">
        <v>44735</v>
      </c>
      <c r="E628" s="11">
        <v>93</v>
      </c>
      <c r="F628" s="23" t="str">
        <f>IFERROR(VLOOKUP(C628, 'Catégorie des articles'!$A:$D, 4, FALSE), "")</f>
        <v>CREMERIE</v>
      </c>
      <c r="G628">
        <f t="shared" si="9"/>
        <v>202206</v>
      </c>
    </row>
    <row r="629" spans="1:7" ht="12" customHeight="1">
      <c r="A629" s="6">
        <v>44733</v>
      </c>
      <c r="B629" s="7">
        <v>142746590</v>
      </c>
      <c r="C629" s="3">
        <v>5540246176295</v>
      </c>
      <c r="D629" s="6">
        <v>44735</v>
      </c>
      <c r="E629" s="8">
        <v>7424</v>
      </c>
      <c r="F629" s="23" t="str">
        <f>IFERROR(VLOOKUP(C629, 'Catégorie des articles'!$A:$D, 4, FALSE), "")</f>
        <v>CREMERIE</v>
      </c>
      <c r="G629">
        <f t="shared" si="9"/>
        <v>202206</v>
      </c>
    </row>
    <row r="630" spans="1:7" ht="12" customHeight="1">
      <c r="A630" s="6">
        <v>44733</v>
      </c>
      <c r="B630" s="7">
        <v>142746590</v>
      </c>
      <c r="C630" s="3">
        <v>5540246187987</v>
      </c>
      <c r="D630" s="6">
        <v>44735</v>
      </c>
      <c r="E630" s="8">
        <v>4455</v>
      </c>
      <c r="F630" s="23" t="str">
        <f>IFERROR(VLOOKUP(C630, 'Catégorie des articles'!$A:$D, 4, FALSE), "")</f>
        <v>CREMERIE</v>
      </c>
      <c r="G630">
        <f t="shared" si="9"/>
        <v>202206</v>
      </c>
    </row>
    <row r="631" spans="1:7" ht="12" customHeight="1">
      <c r="A631" s="9">
        <v>44733</v>
      </c>
      <c r="B631" s="10">
        <v>142746590</v>
      </c>
      <c r="C631" s="3">
        <v>5540246188200</v>
      </c>
      <c r="D631" s="9">
        <v>44735</v>
      </c>
      <c r="E631" s="11">
        <v>743</v>
      </c>
      <c r="F631" s="23" t="str">
        <f>IFERROR(VLOOKUP(C631, 'Catégorie des articles'!$A:$D, 4, FALSE), "")</f>
        <v>CREMERIE</v>
      </c>
      <c r="G631">
        <f t="shared" si="9"/>
        <v>202206</v>
      </c>
    </row>
    <row r="632" spans="1:7" ht="12" customHeight="1">
      <c r="A632" s="9">
        <v>44734</v>
      </c>
      <c r="B632" s="10">
        <v>142746606</v>
      </c>
      <c r="C632" s="3">
        <v>5540246172978</v>
      </c>
      <c r="D632" s="9">
        <v>44738</v>
      </c>
      <c r="E632" s="11">
        <v>418</v>
      </c>
      <c r="F632" s="23" t="str">
        <f>IFERROR(VLOOKUP(C632, 'Catégorie des articles'!$A:$D, 4, FALSE), "")</f>
        <v>CREMERIE</v>
      </c>
      <c r="G632">
        <f t="shared" si="9"/>
        <v>202206</v>
      </c>
    </row>
    <row r="633" spans="1:7" ht="12" customHeight="1">
      <c r="A633" s="6">
        <v>44734</v>
      </c>
      <c r="B633" s="7">
        <v>142746606</v>
      </c>
      <c r="C633" s="3">
        <v>5540246174174</v>
      </c>
      <c r="D633" s="6">
        <v>44738</v>
      </c>
      <c r="E633" s="8">
        <v>232</v>
      </c>
      <c r="F633" s="23" t="str">
        <f>IFERROR(VLOOKUP(C633, 'Catégorie des articles'!$A:$D, 4, FALSE), "")</f>
        <v>CREMERIE</v>
      </c>
      <c r="G633">
        <f t="shared" si="9"/>
        <v>202206</v>
      </c>
    </row>
    <row r="634" spans="1:7" ht="12" customHeight="1">
      <c r="A634" s="9">
        <v>44734</v>
      </c>
      <c r="B634" s="10">
        <v>142746608</v>
      </c>
      <c r="C634" s="3">
        <v>5540246171933</v>
      </c>
      <c r="D634" s="9">
        <v>44738</v>
      </c>
      <c r="E634" s="11">
        <v>279</v>
      </c>
      <c r="F634" s="23" t="str">
        <f>IFERROR(VLOOKUP(C634, 'Catégorie des articles'!$A:$D, 4, FALSE), "")</f>
        <v>CREMERIE</v>
      </c>
      <c r="G634">
        <f t="shared" si="9"/>
        <v>202206</v>
      </c>
    </row>
    <row r="635" spans="1:7" ht="12" customHeight="1">
      <c r="A635" s="6">
        <v>44734</v>
      </c>
      <c r="B635" s="7">
        <v>142746608</v>
      </c>
      <c r="C635" s="3">
        <v>5540246176294</v>
      </c>
      <c r="D635" s="6">
        <v>44738</v>
      </c>
      <c r="E635" s="8">
        <v>1485</v>
      </c>
      <c r="F635" s="23" t="str">
        <f>IFERROR(VLOOKUP(C635, 'Catégorie des articles'!$A:$D, 4, FALSE), "")</f>
        <v>CREMERIE</v>
      </c>
      <c r="G635">
        <f t="shared" si="9"/>
        <v>202206</v>
      </c>
    </row>
    <row r="636" spans="1:7" ht="12" customHeight="1">
      <c r="A636" s="9">
        <v>44734</v>
      </c>
      <c r="B636" s="10">
        <v>142746608</v>
      </c>
      <c r="C636" s="3">
        <v>5540246176295</v>
      </c>
      <c r="D636" s="9">
        <v>44738</v>
      </c>
      <c r="E636" s="11">
        <v>7424</v>
      </c>
      <c r="F636" s="23" t="str">
        <f>IFERROR(VLOOKUP(C636, 'Catégorie des articles'!$A:$D, 4, FALSE), "")</f>
        <v>CREMERIE</v>
      </c>
      <c r="G636">
        <f t="shared" si="9"/>
        <v>202206</v>
      </c>
    </row>
    <row r="637" spans="1:7" ht="12" customHeight="1">
      <c r="A637" s="6">
        <v>44734</v>
      </c>
      <c r="B637" s="7">
        <v>142746608</v>
      </c>
      <c r="C637" s="3">
        <v>5540246187987</v>
      </c>
      <c r="D637" s="6">
        <v>44738</v>
      </c>
      <c r="E637" s="8">
        <v>2228</v>
      </c>
      <c r="F637" s="23" t="str">
        <f>IFERROR(VLOOKUP(C637, 'Catégorie des articles'!$A:$D, 4, FALSE), "")</f>
        <v>CREMERIE</v>
      </c>
      <c r="G637">
        <f t="shared" si="9"/>
        <v>202206</v>
      </c>
    </row>
    <row r="638" spans="1:7" ht="12" customHeight="1">
      <c r="A638" s="9">
        <v>44734</v>
      </c>
      <c r="B638" s="10">
        <v>142746611</v>
      </c>
      <c r="C638" s="3">
        <v>5540246185429</v>
      </c>
      <c r="D638" s="9">
        <v>44739</v>
      </c>
      <c r="E638" s="11">
        <v>140</v>
      </c>
      <c r="F638" s="23" t="str">
        <f>IFERROR(VLOOKUP(C638, 'Catégorie des articles'!$A:$D, 4, FALSE), "")</f>
        <v>CREMERIE</v>
      </c>
      <c r="G638">
        <f t="shared" si="9"/>
        <v>202206</v>
      </c>
    </row>
    <row r="639" spans="1:7" ht="12" customHeight="1">
      <c r="A639" s="6">
        <v>44734</v>
      </c>
      <c r="B639" s="7">
        <v>142746611</v>
      </c>
      <c r="C639" s="3">
        <v>5540246186325</v>
      </c>
      <c r="D639" s="6">
        <v>44739</v>
      </c>
      <c r="E639" s="8">
        <v>140</v>
      </c>
      <c r="F639" s="23" t="str">
        <f>IFERROR(VLOOKUP(C639, 'Catégorie des articles'!$A:$D, 4, FALSE), "")</f>
        <v>CREMERIE</v>
      </c>
      <c r="G639">
        <f t="shared" si="9"/>
        <v>202206</v>
      </c>
    </row>
    <row r="640" spans="1:7" ht="12" customHeight="1">
      <c r="A640" s="9">
        <v>44734</v>
      </c>
      <c r="B640" s="10">
        <v>142746612</v>
      </c>
      <c r="C640" s="3">
        <v>5540246174095</v>
      </c>
      <c r="D640" s="9">
        <v>44741</v>
      </c>
      <c r="E640" s="11">
        <v>140</v>
      </c>
      <c r="F640" s="23" t="str">
        <f>IFERROR(VLOOKUP(C640, 'Catégorie des articles'!$A:$D, 4, FALSE), "")</f>
        <v>CREMERIE</v>
      </c>
      <c r="G640">
        <f t="shared" si="9"/>
        <v>202206</v>
      </c>
    </row>
    <row r="641" spans="1:7" ht="12" customHeight="1">
      <c r="A641" s="6">
        <v>44734</v>
      </c>
      <c r="B641" s="7">
        <v>142746612</v>
      </c>
      <c r="C641" s="3">
        <v>5540246175050</v>
      </c>
      <c r="D641" s="6">
        <v>44741</v>
      </c>
      <c r="E641" s="8">
        <v>279</v>
      </c>
      <c r="F641" s="23" t="str">
        <f>IFERROR(VLOOKUP(C641, 'Catégorie des articles'!$A:$D, 4, FALSE), "")</f>
        <v>CREMERIE</v>
      </c>
      <c r="G641">
        <f t="shared" si="9"/>
        <v>202206</v>
      </c>
    </row>
    <row r="642" spans="1:7" ht="12" customHeight="1">
      <c r="A642" s="9">
        <v>44735</v>
      </c>
      <c r="B642" s="10">
        <v>142756621</v>
      </c>
      <c r="C642" s="3">
        <v>5540246176699</v>
      </c>
      <c r="D642" s="9">
        <v>44739</v>
      </c>
      <c r="E642" s="11">
        <v>2088</v>
      </c>
      <c r="F642" s="23" t="str">
        <f>IFERROR(VLOOKUP(C642, 'Catégorie des articles'!$A:$D, 4, FALSE), "")</f>
        <v>CREMERIE</v>
      </c>
      <c r="G642">
        <f t="shared" si="9"/>
        <v>202206</v>
      </c>
    </row>
    <row r="643" spans="1:7" ht="12" customHeight="1">
      <c r="A643" s="6">
        <v>44735</v>
      </c>
      <c r="B643" s="7">
        <v>142756622</v>
      </c>
      <c r="C643" s="3">
        <v>5540246194478</v>
      </c>
      <c r="D643" s="6">
        <v>44789</v>
      </c>
      <c r="E643" s="8">
        <v>724</v>
      </c>
      <c r="F643" s="23" t="str">
        <f>IFERROR(VLOOKUP(C643, 'Catégorie des articles'!$A:$D, 4, FALSE), "")</f>
        <v>EMBALLAGES</v>
      </c>
      <c r="G643">
        <f t="shared" ref="G643:G706" si="10">YEAR(D643)*100 + MONTH(D643)</f>
        <v>202208</v>
      </c>
    </row>
    <row r="644" spans="1:7" ht="12" customHeight="1">
      <c r="A644" s="6">
        <v>44735</v>
      </c>
      <c r="B644" s="7">
        <v>142756623</v>
      </c>
      <c r="C644" s="3">
        <v>5540246171759</v>
      </c>
      <c r="D644" s="6">
        <v>44742</v>
      </c>
      <c r="E644" s="8">
        <v>3759</v>
      </c>
      <c r="F644" s="23" t="str">
        <f>IFERROR(VLOOKUP(C644, 'Catégorie des articles'!$A:$D, 4, FALSE), "")</f>
        <v>MIX LEGUMES</v>
      </c>
      <c r="G644">
        <f t="shared" si="10"/>
        <v>202206</v>
      </c>
    </row>
    <row r="645" spans="1:7" ht="12" customHeight="1">
      <c r="A645" s="9">
        <v>44735</v>
      </c>
      <c r="B645" s="10">
        <v>142756623</v>
      </c>
      <c r="C645" s="3">
        <v>5540246177132</v>
      </c>
      <c r="D645" s="9">
        <v>44742</v>
      </c>
      <c r="E645" s="11">
        <v>7424</v>
      </c>
      <c r="F645" s="23" t="str">
        <f>IFERROR(VLOOKUP(C645, 'Catégorie des articles'!$A:$D, 4, FALSE), "")</f>
        <v>MIX LEGUMES</v>
      </c>
      <c r="G645">
        <f t="shared" si="10"/>
        <v>202206</v>
      </c>
    </row>
    <row r="646" spans="1:7" ht="12" customHeight="1">
      <c r="A646" s="6">
        <v>44735</v>
      </c>
      <c r="B646" s="7">
        <v>142756623</v>
      </c>
      <c r="C646" s="3">
        <v>5540246177133</v>
      </c>
      <c r="D646" s="6">
        <v>44742</v>
      </c>
      <c r="E646" s="8">
        <v>2784</v>
      </c>
      <c r="F646" s="23" t="str">
        <f>IFERROR(VLOOKUP(C646, 'Catégorie des articles'!$A:$D, 4, FALSE), "")</f>
        <v>MIX LEGUMES</v>
      </c>
      <c r="G646">
        <f t="shared" si="10"/>
        <v>202206</v>
      </c>
    </row>
    <row r="647" spans="1:7" ht="12" customHeight="1">
      <c r="A647" s="9">
        <v>44735</v>
      </c>
      <c r="B647" s="10">
        <v>142756623</v>
      </c>
      <c r="C647" s="3">
        <v>5540246183542</v>
      </c>
      <c r="D647" s="9">
        <v>44742</v>
      </c>
      <c r="E647" s="11">
        <v>1253</v>
      </c>
      <c r="F647" s="23" t="str">
        <f>IFERROR(VLOOKUP(C647, 'Catégorie des articles'!$A:$D, 4, FALSE), "")</f>
        <v>MIX LEGUMES</v>
      </c>
      <c r="G647">
        <f t="shared" si="10"/>
        <v>202206</v>
      </c>
    </row>
    <row r="648" spans="1:7" ht="12" customHeight="1">
      <c r="A648" s="6">
        <v>44735</v>
      </c>
      <c r="B648" s="7">
        <v>142756623</v>
      </c>
      <c r="C648" s="3">
        <v>5540246192518</v>
      </c>
      <c r="D648" s="6">
        <v>44742</v>
      </c>
      <c r="E648" s="8">
        <v>5847</v>
      </c>
      <c r="F648" s="23" t="str">
        <f>IFERROR(VLOOKUP(C648, 'Catégorie des articles'!$A:$D, 4, FALSE), "")</f>
        <v>MIX LEGUMES</v>
      </c>
      <c r="G648">
        <f t="shared" si="10"/>
        <v>202206</v>
      </c>
    </row>
    <row r="649" spans="1:7" ht="12" customHeight="1">
      <c r="A649" s="6">
        <v>44738</v>
      </c>
      <c r="B649" s="7">
        <v>142756629</v>
      </c>
      <c r="C649" s="3">
        <v>5540246171933</v>
      </c>
      <c r="D649" s="6">
        <v>44740</v>
      </c>
      <c r="E649" s="8">
        <v>557</v>
      </c>
      <c r="F649" s="23" t="str">
        <f>IFERROR(VLOOKUP(C649, 'Catégorie des articles'!$A:$D, 4, FALSE), "")</f>
        <v>CREMERIE</v>
      </c>
      <c r="G649">
        <f t="shared" si="10"/>
        <v>202206</v>
      </c>
    </row>
    <row r="650" spans="1:7" ht="12" customHeight="1">
      <c r="A650" s="6">
        <v>44739</v>
      </c>
      <c r="B650" s="7">
        <v>142756639</v>
      </c>
      <c r="C650" s="3">
        <v>5540246171933</v>
      </c>
      <c r="D650" s="6">
        <v>44741</v>
      </c>
      <c r="E650" s="8">
        <v>557</v>
      </c>
      <c r="F650" s="23" t="str">
        <f>IFERROR(VLOOKUP(C650, 'Catégorie des articles'!$A:$D, 4, FALSE), "")</f>
        <v>CREMERIE</v>
      </c>
      <c r="G650">
        <f t="shared" si="10"/>
        <v>202206</v>
      </c>
    </row>
    <row r="651" spans="1:7" ht="12" customHeight="1">
      <c r="A651" s="6">
        <v>44739</v>
      </c>
      <c r="B651" s="7">
        <v>142756639</v>
      </c>
      <c r="C651" s="3">
        <v>5540246176294</v>
      </c>
      <c r="D651" s="6">
        <v>44741</v>
      </c>
      <c r="E651" s="8">
        <v>1485</v>
      </c>
      <c r="F651" s="23" t="str">
        <f>IFERROR(VLOOKUP(C651, 'Catégorie des articles'!$A:$D, 4, FALSE), "")</f>
        <v>CREMERIE</v>
      </c>
      <c r="G651">
        <f t="shared" si="10"/>
        <v>202206</v>
      </c>
    </row>
    <row r="652" spans="1:7" ht="12" customHeight="1">
      <c r="A652" s="9">
        <v>44739</v>
      </c>
      <c r="B652" s="10">
        <v>142756639</v>
      </c>
      <c r="C652" s="3">
        <v>5540246176295</v>
      </c>
      <c r="D652" s="9">
        <v>44741</v>
      </c>
      <c r="E652" s="11">
        <v>5568</v>
      </c>
      <c r="F652" s="23" t="str">
        <f>IFERROR(VLOOKUP(C652, 'Catégorie des articles'!$A:$D, 4, FALSE), "")</f>
        <v>CREMERIE</v>
      </c>
      <c r="G652">
        <f t="shared" si="10"/>
        <v>202206</v>
      </c>
    </row>
    <row r="653" spans="1:7" ht="12" customHeight="1">
      <c r="A653" s="9">
        <v>44739</v>
      </c>
      <c r="B653" s="10">
        <v>142756639</v>
      </c>
      <c r="C653" s="3">
        <v>5540246187987</v>
      </c>
      <c r="D653" s="9">
        <v>44741</v>
      </c>
      <c r="E653" s="11">
        <v>1114</v>
      </c>
      <c r="F653" s="23" t="str">
        <f>IFERROR(VLOOKUP(C653, 'Catégorie des articles'!$A:$D, 4, FALSE), "")</f>
        <v>CREMERIE</v>
      </c>
      <c r="G653">
        <f t="shared" si="10"/>
        <v>202206</v>
      </c>
    </row>
    <row r="654" spans="1:7" ht="12" customHeight="1">
      <c r="A654" s="6">
        <v>44739</v>
      </c>
      <c r="B654" s="7">
        <v>142756639</v>
      </c>
      <c r="C654" s="3">
        <v>5540246188200</v>
      </c>
      <c r="D654" s="6">
        <v>44741</v>
      </c>
      <c r="E654" s="8">
        <v>1485</v>
      </c>
      <c r="F654" s="23" t="str">
        <f>IFERROR(VLOOKUP(C654, 'Catégorie des articles'!$A:$D, 4, FALSE), "")</f>
        <v>CREMERIE</v>
      </c>
      <c r="G654">
        <f t="shared" si="10"/>
        <v>202206</v>
      </c>
    </row>
    <row r="655" spans="1:7" ht="12" customHeight="1">
      <c r="A655" s="9">
        <v>44739</v>
      </c>
      <c r="B655" s="10">
        <v>142756640</v>
      </c>
      <c r="C655" s="3">
        <v>5540246172978</v>
      </c>
      <c r="D655" s="9">
        <v>44741</v>
      </c>
      <c r="E655" s="11">
        <v>418</v>
      </c>
      <c r="F655" s="23" t="str">
        <f>IFERROR(VLOOKUP(C655, 'Catégorie des articles'!$A:$D, 4, FALSE), "")</f>
        <v>CREMERIE</v>
      </c>
      <c r="G655">
        <f t="shared" si="10"/>
        <v>202206</v>
      </c>
    </row>
    <row r="656" spans="1:7" ht="12" customHeight="1">
      <c r="A656" s="9">
        <v>44739</v>
      </c>
      <c r="B656" s="10">
        <v>142756640</v>
      </c>
      <c r="C656" s="3">
        <v>5540246174174</v>
      </c>
      <c r="D656" s="9">
        <v>44741</v>
      </c>
      <c r="E656" s="11">
        <v>232</v>
      </c>
      <c r="F656" s="23" t="str">
        <f>IFERROR(VLOOKUP(C656, 'Catégorie des articles'!$A:$D, 4, FALSE), "")</f>
        <v>CREMERIE</v>
      </c>
      <c r="G656">
        <f t="shared" si="10"/>
        <v>202206</v>
      </c>
    </row>
    <row r="657" spans="1:7" ht="12" customHeight="1">
      <c r="A657" s="9">
        <v>44739</v>
      </c>
      <c r="B657" s="10">
        <v>142756640</v>
      </c>
      <c r="C657" s="3">
        <v>5540246176699</v>
      </c>
      <c r="D657" s="9">
        <v>44741</v>
      </c>
      <c r="E657" s="11">
        <v>2088</v>
      </c>
      <c r="F657" s="23" t="str">
        <f>IFERROR(VLOOKUP(C657, 'Catégorie des articles'!$A:$D, 4, FALSE), "")</f>
        <v>CREMERIE</v>
      </c>
      <c r="G657">
        <f t="shared" si="10"/>
        <v>202206</v>
      </c>
    </row>
    <row r="658" spans="1:7" ht="12" customHeight="1">
      <c r="A658" s="6">
        <v>44740</v>
      </c>
      <c r="B658" s="7">
        <v>142756658</v>
      </c>
      <c r="C658" s="3">
        <v>5540246171933</v>
      </c>
      <c r="D658" s="6">
        <v>44742</v>
      </c>
      <c r="E658" s="8">
        <v>1114</v>
      </c>
      <c r="F658" s="23" t="str">
        <f>IFERROR(VLOOKUP(C658, 'Catégorie des articles'!$A:$D, 4, FALSE), "")</f>
        <v>CREMERIE</v>
      </c>
      <c r="G658">
        <f t="shared" si="10"/>
        <v>202206</v>
      </c>
    </row>
    <row r="659" spans="1:7" ht="12" customHeight="1">
      <c r="A659" s="9">
        <v>44740</v>
      </c>
      <c r="B659" s="10">
        <v>142756658</v>
      </c>
      <c r="C659" s="3">
        <v>5540246176294</v>
      </c>
      <c r="D659" s="9">
        <v>44742</v>
      </c>
      <c r="E659" s="11">
        <v>2228</v>
      </c>
      <c r="F659" s="23" t="str">
        <f>IFERROR(VLOOKUP(C659, 'Catégorie des articles'!$A:$D, 4, FALSE), "")</f>
        <v>CREMERIE</v>
      </c>
      <c r="G659">
        <f t="shared" si="10"/>
        <v>202206</v>
      </c>
    </row>
    <row r="660" spans="1:7" ht="12" customHeight="1">
      <c r="A660" s="6">
        <v>44740</v>
      </c>
      <c r="B660" s="7">
        <v>142756658</v>
      </c>
      <c r="C660" s="3">
        <v>5540246176295</v>
      </c>
      <c r="D660" s="6">
        <v>44742</v>
      </c>
      <c r="E660" s="8">
        <v>11136</v>
      </c>
      <c r="F660" s="23" t="str">
        <f>IFERROR(VLOOKUP(C660, 'Catégorie des articles'!$A:$D, 4, FALSE), "")</f>
        <v>CREMERIE</v>
      </c>
      <c r="G660">
        <f t="shared" si="10"/>
        <v>202206</v>
      </c>
    </row>
    <row r="661" spans="1:7" ht="12" customHeight="1">
      <c r="A661" s="6">
        <v>44740</v>
      </c>
      <c r="B661" s="7">
        <v>142756658</v>
      </c>
      <c r="C661" s="3">
        <v>5540246187987</v>
      </c>
      <c r="D661" s="6">
        <v>44742</v>
      </c>
      <c r="E661" s="8">
        <v>5568</v>
      </c>
      <c r="F661" s="23" t="str">
        <f>IFERROR(VLOOKUP(C661, 'Catégorie des articles'!$A:$D, 4, FALSE), "")</f>
        <v>CREMERIE</v>
      </c>
      <c r="G661">
        <f t="shared" si="10"/>
        <v>202206</v>
      </c>
    </row>
    <row r="662" spans="1:7" ht="12" customHeight="1">
      <c r="A662" s="9">
        <v>44740</v>
      </c>
      <c r="B662" s="10">
        <v>142756658</v>
      </c>
      <c r="C662" s="3">
        <v>5540246188200</v>
      </c>
      <c r="D662" s="9">
        <v>44742</v>
      </c>
      <c r="E662" s="11">
        <v>743</v>
      </c>
      <c r="F662" s="23" t="str">
        <f>IFERROR(VLOOKUP(C662, 'Catégorie des articles'!$A:$D, 4, FALSE), "")</f>
        <v>CREMERIE</v>
      </c>
      <c r="G662">
        <f t="shared" si="10"/>
        <v>202206</v>
      </c>
    </row>
    <row r="663" spans="1:7" ht="12" customHeight="1">
      <c r="A663" s="6">
        <v>44740</v>
      </c>
      <c r="B663" s="7">
        <v>142756659</v>
      </c>
      <c r="C663" s="3">
        <v>5540246172539</v>
      </c>
      <c r="D663" s="6">
        <v>44742</v>
      </c>
      <c r="E663" s="8">
        <v>35</v>
      </c>
      <c r="F663" s="23" t="str">
        <f>IFERROR(VLOOKUP(C663, 'Catégorie des articles'!$A:$D, 4, FALSE), "")</f>
        <v>CREMERIE</v>
      </c>
      <c r="G663">
        <f t="shared" si="10"/>
        <v>202206</v>
      </c>
    </row>
    <row r="664" spans="1:7" ht="12" customHeight="1">
      <c r="A664" s="9">
        <v>44740</v>
      </c>
      <c r="B664" s="10">
        <v>142756659</v>
      </c>
      <c r="C664" s="3">
        <v>5540246172669</v>
      </c>
      <c r="D664" s="9">
        <v>44742</v>
      </c>
      <c r="E664" s="11">
        <v>140</v>
      </c>
      <c r="F664" s="23" t="str">
        <f>IFERROR(VLOOKUP(C664, 'Catégorie des articles'!$A:$D, 4, FALSE), "")</f>
        <v>CREMERIE</v>
      </c>
      <c r="G664">
        <f t="shared" si="10"/>
        <v>202206</v>
      </c>
    </row>
    <row r="665" spans="1:7" ht="12" customHeight="1">
      <c r="A665" s="6">
        <v>44740</v>
      </c>
      <c r="B665" s="7">
        <v>142756659</v>
      </c>
      <c r="C665" s="3">
        <v>5540246172978</v>
      </c>
      <c r="D665" s="6">
        <v>44742</v>
      </c>
      <c r="E665" s="8">
        <v>836</v>
      </c>
      <c r="F665" s="23" t="str">
        <f>IFERROR(VLOOKUP(C665, 'Catégorie des articles'!$A:$D, 4, FALSE), "")</f>
        <v>CREMERIE</v>
      </c>
      <c r="G665">
        <f t="shared" si="10"/>
        <v>202206</v>
      </c>
    </row>
    <row r="666" spans="1:7" ht="12" customHeight="1">
      <c r="A666" s="6">
        <v>44740</v>
      </c>
      <c r="B666" s="7">
        <v>142756659</v>
      </c>
      <c r="C666" s="3">
        <v>5540246174174</v>
      </c>
      <c r="D666" s="6">
        <v>44742</v>
      </c>
      <c r="E666" s="8">
        <v>464</v>
      </c>
      <c r="F666" s="23" t="str">
        <f>IFERROR(VLOOKUP(C666, 'Catégorie des articles'!$A:$D, 4, FALSE), "")</f>
        <v>CREMERIE</v>
      </c>
      <c r="G666">
        <f t="shared" si="10"/>
        <v>202206</v>
      </c>
    </row>
    <row r="667" spans="1:7" ht="12" customHeight="1">
      <c r="A667" s="6">
        <v>44740</v>
      </c>
      <c r="B667" s="7">
        <v>142756659</v>
      </c>
      <c r="C667" s="3">
        <v>5540246176699</v>
      </c>
      <c r="D667" s="6">
        <v>44742</v>
      </c>
      <c r="E667" s="8">
        <v>4176</v>
      </c>
      <c r="F667" s="23" t="str">
        <f>IFERROR(VLOOKUP(C667, 'Catégorie des articles'!$A:$D, 4, FALSE), "")</f>
        <v>CREMERIE</v>
      </c>
      <c r="G667">
        <f t="shared" si="10"/>
        <v>202206</v>
      </c>
    </row>
    <row r="668" spans="1:7" ht="12" customHeight="1">
      <c r="A668" s="9">
        <v>44740</v>
      </c>
      <c r="B668" s="10">
        <v>142756659</v>
      </c>
      <c r="C668" s="3">
        <v>5540246188175</v>
      </c>
      <c r="D668" s="9">
        <v>44742</v>
      </c>
      <c r="E668" s="11">
        <v>232</v>
      </c>
      <c r="F668" s="23" t="str">
        <f>IFERROR(VLOOKUP(C668, 'Catégorie des articles'!$A:$D, 4, FALSE), "")</f>
        <v>CREMERIE</v>
      </c>
      <c r="G668">
        <f t="shared" si="10"/>
        <v>202206</v>
      </c>
    </row>
    <row r="669" spans="1:7" ht="12" customHeight="1">
      <c r="A669" s="9">
        <v>44740</v>
      </c>
      <c r="B669" s="10">
        <v>142756659</v>
      </c>
      <c r="C669" s="3">
        <v>5540246192102</v>
      </c>
      <c r="D669" s="9">
        <v>44742</v>
      </c>
      <c r="E669" s="11">
        <v>2005</v>
      </c>
      <c r="F669" s="23" t="str">
        <f>IFERROR(VLOOKUP(C669, 'Catégorie des articles'!$A:$D, 4, FALSE), "")</f>
        <v>CREMERIE</v>
      </c>
      <c r="G669">
        <f t="shared" si="10"/>
        <v>202206</v>
      </c>
    </row>
    <row r="670" spans="1:7" ht="12" customHeight="1">
      <c r="A670" s="6">
        <v>44740</v>
      </c>
      <c r="B670" s="7">
        <v>142756660</v>
      </c>
      <c r="C670" s="3">
        <v>5540246174095</v>
      </c>
      <c r="D670" s="6">
        <v>44747</v>
      </c>
      <c r="E670" s="8">
        <v>70</v>
      </c>
      <c r="F670" s="23" t="str">
        <f>IFERROR(VLOOKUP(C670, 'Catégorie des articles'!$A:$D, 4, FALSE), "")</f>
        <v>CREMERIE</v>
      </c>
      <c r="G670">
        <f t="shared" si="10"/>
        <v>202207</v>
      </c>
    </row>
    <row r="671" spans="1:7" ht="12" customHeight="1">
      <c r="A671" s="9">
        <v>44740</v>
      </c>
      <c r="B671" s="10">
        <v>142756660</v>
      </c>
      <c r="C671" s="3">
        <v>5540246175047</v>
      </c>
      <c r="D671" s="9">
        <v>44747</v>
      </c>
      <c r="E671" s="11">
        <v>140</v>
      </c>
      <c r="F671" s="23" t="str">
        <f>IFERROR(VLOOKUP(C671, 'Catégorie des articles'!$A:$D, 4, FALSE), "")</f>
        <v>CREMERIE</v>
      </c>
      <c r="G671">
        <f t="shared" si="10"/>
        <v>202207</v>
      </c>
    </row>
    <row r="672" spans="1:7" ht="12" customHeight="1">
      <c r="A672" s="6">
        <v>44740</v>
      </c>
      <c r="B672" s="7">
        <v>142756660</v>
      </c>
      <c r="C672" s="3">
        <v>5540246175049</v>
      </c>
      <c r="D672" s="6">
        <v>44747</v>
      </c>
      <c r="E672" s="8">
        <v>557</v>
      </c>
      <c r="F672" s="23" t="str">
        <f>IFERROR(VLOOKUP(C672, 'Catégorie des articles'!$A:$D, 4, FALSE), "")</f>
        <v>CREMERIE</v>
      </c>
      <c r="G672">
        <f t="shared" si="10"/>
        <v>202207</v>
      </c>
    </row>
    <row r="673" spans="1:7" ht="12" customHeight="1">
      <c r="A673" s="9">
        <v>44740</v>
      </c>
      <c r="B673" s="10">
        <v>142756660</v>
      </c>
      <c r="C673" s="3">
        <v>5540246175050</v>
      </c>
      <c r="D673" s="9">
        <v>44747</v>
      </c>
      <c r="E673" s="11">
        <v>836</v>
      </c>
      <c r="F673" s="23" t="str">
        <f>IFERROR(VLOOKUP(C673, 'Catégorie des articles'!$A:$D, 4, FALSE), "")</f>
        <v>CREMERIE</v>
      </c>
      <c r="G673">
        <f t="shared" si="10"/>
        <v>202207</v>
      </c>
    </row>
    <row r="674" spans="1:7" ht="12" customHeight="1">
      <c r="A674" s="6">
        <v>44740</v>
      </c>
      <c r="B674" s="7">
        <v>142756660</v>
      </c>
      <c r="C674" s="3">
        <v>5540246190743</v>
      </c>
      <c r="D674" s="6">
        <v>44747</v>
      </c>
      <c r="E674" s="8">
        <v>140</v>
      </c>
      <c r="F674" s="23" t="str">
        <f>IFERROR(VLOOKUP(C674, 'Catégorie des articles'!$A:$D, 4, FALSE), "")</f>
        <v>CREMERIE</v>
      </c>
      <c r="G674">
        <f t="shared" si="10"/>
        <v>202207</v>
      </c>
    </row>
    <row r="675" spans="1:7" ht="12" customHeight="1">
      <c r="A675" s="9">
        <v>44741</v>
      </c>
      <c r="B675" s="10">
        <v>142756672</v>
      </c>
      <c r="C675" s="3">
        <v>5540246171933</v>
      </c>
      <c r="D675" s="9">
        <v>44745</v>
      </c>
      <c r="E675" s="11">
        <v>557</v>
      </c>
      <c r="F675" s="23" t="str">
        <f>IFERROR(VLOOKUP(C675, 'Catégorie des articles'!$A:$D, 4, FALSE), "")</f>
        <v>CREMERIE</v>
      </c>
      <c r="G675">
        <f t="shared" si="10"/>
        <v>202207</v>
      </c>
    </row>
    <row r="676" spans="1:7" ht="12" customHeight="1">
      <c r="A676" s="6">
        <v>44741</v>
      </c>
      <c r="B676" s="7">
        <v>142756672</v>
      </c>
      <c r="C676" s="3">
        <v>5540246176294</v>
      </c>
      <c r="D676" s="6">
        <v>44745</v>
      </c>
      <c r="E676" s="8">
        <v>2970</v>
      </c>
      <c r="F676" s="23" t="str">
        <f>IFERROR(VLOOKUP(C676, 'Catégorie des articles'!$A:$D, 4, FALSE), "")</f>
        <v>CREMERIE</v>
      </c>
      <c r="G676">
        <f t="shared" si="10"/>
        <v>202207</v>
      </c>
    </row>
    <row r="677" spans="1:7" ht="12" customHeight="1">
      <c r="A677" s="9">
        <v>44741</v>
      </c>
      <c r="B677" s="10">
        <v>142756672</v>
      </c>
      <c r="C677" s="3">
        <v>5540246176295</v>
      </c>
      <c r="D677" s="9">
        <v>44745</v>
      </c>
      <c r="E677" s="11">
        <v>7424</v>
      </c>
      <c r="F677" s="23" t="str">
        <f>IFERROR(VLOOKUP(C677, 'Catégorie des articles'!$A:$D, 4, FALSE), "")</f>
        <v>CREMERIE</v>
      </c>
      <c r="G677">
        <f t="shared" si="10"/>
        <v>202207</v>
      </c>
    </row>
    <row r="678" spans="1:7" ht="12" customHeight="1">
      <c r="A678" s="9">
        <v>44741</v>
      </c>
      <c r="B678" s="10">
        <v>142756672</v>
      </c>
      <c r="C678" s="3">
        <v>5540246187987</v>
      </c>
      <c r="D678" s="9">
        <v>44745</v>
      </c>
      <c r="E678" s="11">
        <v>6682</v>
      </c>
      <c r="F678" s="23" t="str">
        <f>IFERROR(VLOOKUP(C678, 'Catégorie des articles'!$A:$D, 4, FALSE), "")</f>
        <v>CREMERIE</v>
      </c>
      <c r="G678">
        <f t="shared" si="10"/>
        <v>202207</v>
      </c>
    </row>
    <row r="679" spans="1:7" ht="12" customHeight="1">
      <c r="A679" s="6">
        <v>44741</v>
      </c>
      <c r="B679" s="7">
        <v>142756672</v>
      </c>
      <c r="C679" s="3">
        <v>5540246188200</v>
      </c>
      <c r="D679" s="6">
        <v>44745</v>
      </c>
      <c r="E679" s="8">
        <v>1485</v>
      </c>
      <c r="F679" s="23" t="str">
        <f>IFERROR(VLOOKUP(C679, 'Catégorie des articles'!$A:$D, 4, FALSE), "")</f>
        <v>CREMERIE</v>
      </c>
      <c r="G679">
        <f t="shared" si="10"/>
        <v>202207</v>
      </c>
    </row>
    <row r="680" spans="1:7" ht="12" customHeight="1">
      <c r="A680" s="9">
        <v>44741</v>
      </c>
      <c r="B680" s="10">
        <v>142756674</v>
      </c>
      <c r="C680" s="3">
        <v>5540246172978</v>
      </c>
      <c r="D680" s="9">
        <v>44745</v>
      </c>
      <c r="E680" s="11">
        <v>836</v>
      </c>
      <c r="F680" s="23" t="str">
        <f>IFERROR(VLOOKUP(C680, 'Catégorie des articles'!$A:$D, 4, FALSE), "")</f>
        <v>CREMERIE</v>
      </c>
      <c r="G680">
        <f t="shared" si="10"/>
        <v>202207</v>
      </c>
    </row>
    <row r="681" spans="1:7" ht="12" customHeight="1">
      <c r="A681" s="6">
        <v>44741</v>
      </c>
      <c r="B681" s="7">
        <v>142756674</v>
      </c>
      <c r="C681" s="3">
        <v>5540246174174</v>
      </c>
      <c r="D681" s="6">
        <v>44745</v>
      </c>
      <c r="E681" s="8">
        <v>464</v>
      </c>
      <c r="F681" s="23" t="str">
        <f>IFERROR(VLOOKUP(C681, 'Catégorie des articles'!$A:$D, 4, FALSE), "")</f>
        <v>CREMERIE</v>
      </c>
      <c r="G681">
        <f t="shared" si="10"/>
        <v>202207</v>
      </c>
    </row>
    <row r="682" spans="1:7" ht="12" customHeight="1">
      <c r="A682" s="6">
        <v>44741</v>
      </c>
      <c r="B682" s="7">
        <v>142756674</v>
      </c>
      <c r="C682" s="3">
        <v>5540246176699</v>
      </c>
      <c r="D682" s="6">
        <v>44745</v>
      </c>
      <c r="E682" s="8">
        <v>3132</v>
      </c>
      <c r="F682" s="23" t="str">
        <f>IFERROR(VLOOKUP(C682, 'Catégorie des articles'!$A:$D, 4, FALSE), "")</f>
        <v>CREMERIE</v>
      </c>
      <c r="G682">
        <f t="shared" si="10"/>
        <v>202207</v>
      </c>
    </row>
    <row r="683" spans="1:7" ht="12" customHeight="1">
      <c r="A683" s="9">
        <v>44741</v>
      </c>
      <c r="B683" s="10">
        <v>142756677</v>
      </c>
      <c r="C683" s="3">
        <v>5540246185429</v>
      </c>
      <c r="D683" s="9">
        <v>44746</v>
      </c>
      <c r="E683" s="11">
        <v>140</v>
      </c>
      <c r="F683" s="23" t="str">
        <f>IFERROR(VLOOKUP(C683, 'Catégorie des articles'!$A:$D, 4, FALSE), "")</f>
        <v>CREMERIE</v>
      </c>
      <c r="G683">
        <f t="shared" si="10"/>
        <v>202207</v>
      </c>
    </row>
    <row r="684" spans="1:7" ht="12" customHeight="1">
      <c r="A684" s="6">
        <v>44741</v>
      </c>
      <c r="B684" s="7">
        <v>142756677</v>
      </c>
      <c r="C684" s="3">
        <v>5540246186325</v>
      </c>
      <c r="D684" s="6">
        <v>44746</v>
      </c>
      <c r="E684" s="8">
        <v>140</v>
      </c>
      <c r="F684" s="23" t="str">
        <f>IFERROR(VLOOKUP(C684, 'Catégorie des articles'!$A:$D, 4, FALSE), "")</f>
        <v>CREMERIE</v>
      </c>
      <c r="G684">
        <f t="shared" si="10"/>
        <v>202207</v>
      </c>
    </row>
    <row r="685" spans="1:7" ht="12" customHeight="1">
      <c r="A685" s="9">
        <v>44741</v>
      </c>
      <c r="B685" s="10">
        <v>142756694</v>
      </c>
      <c r="C685" s="3">
        <v>5540246182684</v>
      </c>
      <c r="D685" s="9">
        <v>44749</v>
      </c>
      <c r="E685" s="11">
        <v>325</v>
      </c>
      <c r="F685" s="23" t="str">
        <f>IFERROR(VLOOKUP(C685, 'Catégorie des articles'!$A:$D, 4, FALSE), "")</f>
        <v>BOULANGERIE</v>
      </c>
      <c r="G685">
        <f t="shared" si="10"/>
        <v>202207</v>
      </c>
    </row>
    <row r="686" spans="1:7" ht="12" customHeight="1">
      <c r="A686" s="6">
        <v>44741</v>
      </c>
      <c r="B686" s="7">
        <v>142756694</v>
      </c>
      <c r="C686" s="3">
        <v>5540246183844</v>
      </c>
      <c r="D686" s="6">
        <v>44749</v>
      </c>
      <c r="E686" s="8">
        <v>93</v>
      </c>
      <c r="F686" s="23" t="str">
        <f>IFERROR(VLOOKUP(C686, 'Catégorie des articles'!$A:$D, 4, FALSE), "")</f>
        <v>BOULANGERIE</v>
      </c>
      <c r="G686">
        <f t="shared" si="10"/>
        <v>202207</v>
      </c>
    </row>
    <row r="687" spans="1:7" ht="12" customHeight="1">
      <c r="A687" s="9">
        <v>44741</v>
      </c>
      <c r="B687" s="10">
        <v>142756696</v>
      </c>
      <c r="C687" s="3">
        <v>5540246192209</v>
      </c>
      <c r="D687" s="9">
        <v>44749</v>
      </c>
      <c r="E687" s="11">
        <v>1114</v>
      </c>
      <c r="F687" s="23" t="str">
        <f>IFERROR(VLOOKUP(C687, 'Catégorie des articles'!$A:$D, 4, FALSE), "")</f>
        <v>MIX LEGUMES</v>
      </c>
      <c r="G687">
        <f t="shared" si="10"/>
        <v>202207</v>
      </c>
    </row>
    <row r="688" spans="1:7" ht="12" customHeight="1">
      <c r="A688" s="6">
        <v>44741</v>
      </c>
      <c r="B688" s="7">
        <v>142756696</v>
      </c>
      <c r="C688" s="3">
        <v>5540246192831</v>
      </c>
      <c r="D688" s="6">
        <v>44749</v>
      </c>
      <c r="E688" s="8">
        <v>1300</v>
      </c>
      <c r="F688" s="23" t="str">
        <f>IFERROR(VLOOKUP(C688, 'Catégorie des articles'!$A:$D, 4, FALSE), "")</f>
        <v>MIX LEGUMES</v>
      </c>
      <c r="G688">
        <f t="shared" si="10"/>
        <v>202207</v>
      </c>
    </row>
    <row r="689" spans="1:7" ht="12" customHeight="1">
      <c r="A689" s="6">
        <v>44742</v>
      </c>
      <c r="B689" s="7">
        <v>142766701</v>
      </c>
      <c r="C689" s="3">
        <v>5540246172669</v>
      </c>
      <c r="D689" s="6">
        <v>44746</v>
      </c>
      <c r="E689" s="8">
        <v>140</v>
      </c>
      <c r="F689" s="23" t="str">
        <f>IFERROR(VLOOKUP(C689, 'Catégorie des articles'!$A:$D, 4, FALSE), "")</f>
        <v>CREMERIE</v>
      </c>
      <c r="G689">
        <f t="shared" si="10"/>
        <v>202207</v>
      </c>
    </row>
    <row r="690" spans="1:7" ht="12" customHeight="1">
      <c r="A690" s="9">
        <v>44742</v>
      </c>
      <c r="B690" s="10">
        <v>142766701</v>
      </c>
      <c r="C690" s="3">
        <v>5540246174174</v>
      </c>
      <c r="D690" s="9">
        <v>44746</v>
      </c>
      <c r="E690" s="11">
        <v>232</v>
      </c>
      <c r="F690" s="23" t="str">
        <f>IFERROR(VLOOKUP(C690, 'Catégorie des articles'!$A:$D, 4, FALSE), "")</f>
        <v>CREMERIE</v>
      </c>
      <c r="G690">
        <f t="shared" si="10"/>
        <v>202207</v>
      </c>
    </row>
    <row r="691" spans="1:7" ht="12" customHeight="1">
      <c r="A691" s="9">
        <v>44742</v>
      </c>
      <c r="B691" s="10">
        <v>142766701</v>
      </c>
      <c r="C691" s="3">
        <v>5540246176699</v>
      </c>
      <c r="D691" s="9">
        <v>44746</v>
      </c>
      <c r="E691" s="11">
        <v>4176</v>
      </c>
      <c r="F691" s="23" t="str">
        <f>IFERROR(VLOOKUP(C691, 'Catégorie des articles'!$A:$D, 4, FALSE), "")</f>
        <v>CREMERIE</v>
      </c>
      <c r="G691">
        <f t="shared" si="10"/>
        <v>202207</v>
      </c>
    </row>
    <row r="692" spans="1:7" ht="12" customHeight="1">
      <c r="A692" s="9">
        <v>44742</v>
      </c>
      <c r="B692" s="10">
        <v>142766701</v>
      </c>
      <c r="C692" s="3">
        <v>5540246188175</v>
      </c>
      <c r="D692" s="9">
        <v>44746</v>
      </c>
      <c r="E692" s="11">
        <v>116</v>
      </c>
      <c r="F692" s="23" t="str">
        <f>IFERROR(VLOOKUP(C692, 'Catégorie des articles'!$A:$D, 4, FALSE), "")</f>
        <v>CREMERIE</v>
      </c>
      <c r="G692">
        <f t="shared" si="10"/>
        <v>202207</v>
      </c>
    </row>
    <row r="693" spans="1:7" ht="12" customHeight="1">
      <c r="A693" s="6">
        <v>44742</v>
      </c>
      <c r="B693" s="7">
        <v>142766702</v>
      </c>
      <c r="C693" s="3">
        <v>5540246176295</v>
      </c>
      <c r="D693" s="6">
        <v>44746</v>
      </c>
      <c r="E693" s="8">
        <v>4455</v>
      </c>
      <c r="F693" s="23" t="str">
        <f>IFERROR(VLOOKUP(C693, 'Catégorie des articles'!$A:$D, 4, FALSE), "")</f>
        <v>CREMERIE</v>
      </c>
      <c r="G693">
        <f t="shared" si="10"/>
        <v>202207</v>
      </c>
    </row>
    <row r="694" spans="1:7" ht="12" customHeight="1">
      <c r="A694" s="9">
        <v>44742</v>
      </c>
      <c r="B694" s="10">
        <v>142766702</v>
      </c>
      <c r="C694" s="3">
        <v>5540246187987</v>
      </c>
      <c r="D694" s="9">
        <v>44746</v>
      </c>
      <c r="E694" s="11">
        <v>4455</v>
      </c>
      <c r="F694" s="23" t="str">
        <f>IFERROR(VLOOKUP(C694, 'Catégorie des articles'!$A:$D, 4, FALSE), "")</f>
        <v>CREMERIE</v>
      </c>
      <c r="G694">
        <f t="shared" si="10"/>
        <v>202207</v>
      </c>
    </row>
    <row r="695" spans="1:7" ht="12" customHeight="1">
      <c r="A695" s="6">
        <v>44742</v>
      </c>
      <c r="B695" s="7">
        <v>142766702</v>
      </c>
      <c r="C695" s="3">
        <v>5540246188200</v>
      </c>
      <c r="D695" s="6">
        <v>44746</v>
      </c>
      <c r="E695" s="8">
        <v>743</v>
      </c>
      <c r="F695" s="23" t="str">
        <f>IFERROR(VLOOKUP(C695, 'Catégorie des articles'!$A:$D, 4, FALSE), "")</f>
        <v>CREMERIE</v>
      </c>
      <c r="G695">
        <f t="shared" si="10"/>
        <v>202207</v>
      </c>
    </row>
    <row r="696" spans="1:7" ht="12" customHeight="1">
      <c r="A696" s="9">
        <v>44742</v>
      </c>
      <c r="B696" s="10">
        <v>142766704</v>
      </c>
      <c r="C696" s="3">
        <v>5540246174095</v>
      </c>
      <c r="D696" s="9">
        <v>44749</v>
      </c>
      <c r="E696" s="11">
        <v>70</v>
      </c>
      <c r="F696" s="23" t="str">
        <f>IFERROR(VLOOKUP(C696, 'Catégorie des articles'!$A:$D, 4, FALSE), "")</f>
        <v>CREMERIE</v>
      </c>
      <c r="G696">
        <f t="shared" si="10"/>
        <v>202207</v>
      </c>
    </row>
    <row r="697" spans="1:7" ht="12" customHeight="1">
      <c r="A697" s="6">
        <v>44742</v>
      </c>
      <c r="B697" s="7">
        <v>142766704</v>
      </c>
      <c r="C697" s="3">
        <v>5540246175047</v>
      </c>
      <c r="D697" s="6">
        <v>44749</v>
      </c>
      <c r="E697" s="8">
        <v>140</v>
      </c>
      <c r="F697" s="23" t="str">
        <f>IFERROR(VLOOKUP(C697, 'Catégorie des articles'!$A:$D, 4, FALSE), "")</f>
        <v>CREMERIE</v>
      </c>
      <c r="G697">
        <f t="shared" si="10"/>
        <v>202207</v>
      </c>
    </row>
    <row r="698" spans="1:7" ht="12" customHeight="1">
      <c r="A698" s="9">
        <v>44742</v>
      </c>
      <c r="B698" s="10">
        <v>142766704</v>
      </c>
      <c r="C698" s="3">
        <v>5540246175049</v>
      </c>
      <c r="D698" s="9">
        <v>44749</v>
      </c>
      <c r="E698" s="11">
        <v>279</v>
      </c>
      <c r="F698" s="23" t="str">
        <f>IFERROR(VLOOKUP(C698, 'Catégorie des articles'!$A:$D, 4, FALSE), "")</f>
        <v>CREMERIE</v>
      </c>
      <c r="G698">
        <f t="shared" si="10"/>
        <v>202207</v>
      </c>
    </row>
    <row r="699" spans="1:7" ht="12" customHeight="1">
      <c r="A699" s="6">
        <v>44742</v>
      </c>
      <c r="B699" s="7">
        <v>142766704</v>
      </c>
      <c r="C699" s="3">
        <v>5540246175050</v>
      </c>
      <c r="D699" s="6">
        <v>44749</v>
      </c>
      <c r="E699" s="8">
        <v>279</v>
      </c>
      <c r="F699" s="23" t="str">
        <f>IFERROR(VLOOKUP(C699, 'Catégorie des articles'!$A:$D, 4, FALSE), "")</f>
        <v>CREMERIE</v>
      </c>
      <c r="G699">
        <f t="shared" si="10"/>
        <v>202207</v>
      </c>
    </row>
    <row r="700" spans="1:7" ht="12" customHeight="1">
      <c r="A700" s="9">
        <v>44742</v>
      </c>
      <c r="B700" s="10">
        <v>142766704</v>
      </c>
      <c r="C700" s="3">
        <v>5540246190743</v>
      </c>
      <c r="D700" s="9">
        <v>44749</v>
      </c>
      <c r="E700" s="11">
        <v>140</v>
      </c>
      <c r="F700" s="23" t="str">
        <f>IFERROR(VLOOKUP(C700, 'Catégorie des articles'!$A:$D, 4, FALSE), "")</f>
        <v>CREMERIE</v>
      </c>
      <c r="G700">
        <f t="shared" si="10"/>
        <v>202207</v>
      </c>
    </row>
    <row r="701" spans="1:7" ht="12" customHeight="1">
      <c r="A701" s="9">
        <v>44742</v>
      </c>
      <c r="B701" s="10">
        <v>142766705</v>
      </c>
      <c r="C701" s="3">
        <v>5540246177132</v>
      </c>
      <c r="D701" s="9">
        <v>44746</v>
      </c>
      <c r="E701" s="11">
        <v>6496</v>
      </c>
      <c r="F701" s="23" t="str">
        <f>IFERROR(VLOOKUP(C701, 'Catégorie des articles'!$A:$D, 4, FALSE), "")</f>
        <v>MIX LEGUMES</v>
      </c>
      <c r="G701">
        <f t="shared" si="10"/>
        <v>202207</v>
      </c>
    </row>
    <row r="702" spans="1:7" ht="12" customHeight="1">
      <c r="A702" s="6">
        <v>44742</v>
      </c>
      <c r="B702" s="7">
        <v>142766705</v>
      </c>
      <c r="C702" s="3">
        <v>5540246177133</v>
      </c>
      <c r="D702" s="6">
        <v>44746</v>
      </c>
      <c r="E702" s="8">
        <v>4455</v>
      </c>
      <c r="F702" s="23" t="str">
        <f>IFERROR(VLOOKUP(C702, 'Catégorie des articles'!$A:$D, 4, FALSE), "")</f>
        <v>MIX LEGUMES</v>
      </c>
      <c r="G702">
        <f t="shared" si="10"/>
        <v>202207</v>
      </c>
    </row>
    <row r="703" spans="1:7" ht="12" customHeight="1">
      <c r="A703" s="9">
        <v>44742</v>
      </c>
      <c r="B703" s="10">
        <v>142766705</v>
      </c>
      <c r="C703" s="3">
        <v>5540246183542</v>
      </c>
      <c r="D703" s="9">
        <v>44746</v>
      </c>
      <c r="E703" s="11">
        <v>1253</v>
      </c>
      <c r="F703" s="23" t="str">
        <f>IFERROR(VLOOKUP(C703, 'Catégorie des articles'!$A:$D, 4, FALSE), "")</f>
        <v>MIX LEGUMES</v>
      </c>
      <c r="G703">
        <f t="shared" si="10"/>
        <v>202207</v>
      </c>
    </row>
    <row r="704" spans="1:7" ht="12" customHeight="1">
      <c r="A704" s="6">
        <v>44742</v>
      </c>
      <c r="B704" s="7">
        <v>142766705</v>
      </c>
      <c r="C704" s="3">
        <v>5540246192148</v>
      </c>
      <c r="D704" s="6">
        <v>44746</v>
      </c>
      <c r="E704" s="8">
        <v>5220</v>
      </c>
      <c r="F704" s="23" t="str">
        <f>IFERROR(VLOOKUP(C704, 'Catégorie des articles'!$A:$D, 4, FALSE), "")</f>
        <v>MIX LEGUMES</v>
      </c>
      <c r="G704">
        <f t="shared" si="10"/>
        <v>202207</v>
      </c>
    </row>
    <row r="705" spans="1:7" ht="12" customHeight="1">
      <c r="A705" s="9">
        <v>44742</v>
      </c>
      <c r="B705" s="10">
        <v>142766705</v>
      </c>
      <c r="C705" s="3">
        <v>5540246192518</v>
      </c>
      <c r="D705" s="9">
        <v>44746</v>
      </c>
      <c r="E705" s="11">
        <v>5847</v>
      </c>
      <c r="F705" s="23" t="str">
        <f>IFERROR(VLOOKUP(C705, 'Catégorie des articles'!$A:$D, 4, FALSE), "")</f>
        <v>MIX LEGUMES</v>
      </c>
      <c r="G705">
        <f t="shared" si="10"/>
        <v>202207</v>
      </c>
    </row>
    <row r="706" spans="1:7" ht="12" customHeight="1">
      <c r="A706" s="6">
        <v>44742</v>
      </c>
      <c r="B706" s="7">
        <v>142766712</v>
      </c>
      <c r="C706" s="3">
        <v>5540246173686</v>
      </c>
      <c r="D706" s="6">
        <v>44754</v>
      </c>
      <c r="E706" s="8">
        <v>223</v>
      </c>
      <c r="F706" s="23" t="str">
        <f>IFERROR(VLOOKUP(C706, 'Catégorie des articles'!$A:$D, 4, FALSE), "")</f>
        <v>EMBALLAGES</v>
      </c>
      <c r="G706">
        <f t="shared" si="10"/>
        <v>202207</v>
      </c>
    </row>
    <row r="707" spans="1:7" ht="12" customHeight="1">
      <c r="A707" s="9">
        <v>44745</v>
      </c>
      <c r="B707" s="10">
        <v>143246714</v>
      </c>
      <c r="C707" s="3">
        <v>5540246171933</v>
      </c>
      <c r="D707" s="9">
        <v>44747</v>
      </c>
      <c r="E707" s="11">
        <v>836</v>
      </c>
      <c r="F707" s="23" t="str">
        <f>IFERROR(VLOOKUP(C707, 'Catégorie des articles'!$A:$D, 4, FALSE), "")</f>
        <v>CREMERIE</v>
      </c>
      <c r="G707">
        <f t="shared" ref="G707:G770" si="11">YEAR(D707)*100 + MONTH(D707)</f>
        <v>202207</v>
      </c>
    </row>
    <row r="708" spans="1:7" ht="12" customHeight="1">
      <c r="A708" s="6">
        <v>44745</v>
      </c>
      <c r="B708" s="7">
        <v>143246714</v>
      </c>
      <c r="C708" s="3">
        <v>5540246176294</v>
      </c>
      <c r="D708" s="6">
        <v>44747</v>
      </c>
      <c r="E708" s="8">
        <v>1485</v>
      </c>
      <c r="F708" s="23" t="str">
        <f>IFERROR(VLOOKUP(C708, 'Catégorie des articles'!$A:$D, 4, FALSE), "")</f>
        <v>CREMERIE</v>
      </c>
      <c r="G708">
        <f t="shared" si="11"/>
        <v>202207</v>
      </c>
    </row>
    <row r="709" spans="1:7" ht="12" customHeight="1">
      <c r="A709" s="9">
        <v>44745</v>
      </c>
      <c r="B709" s="10">
        <v>143246714</v>
      </c>
      <c r="C709" s="3">
        <v>5540246176295</v>
      </c>
      <c r="D709" s="9">
        <v>44747</v>
      </c>
      <c r="E709" s="11">
        <v>4455</v>
      </c>
      <c r="F709" s="23" t="str">
        <f>IFERROR(VLOOKUP(C709, 'Catégorie des articles'!$A:$D, 4, FALSE), "")</f>
        <v>CREMERIE</v>
      </c>
      <c r="G709">
        <f t="shared" si="11"/>
        <v>202207</v>
      </c>
    </row>
    <row r="710" spans="1:7" ht="12" customHeight="1">
      <c r="A710" s="6">
        <v>44745</v>
      </c>
      <c r="B710" s="7">
        <v>143246714</v>
      </c>
      <c r="C710" s="3">
        <v>5540246188200</v>
      </c>
      <c r="D710" s="6">
        <v>44747</v>
      </c>
      <c r="E710" s="8">
        <v>743</v>
      </c>
      <c r="F710" s="23" t="str">
        <f>IFERROR(VLOOKUP(C710, 'Catégorie des articles'!$A:$D, 4, FALSE), "")</f>
        <v>CREMERIE</v>
      </c>
      <c r="G710">
        <f t="shared" si="11"/>
        <v>202207</v>
      </c>
    </row>
    <row r="711" spans="1:7" ht="12" customHeight="1">
      <c r="A711" s="6">
        <v>44745</v>
      </c>
      <c r="B711" s="7">
        <v>143246715</v>
      </c>
      <c r="C711" s="3">
        <v>5540246172978</v>
      </c>
      <c r="D711" s="6">
        <v>44747</v>
      </c>
      <c r="E711" s="8">
        <v>836</v>
      </c>
      <c r="F711" s="23" t="str">
        <f>IFERROR(VLOOKUP(C711, 'Catégorie des articles'!$A:$D, 4, FALSE), "")</f>
        <v>CREMERIE</v>
      </c>
      <c r="G711">
        <f t="shared" si="11"/>
        <v>202207</v>
      </c>
    </row>
    <row r="712" spans="1:7" ht="12" customHeight="1">
      <c r="A712" s="6">
        <v>44745</v>
      </c>
      <c r="B712" s="7">
        <v>143246715</v>
      </c>
      <c r="C712" s="3">
        <v>5540246176699</v>
      </c>
      <c r="D712" s="6">
        <v>44747</v>
      </c>
      <c r="E712" s="8">
        <v>2088</v>
      </c>
      <c r="F712" s="23" t="str">
        <f>IFERROR(VLOOKUP(C712, 'Catégorie des articles'!$A:$D, 4, FALSE), "")</f>
        <v>CREMERIE</v>
      </c>
      <c r="G712">
        <f t="shared" si="11"/>
        <v>202207</v>
      </c>
    </row>
    <row r="713" spans="1:7" ht="12" customHeight="1">
      <c r="A713" s="9">
        <v>44746</v>
      </c>
      <c r="B713" s="10">
        <v>143246731</v>
      </c>
      <c r="C713" s="3">
        <v>5540246172669</v>
      </c>
      <c r="D713" s="9">
        <v>44748</v>
      </c>
      <c r="E713" s="11">
        <v>140</v>
      </c>
      <c r="F713" s="23" t="str">
        <f>IFERROR(VLOOKUP(C713, 'Catégorie des articles'!$A:$D, 4, FALSE), "")</f>
        <v>CREMERIE</v>
      </c>
      <c r="G713">
        <f t="shared" si="11"/>
        <v>202207</v>
      </c>
    </row>
    <row r="714" spans="1:7" ht="12" customHeight="1">
      <c r="A714" s="6">
        <v>44746</v>
      </c>
      <c r="B714" s="7">
        <v>143246731</v>
      </c>
      <c r="C714" s="3">
        <v>5540246188175</v>
      </c>
      <c r="D714" s="6">
        <v>44748</v>
      </c>
      <c r="E714" s="8">
        <v>116</v>
      </c>
      <c r="F714" s="23" t="str">
        <f>IFERROR(VLOOKUP(C714, 'Catégorie des articles'!$A:$D, 4, FALSE), "")</f>
        <v>CREMERIE</v>
      </c>
      <c r="G714">
        <f t="shared" si="11"/>
        <v>202207</v>
      </c>
    </row>
    <row r="715" spans="1:7" ht="12" customHeight="1">
      <c r="A715" s="6">
        <v>44746</v>
      </c>
      <c r="B715" s="7">
        <v>143246732</v>
      </c>
      <c r="C715" s="3">
        <v>5540246171933</v>
      </c>
      <c r="D715" s="6">
        <v>44748</v>
      </c>
      <c r="E715" s="8">
        <v>279</v>
      </c>
      <c r="F715" s="23" t="str">
        <f>IFERROR(VLOOKUP(C715, 'Catégorie des articles'!$A:$D, 4, FALSE), "")</f>
        <v>CREMERIE</v>
      </c>
      <c r="G715">
        <f t="shared" si="11"/>
        <v>202207</v>
      </c>
    </row>
    <row r="716" spans="1:7" ht="12" customHeight="1">
      <c r="A716" s="6">
        <v>44746</v>
      </c>
      <c r="B716" s="7">
        <v>143246732</v>
      </c>
      <c r="C716" s="3">
        <v>5540246187987</v>
      </c>
      <c r="D716" s="6">
        <v>44748</v>
      </c>
      <c r="E716" s="8">
        <v>2228</v>
      </c>
      <c r="F716" s="23" t="str">
        <f>IFERROR(VLOOKUP(C716, 'Catégorie des articles'!$A:$D, 4, FALSE), "")</f>
        <v>CREMERIE</v>
      </c>
      <c r="G716">
        <f t="shared" si="11"/>
        <v>202207</v>
      </c>
    </row>
    <row r="717" spans="1:7" ht="12" customHeight="1">
      <c r="A717" s="9">
        <v>44746</v>
      </c>
      <c r="B717" s="10">
        <v>143246732</v>
      </c>
      <c r="C717" s="3">
        <v>5540246188200</v>
      </c>
      <c r="D717" s="9">
        <v>44748</v>
      </c>
      <c r="E717" s="11">
        <v>743</v>
      </c>
      <c r="F717" s="23" t="str">
        <f>IFERROR(VLOOKUP(C717, 'Catégorie des articles'!$A:$D, 4, FALSE), "")</f>
        <v>CREMERIE</v>
      </c>
      <c r="G717">
        <f t="shared" si="11"/>
        <v>202207</v>
      </c>
    </row>
    <row r="718" spans="1:7" ht="12" customHeight="1">
      <c r="A718" s="6">
        <v>44746</v>
      </c>
      <c r="B718" s="7">
        <v>143246741</v>
      </c>
      <c r="C718" s="3">
        <v>5540246183130</v>
      </c>
      <c r="D718" s="6">
        <v>44753</v>
      </c>
      <c r="E718" s="8">
        <v>1128</v>
      </c>
      <c r="F718" s="23" t="str">
        <f>IFERROR(VLOOKUP(C718, 'Catégorie des articles'!$A:$D, 4, FALSE), "")</f>
        <v>MIX LEGUMES</v>
      </c>
      <c r="G718">
        <f t="shared" si="11"/>
        <v>202207</v>
      </c>
    </row>
    <row r="719" spans="1:7" ht="12" customHeight="1">
      <c r="A719" s="9">
        <v>44746</v>
      </c>
      <c r="B719" s="10">
        <v>143246741</v>
      </c>
      <c r="C719" s="3">
        <v>5540246183537</v>
      </c>
      <c r="D719" s="9">
        <v>44753</v>
      </c>
      <c r="E719" s="11">
        <v>961</v>
      </c>
      <c r="F719" s="23" t="str">
        <f>IFERROR(VLOOKUP(C719, 'Catégorie des articles'!$A:$D, 4, FALSE), "")</f>
        <v>MIX LEGUMES</v>
      </c>
      <c r="G719">
        <f t="shared" si="11"/>
        <v>202207</v>
      </c>
    </row>
    <row r="720" spans="1:7" ht="12" customHeight="1">
      <c r="A720" s="6">
        <v>44746</v>
      </c>
      <c r="B720" s="7">
        <v>143246742</v>
      </c>
      <c r="C720" s="3">
        <v>5540246170256</v>
      </c>
      <c r="D720" s="6">
        <v>44754</v>
      </c>
      <c r="E720" s="8">
        <v>3174</v>
      </c>
      <c r="F720" s="23" t="str">
        <f>IFERROR(VLOOKUP(C720, 'Catégorie des articles'!$A:$D, 4, FALSE), "")</f>
        <v>BOULANGERIE</v>
      </c>
      <c r="G720">
        <f t="shared" si="11"/>
        <v>202207</v>
      </c>
    </row>
    <row r="721" spans="1:7" ht="12" customHeight="1">
      <c r="A721" s="9">
        <v>44746</v>
      </c>
      <c r="B721" s="10">
        <v>143246742</v>
      </c>
      <c r="C721" s="3">
        <v>5540246171888</v>
      </c>
      <c r="D721" s="9">
        <v>44754</v>
      </c>
      <c r="E721" s="11">
        <v>520</v>
      </c>
      <c r="F721" s="23" t="str">
        <f>IFERROR(VLOOKUP(C721, 'Catégorie des articles'!$A:$D, 4, FALSE), "")</f>
        <v>BOULANGERIE</v>
      </c>
      <c r="G721">
        <f t="shared" si="11"/>
        <v>202207</v>
      </c>
    </row>
    <row r="722" spans="1:7" ht="12" customHeight="1">
      <c r="A722" s="9">
        <v>44747</v>
      </c>
      <c r="B722" s="10">
        <v>143246755</v>
      </c>
      <c r="C722" s="3">
        <v>5540246172978</v>
      </c>
      <c r="D722" s="9">
        <v>44749</v>
      </c>
      <c r="E722" s="11">
        <v>836</v>
      </c>
      <c r="F722" s="23" t="str">
        <f>IFERROR(VLOOKUP(C722, 'Catégorie des articles'!$A:$D, 4, FALSE), "")</f>
        <v>CREMERIE</v>
      </c>
      <c r="G722">
        <f t="shared" si="11"/>
        <v>202207</v>
      </c>
    </row>
    <row r="723" spans="1:7" ht="12" customHeight="1">
      <c r="A723" s="9">
        <v>44747</v>
      </c>
      <c r="B723" s="10">
        <v>143246755</v>
      </c>
      <c r="C723" s="3">
        <v>5540246174174</v>
      </c>
      <c r="D723" s="9">
        <v>44749</v>
      </c>
      <c r="E723" s="11">
        <v>348</v>
      </c>
      <c r="F723" s="23" t="str">
        <f>IFERROR(VLOOKUP(C723, 'Catégorie des articles'!$A:$D, 4, FALSE), "")</f>
        <v>CREMERIE</v>
      </c>
      <c r="G723">
        <f t="shared" si="11"/>
        <v>202207</v>
      </c>
    </row>
    <row r="724" spans="1:7" ht="12" customHeight="1">
      <c r="A724" s="9">
        <v>44747</v>
      </c>
      <c r="B724" s="10">
        <v>143246756</v>
      </c>
      <c r="C724" s="3">
        <v>5540246171933</v>
      </c>
      <c r="D724" s="9">
        <v>44749</v>
      </c>
      <c r="E724" s="11">
        <v>836</v>
      </c>
      <c r="F724" s="23" t="str">
        <f>IFERROR(VLOOKUP(C724, 'Catégorie des articles'!$A:$D, 4, FALSE), "")</f>
        <v>CREMERIE</v>
      </c>
      <c r="G724">
        <f t="shared" si="11"/>
        <v>202207</v>
      </c>
    </row>
    <row r="725" spans="1:7" ht="12" customHeight="1">
      <c r="A725" s="6">
        <v>44747</v>
      </c>
      <c r="B725" s="7">
        <v>143246756</v>
      </c>
      <c r="C725" s="3">
        <v>5540246176294</v>
      </c>
      <c r="D725" s="6">
        <v>44749</v>
      </c>
      <c r="E725" s="8">
        <v>1485</v>
      </c>
      <c r="F725" s="23" t="str">
        <f>IFERROR(VLOOKUP(C725, 'Catégorie des articles'!$A:$D, 4, FALSE), "")</f>
        <v>CREMERIE</v>
      </c>
      <c r="G725">
        <f t="shared" si="11"/>
        <v>202207</v>
      </c>
    </row>
    <row r="726" spans="1:7" ht="12" customHeight="1">
      <c r="A726" s="9">
        <v>44747</v>
      </c>
      <c r="B726" s="10">
        <v>143246756</v>
      </c>
      <c r="C726" s="3">
        <v>5540246176295</v>
      </c>
      <c r="D726" s="9">
        <v>44749</v>
      </c>
      <c r="E726" s="11">
        <v>3712</v>
      </c>
      <c r="F726" s="23" t="str">
        <f>IFERROR(VLOOKUP(C726, 'Catégorie des articles'!$A:$D, 4, FALSE), "")</f>
        <v>CREMERIE</v>
      </c>
      <c r="G726">
        <f t="shared" si="11"/>
        <v>202207</v>
      </c>
    </row>
    <row r="727" spans="1:7" ht="12" customHeight="1">
      <c r="A727" s="6">
        <v>44747</v>
      </c>
      <c r="B727" s="7">
        <v>143246756</v>
      </c>
      <c r="C727" s="3">
        <v>5540246187987</v>
      </c>
      <c r="D727" s="6">
        <v>44749</v>
      </c>
      <c r="E727" s="8">
        <v>3341</v>
      </c>
      <c r="F727" s="23" t="str">
        <f>IFERROR(VLOOKUP(C727, 'Catégorie des articles'!$A:$D, 4, FALSE), "")</f>
        <v>CREMERIE</v>
      </c>
      <c r="G727">
        <f t="shared" si="11"/>
        <v>202207</v>
      </c>
    </row>
    <row r="728" spans="1:7" ht="12" customHeight="1">
      <c r="A728" s="9">
        <v>44747</v>
      </c>
      <c r="B728" s="10">
        <v>143246756</v>
      </c>
      <c r="C728" s="3">
        <v>5540246188200</v>
      </c>
      <c r="D728" s="9">
        <v>44749</v>
      </c>
      <c r="E728" s="11">
        <v>743</v>
      </c>
      <c r="F728" s="23" t="str">
        <f>IFERROR(VLOOKUP(C728, 'Catégorie des articles'!$A:$D, 4, FALSE), "")</f>
        <v>CREMERIE</v>
      </c>
      <c r="G728">
        <f t="shared" si="11"/>
        <v>202207</v>
      </c>
    </row>
    <row r="729" spans="1:7" ht="12" customHeight="1">
      <c r="A729" s="6">
        <v>44747</v>
      </c>
      <c r="B729" s="7">
        <v>143246759</v>
      </c>
      <c r="C729" s="3">
        <v>5540246175047</v>
      </c>
      <c r="D729" s="6">
        <v>44754</v>
      </c>
      <c r="E729" s="8">
        <v>418</v>
      </c>
      <c r="F729" s="23" t="str">
        <f>IFERROR(VLOOKUP(C729, 'Catégorie des articles'!$A:$D, 4, FALSE), "")</f>
        <v>CREMERIE</v>
      </c>
      <c r="G729">
        <f t="shared" si="11"/>
        <v>202207</v>
      </c>
    </row>
    <row r="730" spans="1:7" ht="12" customHeight="1">
      <c r="A730" s="9">
        <v>44747</v>
      </c>
      <c r="B730" s="10">
        <v>143246759</v>
      </c>
      <c r="C730" s="3">
        <v>5540246175049</v>
      </c>
      <c r="D730" s="9">
        <v>44754</v>
      </c>
      <c r="E730" s="11">
        <v>557</v>
      </c>
      <c r="F730" s="23" t="str">
        <f>IFERROR(VLOOKUP(C730, 'Catégorie des articles'!$A:$D, 4, FALSE), "")</f>
        <v>CREMERIE</v>
      </c>
      <c r="G730">
        <f t="shared" si="11"/>
        <v>202207</v>
      </c>
    </row>
    <row r="731" spans="1:7" ht="12" customHeight="1">
      <c r="A731" s="6">
        <v>44747</v>
      </c>
      <c r="B731" s="7">
        <v>143246759</v>
      </c>
      <c r="C731" s="3">
        <v>5540246175050</v>
      </c>
      <c r="D731" s="6">
        <v>44754</v>
      </c>
      <c r="E731" s="8">
        <v>557</v>
      </c>
      <c r="F731" s="23" t="str">
        <f>IFERROR(VLOOKUP(C731, 'Catégorie des articles'!$A:$D, 4, FALSE), "")</f>
        <v>CREMERIE</v>
      </c>
      <c r="G731">
        <f t="shared" si="11"/>
        <v>202207</v>
      </c>
    </row>
    <row r="732" spans="1:7" ht="12" customHeight="1">
      <c r="A732" s="9">
        <v>44747</v>
      </c>
      <c r="B732" s="10">
        <v>143246763</v>
      </c>
      <c r="C732" s="3">
        <v>5540246188583</v>
      </c>
      <c r="D732" s="9">
        <v>44752</v>
      </c>
      <c r="E732" s="11">
        <v>2228</v>
      </c>
      <c r="F732" s="23" t="str">
        <f>IFERROR(VLOOKUP(C732, 'Catégorie des articles'!$A:$D, 4, FALSE), "")</f>
        <v>BOULANGERIE</v>
      </c>
      <c r="G732">
        <f t="shared" si="11"/>
        <v>202207</v>
      </c>
    </row>
    <row r="733" spans="1:7" ht="12" customHeight="1">
      <c r="A733" s="6">
        <v>44747</v>
      </c>
      <c r="B733" s="7">
        <v>143246764</v>
      </c>
      <c r="C733" s="3">
        <v>5540246192264</v>
      </c>
      <c r="D733" s="6">
        <v>44775</v>
      </c>
      <c r="E733" s="8">
        <v>1485</v>
      </c>
      <c r="F733" s="23" t="str">
        <f>IFERROR(VLOOKUP(C733, 'Catégorie des articles'!$A:$D, 4, FALSE), "")</f>
        <v>CREMERIE</v>
      </c>
      <c r="G733">
        <f t="shared" si="11"/>
        <v>202208</v>
      </c>
    </row>
    <row r="734" spans="1:7" ht="12" customHeight="1">
      <c r="A734" s="9">
        <v>44747</v>
      </c>
      <c r="B734" s="10">
        <v>143246764</v>
      </c>
      <c r="C734" s="3">
        <v>5540246192265</v>
      </c>
      <c r="D734" s="9">
        <v>44775</v>
      </c>
      <c r="E734" s="11">
        <v>297</v>
      </c>
      <c r="F734" s="23" t="str">
        <f>IFERROR(VLOOKUP(C734, 'Catégorie des articles'!$A:$D, 4, FALSE), "")</f>
        <v>CREMERIE</v>
      </c>
      <c r="G734">
        <f t="shared" si="11"/>
        <v>202208</v>
      </c>
    </row>
    <row r="735" spans="1:7" ht="12" customHeight="1">
      <c r="A735" s="6">
        <v>44747</v>
      </c>
      <c r="B735" s="7">
        <v>143246771</v>
      </c>
      <c r="C735" s="3">
        <v>5540246181061</v>
      </c>
      <c r="D735" s="6">
        <v>44755</v>
      </c>
      <c r="E735" s="8">
        <v>2998</v>
      </c>
      <c r="F735" s="23" t="str">
        <f>IFERROR(VLOOKUP(C735, 'Catégorie des articles'!$A:$D, 4, FALSE), "")</f>
        <v>VOLAILLE</v>
      </c>
      <c r="G735">
        <f t="shared" si="11"/>
        <v>202207</v>
      </c>
    </row>
    <row r="736" spans="1:7" ht="12" customHeight="1">
      <c r="A736" s="9">
        <v>44747</v>
      </c>
      <c r="B736" s="10">
        <v>143246771</v>
      </c>
      <c r="C736" s="3">
        <v>5540246183547</v>
      </c>
      <c r="D736" s="9">
        <v>44755</v>
      </c>
      <c r="E736" s="11">
        <v>3341</v>
      </c>
      <c r="F736" s="23" t="str">
        <f>IFERROR(VLOOKUP(C736, 'Catégorie des articles'!$A:$D, 4, FALSE), "")</f>
        <v>VOLAILLE</v>
      </c>
      <c r="G736">
        <f t="shared" si="11"/>
        <v>202207</v>
      </c>
    </row>
    <row r="737" spans="1:7" ht="12" customHeight="1">
      <c r="A737" s="6">
        <v>44747</v>
      </c>
      <c r="B737" s="7">
        <v>143246771</v>
      </c>
      <c r="C737" s="3">
        <v>5540246185278</v>
      </c>
      <c r="D737" s="6">
        <v>44755</v>
      </c>
      <c r="E737" s="8">
        <v>1120</v>
      </c>
      <c r="F737" s="23" t="str">
        <f>IFERROR(VLOOKUP(C737, 'Catégorie des articles'!$A:$D, 4, FALSE), "")</f>
        <v>VOLAILLE</v>
      </c>
      <c r="G737">
        <f t="shared" si="11"/>
        <v>202207</v>
      </c>
    </row>
    <row r="738" spans="1:7" ht="12" customHeight="1">
      <c r="A738" s="9">
        <v>44747</v>
      </c>
      <c r="B738" s="10">
        <v>143246772</v>
      </c>
      <c r="C738" s="3">
        <v>5540246192907</v>
      </c>
      <c r="D738" s="9">
        <v>44761</v>
      </c>
      <c r="E738" s="11">
        <v>6682</v>
      </c>
      <c r="F738" s="23" t="str">
        <f>IFERROR(VLOOKUP(C738, 'Catégorie des articles'!$A:$D, 4, FALSE), "")</f>
        <v>VOLAILLE</v>
      </c>
      <c r="G738">
        <f t="shared" si="11"/>
        <v>202207</v>
      </c>
    </row>
    <row r="739" spans="1:7" ht="12" customHeight="1">
      <c r="A739" s="6">
        <v>44747</v>
      </c>
      <c r="B739" s="7">
        <v>143246775</v>
      </c>
      <c r="C739" s="3">
        <v>5540246177132</v>
      </c>
      <c r="D739" s="6">
        <v>44752</v>
      </c>
      <c r="E739" s="8">
        <v>3248</v>
      </c>
      <c r="F739" s="23" t="str">
        <f>IFERROR(VLOOKUP(C739, 'Catégorie des articles'!$A:$D, 4, FALSE), "")</f>
        <v>MIX LEGUMES</v>
      </c>
      <c r="G739">
        <f t="shared" si="11"/>
        <v>202207</v>
      </c>
    </row>
    <row r="740" spans="1:7" ht="12" customHeight="1">
      <c r="A740" s="9">
        <v>44747</v>
      </c>
      <c r="B740" s="10">
        <v>143246775</v>
      </c>
      <c r="C740" s="3">
        <v>5540246177133</v>
      </c>
      <c r="D740" s="9">
        <v>44752</v>
      </c>
      <c r="E740" s="11">
        <v>5568</v>
      </c>
      <c r="F740" s="23" t="str">
        <f>IFERROR(VLOOKUP(C740, 'Catégorie des articles'!$A:$D, 4, FALSE), "")</f>
        <v>MIX LEGUMES</v>
      </c>
      <c r="G740">
        <f t="shared" si="11"/>
        <v>202207</v>
      </c>
    </row>
    <row r="741" spans="1:7" ht="12" customHeight="1">
      <c r="A741" s="6">
        <v>44747</v>
      </c>
      <c r="B741" s="7">
        <v>143246775</v>
      </c>
      <c r="C741" s="3">
        <v>5540246192148</v>
      </c>
      <c r="D741" s="6">
        <v>44752</v>
      </c>
      <c r="E741" s="8">
        <v>11136</v>
      </c>
      <c r="F741" s="23" t="str">
        <f>IFERROR(VLOOKUP(C741, 'Catégorie des articles'!$A:$D, 4, FALSE), "")</f>
        <v>MIX LEGUMES</v>
      </c>
      <c r="G741">
        <f t="shared" si="11"/>
        <v>202207</v>
      </c>
    </row>
    <row r="742" spans="1:7" ht="12" customHeight="1">
      <c r="A742" s="9">
        <v>44747</v>
      </c>
      <c r="B742" s="10">
        <v>143246775</v>
      </c>
      <c r="C742" s="3">
        <v>5540246192518</v>
      </c>
      <c r="D742" s="9">
        <v>44752</v>
      </c>
      <c r="E742" s="11">
        <v>2924</v>
      </c>
      <c r="F742" s="23" t="str">
        <f>IFERROR(VLOOKUP(C742, 'Catégorie des articles'!$A:$D, 4, FALSE), "")</f>
        <v>MIX LEGUMES</v>
      </c>
      <c r="G742">
        <f t="shared" si="11"/>
        <v>202207</v>
      </c>
    </row>
    <row r="743" spans="1:7" ht="12" customHeight="1">
      <c r="A743" s="9">
        <v>44747</v>
      </c>
      <c r="B743" s="10">
        <v>143246782</v>
      </c>
      <c r="C743" s="3">
        <v>5540246193316</v>
      </c>
      <c r="D743" s="9">
        <v>44756</v>
      </c>
      <c r="E743" s="11">
        <v>335</v>
      </c>
      <c r="F743" s="23" t="str">
        <f>IFERROR(VLOOKUP(C743, 'Catégorie des articles'!$A:$D, 4, FALSE), "")</f>
        <v>BOULANGERIE</v>
      </c>
      <c r="G743">
        <f t="shared" si="11"/>
        <v>202207</v>
      </c>
    </row>
    <row r="744" spans="1:7" ht="12" customHeight="1">
      <c r="A744" s="9">
        <v>44748</v>
      </c>
      <c r="B744" s="10">
        <v>143246791</v>
      </c>
      <c r="C744" s="3">
        <v>5540246171933</v>
      </c>
      <c r="D744" s="9">
        <v>44752</v>
      </c>
      <c r="E744" s="11">
        <v>1114</v>
      </c>
      <c r="F744" s="23" t="str">
        <f>IFERROR(VLOOKUP(C744, 'Catégorie des articles'!$A:$D, 4, FALSE), "")</f>
        <v>CREMERIE</v>
      </c>
      <c r="G744">
        <f t="shared" si="11"/>
        <v>202207</v>
      </c>
    </row>
    <row r="745" spans="1:7" ht="12" customHeight="1">
      <c r="A745" s="9">
        <v>44748</v>
      </c>
      <c r="B745" s="10">
        <v>143246791</v>
      </c>
      <c r="C745" s="3">
        <v>5540246176294</v>
      </c>
      <c r="D745" s="9">
        <v>44752</v>
      </c>
      <c r="E745" s="11">
        <v>1485</v>
      </c>
      <c r="F745" s="23" t="str">
        <f>IFERROR(VLOOKUP(C745, 'Catégorie des articles'!$A:$D, 4, FALSE), "")</f>
        <v>CREMERIE</v>
      </c>
      <c r="G745">
        <f t="shared" si="11"/>
        <v>202207</v>
      </c>
    </row>
    <row r="746" spans="1:7" ht="12" customHeight="1">
      <c r="A746" s="6">
        <v>44748</v>
      </c>
      <c r="B746" s="7">
        <v>143246791</v>
      </c>
      <c r="C746" s="3">
        <v>5540246176295</v>
      </c>
      <c r="D746" s="6">
        <v>44752</v>
      </c>
      <c r="E746" s="8">
        <v>4455</v>
      </c>
      <c r="F746" s="23" t="str">
        <f>IFERROR(VLOOKUP(C746, 'Catégorie des articles'!$A:$D, 4, FALSE), "")</f>
        <v>CREMERIE</v>
      </c>
      <c r="G746">
        <f t="shared" si="11"/>
        <v>202207</v>
      </c>
    </row>
    <row r="747" spans="1:7" ht="12" customHeight="1">
      <c r="A747" s="9">
        <v>44748</v>
      </c>
      <c r="B747" s="10">
        <v>143246791</v>
      </c>
      <c r="C747" s="3">
        <v>5540246188200</v>
      </c>
      <c r="D747" s="9">
        <v>44752</v>
      </c>
      <c r="E747" s="11">
        <v>1485</v>
      </c>
      <c r="F747" s="23" t="str">
        <f>IFERROR(VLOOKUP(C747, 'Catégorie des articles'!$A:$D, 4, FALSE), "")</f>
        <v>CREMERIE</v>
      </c>
      <c r="G747">
        <f t="shared" si="11"/>
        <v>202207</v>
      </c>
    </row>
    <row r="748" spans="1:7" ht="12" customHeight="1">
      <c r="A748" s="9">
        <v>44748</v>
      </c>
      <c r="B748" s="10">
        <v>143246793</v>
      </c>
      <c r="C748" s="3">
        <v>5540246172669</v>
      </c>
      <c r="D748" s="9">
        <v>44752</v>
      </c>
      <c r="E748" s="11">
        <v>279</v>
      </c>
      <c r="F748" s="23" t="str">
        <f>IFERROR(VLOOKUP(C748, 'Catégorie des articles'!$A:$D, 4, FALSE), "")</f>
        <v>CREMERIE</v>
      </c>
      <c r="G748">
        <f t="shared" si="11"/>
        <v>202207</v>
      </c>
    </row>
    <row r="749" spans="1:7" ht="12" customHeight="1">
      <c r="A749" s="6">
        <v>44748</v>
      </c>
      <c r="B749" s="7">
        <v>143246793</v>
      </c>
      <c r="C749" s="3">
        <v>5540246174174</v>
      </c>
      <c r="D749" s="6">
        <v>44752</v>
      </c>
      <c r="E749" s="8">
        <v>464</v>
      </c>
      <c r="F749" s="23" t="str">
        <f>IFERROR(VLOOKUP(C749, 'Catégorie des articles'!$A:$D, 4, FALSE), "")</f>
        <v>CREMERIE</v>
      </c>
      <c r="G749">
        <f t="shared" si="11"/>
        <v>202207</v>
      </c>
    </row>
    <row r="750" spans="1:7" ht="12" customHeight="1">
      <c r="A750" s="9">
        <v>44748</v>
      </c>
      <c r="B750" s="10">
        <v>143246793</v>
      </c>
      <c r="C750" s="3">
        <v>5540246188175</v>
      </c>
      <c r="D750" s="9">
        <v>44752</v>
      </c>
      <c r="E750" s="11">
        <v>116</v>
      </c>
      <c r="F750" s="23" t="str">
        <f>IFERROR(VLOOKUP(C750, 'Catégorie des articles'!$A:$D, 4, FALSE), "")</f>
        <v>CREMERIE</v>
      </c>
      <c r="G750">
        <f t="shared" si="11"/>
        <v>202207</v>
      </c>
    </row>
    <row r="751" spans="1:7" ht="12" customHeight="1">
      <c r="A751" s="9">
        <v>44748</v>
      </c>
      <c r="B751" s="10">
        <v>143246802</v>
      </c>
      <c r="C751" s="3">
        <v>5540246180522</v>
      </c>
      <c r="D751" s="9">
        <v>44752</v>
      </c>
      <c r="E751" s="11">
        <v>557</v>
      </c>
      <c r="F751" s="23" t="str">
        <f>IFERROR(VLOOKUP(C751, 'Catégorie des articles'!$A:$D, 4, FALSE), "")</f>
        <v>BOULANGERIE</v>
      </c>
      <c r="G751">
        <f t="shared" si="11"/>
        <v>202207</v>
      </c>
    </row>
    <row r="752" spans="1:7" ht="12" customHeight="1">
      <c r="A752" s="6">
        <v>44748</v>
      </c>
      <c r="B752" s="7">
        <v>143246803</v>
      </c>
      <c r="C752" s="3">
        <v>5540246180522</v>
      </c>
      <c r="D752" s="6">
        <v>44762</v>
      </c>
      <c r="E752" s="8">
        <v>891</v>
      </c>
      <c r="F752" s="23" t="str">
        <f>IFERROR(VLOOKUP(C752, 'Catégorie des articles'!$A:$D, 4, FALSE), "")</f>
        <v>BOULANGERIE</v>
      </c>
      <c r="G752">
        <f t="shared" si="11"/>
        <v>202207</v>
      </c>
    </row>
    <row r="753" spans="1:7" ht="12" customHeight="1">
      <c r="A753" s="6">
        <v>44749</v>
      </c>
      <c r="B753" s="7">
        <v>143246815</v>
      </c>
      <c r="C753" s="3">
        <v>5540246171933</v>
      </c>
      <c r="D753" s="6">
        <v>44753</v>
      </c>
      <c r="E753" s="8">
        <v>557</v>
      </c>
      <c r="F753" s="23" t="str">
        <f>IFERROR(VLOOKUP(C753, 'Catégorie des articles'!$A:$D, 4, FALSE), "")</f>
        <v>CREMERIE</v>
      </c>
      <c r="G753">
        <f t="shared" si="11"/>
        <v>202207</v>
      </c>
    </row>
    <row r="754" spans="1:7" ht="12" customHeight="1">
      <c r="A754" s="9">
        <v>44749</v>
      </c>
      <c r="B754" s="10">
        <v>143246815</v>
      </c>
      <c r="C754" s="3">
        <v>5540246187987</v>
      </c>
      <c r="D754" s="9">
        <v>44753</v>
      </c>
      <c r="E754" s="11">
        <v>2228</v>
      </c>
      <c r="F754" s="23" t="str">
        <f>IFERROR(VLOOKUP(C754, 'Catégorie des articles'!$A:$D, 4, FALSE), "")</f>
        <v>CREMERIE</v>
      </c>
      <c r="G754">
        <f t="shared" si="11"/>
        <v>202207</v>
      </c>
    </row>
    <row r="755" spans="1:7" ht="12" customHeight="1">
      <c r="A755" s="6">
        <v>44749</v>
      </c>
      <c r="B755" s="7">
        <v>143246815</v>
      </c>
      <c r="C755" s="3">
        <v>5540246188200</v>
      </c>
      <c r="D755" s="6">
        <v>44753</v>
      </c>
      <c r="E755" s="8">
        <v>1485</v>
      </c>
      <c r="F755" s="23" t="str">
        <f>IFERROR(VLOOKUP(C755, 'Catégorie des articles'!$A:$D, 4, FALSE), "")</f>
        <v>CREMERIE</v>
      </c>
      <c r="G755">
        <f t="shared" si="11"/>
        <v>202207</v>
      </c>
    </row>
    <row r="756" spans="1:7" ht="12" customHeight="1">
      <c r="A756" s="6">
        <v>44749</v>
      </c>
      <c r="B756" s="7">
        <v>143246816</v>
      </c>
      <c r="C756" s="3">
        <v>5540246172539</v>
      </c>
      <c r="D756" s="6">
        <v>44753</v>
      </c>
      <c r="E756" s="8">
        <v>47</v>
      </c>
      <c r="F756" s="23" t="str">
        <f>IFERROR(VLOOKUP(C756, 'Catégorie des articles'!$A:$D, 4, FALSE), "")</f>
        <v>CREMERIE</v>
      </c>
      <c r="G756">
        <f t="shared" si="11"/>
        <v>202207</v>
      </c>
    </row>
    <row r="757" spans="1:7" ht="12" customHeight="1">
      <c r="A757" s="9">
        <v>44749</v>
      </c>
      <c r="B757" s="10">
        <v>143246816</v>
      </c>
      <c r="C757" s="3">
        <v>5540246172669</v>
      </c>
      <c r="D757" s="9">
        <v>44753</v>
      </c>
      <c r="E757" s="11">
        <v>279</v>
      </c>
      <c r="F757" s="23" t="str">
        <f>IFERROR(VLOOKUP(C757, 'Catégorie des articles'!$A:$D, 4, FALSE), "")</f>
        <v>CREMERIE</v>
      </c>
      <c r="G757">
        <f t="shared" si="11"/>
        <v>202207</v>
      </c>
    </row>
    <row r="758" spans="1:7" ht="12" customHeight="1">
      <c r="A758" s="6">
        <v>44749</v>
      </c>
      <c r="B758" s="7">
        <v>143246816</v>
      </c>
      <c r="C758" s="3">
        <v>5540246172978</v>
      </c>
      <c r="D758" s="6">
        <v>44753</v>
      </c>
      <c r="E758" s="8">
        <v>1671</v>
      </c>
      <c r="F758" s="23" t="str">
        <f>IFERROR(VLOOKUP(C758, 'Catégorie des articles'!$A:$D, 4, FALSE), "")</f>
        <v>CREMERIE</v>
      </c>
      <c r="G758">
        <f t="shared" si="11"/>
        <v>202207</v>
      </c>
    </row>
    <row r="759" spans="1:7" ht="12" customHeight="1">
      <c r="A759" s="6">
        <v>44749</v>
      </c>
      <c r="B759" s="7">
        <v>143246816</v>
      </c>
      <c r="C759" s="3">
        <v>5540246174174</v>
      </c>
      <c r="D759" s="6">
        <v>44753</v>
      </c>
      <c r="E759" s="8">
        <v>464</v>
      </c>
      <c r="F759" s="23" t="str">
        <f>IFERROR(VLOOKUP(C759, 'Catégorie des articles'!$A:$D, 4, FALSE), "")</f>
        <v>CREMERIE</v>
      </c>
      <c r="G759">
        <f t="shared" si="11"/>
        <v>202207</v>
      </c>
    </row>
    <row r="760" spans="1:7" ht="12" customHeight="1">
      <c r="A760" s="6">
        <v>44749</v>
      </c>
      <c r="B760" s="7">
        <v>143246816</v>
      </c>
      <c r="C760" s="3">
        <v>5540246176699</v>
      </c>
      <c r="D760" s="6">
        <v>44753</v>
      </c>
      <c r="E760" s="8">
        <v>6264</v>
      </c>
      <c r="F760" s="23" t="str">
        <f>IFERROR(VLOOKUP(C760, 'Catégorie des articles'!$A:$D, 4, FALSE), "")</f>
        <v>CREMERIE</v>
      </c>
      <c r="G760">
        <f t="shared" si="11"/>
        <v>202207</v>
      </c>
    </row>
    <row r="761" spans="1:7" ht="12" customHeight="1">
      <c r="A761" s="9">
        <v>44749</v>
      </c>
      <c r="B761" s="10">
        <v>143246816</v>
      </c>
      <c r="C761" s="3">
        <v>5540246192102</v>
      </c>
      <c r="D761" s="9">
        <v>44753</v>
      </c>
      <c r="E761" s="11">
        <v>4009</v>
      </c>
      <c r="F761" s="23" t="str">
        <f>IFERROR(VLOOKUP(C761, 'Catégorie des articles'!$A:$D, 4, FALSE), "")</f>
        <v>CREMERIE</v>
      </c>
      <c r="G761">
        <f t="shared" si="11"/>
        <v>202207</v>
      </c>
    </row>
    <row r="762" spans="1:7" ht="12" customHeight="1">
      <c r="A762" s="9">
        <v>44749</v>
      </c>
      <c r="B762" s="10">
        <v>143246818</v>
      </c>
      <c r="C762" s="3">
        <v>5540246173906</v>
      </c>
      <c r="D762" s="9">
        <v>44760</v>
      </c>
      <c r="E762" s="11">
        <v>2450</v>
      </c>
      <c r="F762" s="23" t="str">
        <f>IFERROR(VLOOKUP(C762, 'Catégorie des articles'!$A:$D, 4, FALSE), "")</f>
        <v>VOLAILLE</v>
      </c>
      <c r="G762">
        <f t="shared" si="11"/>
        <v>202207</v>
      </c>
    </row>
    <row r="763" spans="1:7" ht="12" customHeight="1">
      <c r="A763" s="6">
        <v>44749</v>
      </c>
      <c r="B763" s="7">
        <v>143246818</v>
      </c>
      <c r="C763" s="3">
        <v>5540246181016</v>
      </c>
      <c r="D763" s="6">
        <v>44760</v>
      </c>
      <c r="E763" s="8">
        <v>10691</v>
      </c>
      <c r="F763" s="23" t="str">
        <f>IFERROR(VLOOKUP(C763, 'Catégorie des articles'!$A:$D, 4, FALSE), "")</f>
        <v>VOLAILLE</v>
      </c>
      <c r="G763">
        <f t="shared" si="11"/>
        <v>202207</v>
      </c>
    </row>
    <row r="764" spans="1:7" ht="12" customHeight="1">
      <c r="A764" s="6">
        <v>44749</v>
      </c>
      <c r="B764" s="7">
        <v>143246822</v>
      </c>
      <c r="C764" s="3">
        <v>5540246174095</v>
      </c>
      <c r="D764" s="6">
        <v>44756</v>
      </c>
      <c r="E764" s="8">
        <v>70</v>
      </c>
      <c r="F764" s="23" t="str">
        <f>IFERROR(VLOOKUP(C764, 'Catégorie des articles'!$A:$D, 4, FALSE), "")</f>
        <v>CREMERIE</v>
      </c>
      <c r="G764">
        <f t="shared" si="11"/>
        <v>202207</v>
      </c>
    </row>
    <row r="765" spans="1:7" ht="12" customHeight="1">
      <c r="A765" s="9">
        <v>44749</v>
      </c>
      <c r="B765" s="10">
        <v>143246822</v>
      </c>
      <c r="C765" s="3">
        <v>5540246175049</v>
      </c>
      <c r="D765" s="9">
        <v>44756</v>
      </c>
      <c r="E765" s="11">
        <v>836</v>
      </c>
      <c r="F765" s="23" t="str">
        <f>IFERROR(VLOOKUP(C765, 'Catégorie des articles'!$A:$D, 4, FALSE), "")</f>
        <v>CREMERIE</v>
      </c>
      <c r="G765">
        <f t="shared" si="11"/>
        <v>202207</v>
      </c>
    </row>
    <row r="766" spans="1:7" ht="12" customHeight="1">
      <c r="A766" s="6">
        <v>44749</v>
      </c>
      <c r="B766" s="7">
        <v>143246822</v>
      </c>
      <c r="C766" s="3">
        <v>5540246175050</v>
      </c>
      <c r="D766" s="6">
        <v>44756</v>
      </c>
      <c r="E766" s="8">
        <v>557</v>
      </c>
      <c r="F766" s="23" t="str">
        <f>IFERROR(VLOOKUP(C766, 'Catégorie des articles'!$A:$D, 4, FALSE), "")</f>
        <v>CREMERIE</v>
      </c>
      <c r="G766">
        <f t="shared" si="11"/>
        <v>202207</v>
      </c>
    </row>
    <row r="767" spans="1:7" ht="12" customHeight="1">
      <c r="A767" s="9">
        <v>44749</v>
      </c>
      <c r="B767" s="10">
        <v>143246822</v>
      </c>
      <c r="C767" s="3">
        <v>5540246190743</v>
      </c>
      <c r="D767" s="9">
        <v>44756</v>
      </c>
      <c r="E767" s="11">
        <v>279</v>
      </c>
      <c r="F767" s="23" t="str">
        <f>IFERROR(VLOOKUP(C767, 'Catégorie des articles'!$A:$D, 4, FALSE), "")</f>
        <v>CREMERIE</v>
      </c>
      <c r="G767">
        <f t="shared" si="11"/>
        <v>202207</v>
      </c>
    </row>
    <row r="768" spans="1:7" ht="12" customHeight="1">
      <c r="A768" s="9">
        <v>44749</v>
      </c>
      <c r="B768" s="10">
        <v>143246823</v>
      </c>
      <c r="C768" s="3">
        <v>5540246176699</v>
      </c>
      <c r="D768" s="9">
        <v>44749</v>
      </c>
      <c r="E768" s="11">
        <v>5012</v>
      </c>
      <c r="F768" s="23" t="str">
        <f>IFERROR(VLOOKUP(C768, 'Catégorie des articles'!$A:$D, 4, FALSE), "")</f>
        <v>CREMERIE</v>
      </c>
      <c r="G768">
        <f t="shared" si="11"/>
        <v>202207</v>
      </c>
    </row>
    <row r="769" spans="1:7" ht="12" customHeight="1">
      <c r="A769" s="9">
        <v>44749</v>
      </c>
      <c r="B769" s="10">
        <v>143246827</v>
      </c>
      <c r="C769" s="3">
        <v>5540246171759</v>
      </c>
      <c r="D769" s="9">
        <v>44754</v>
      </c>
      <c r="E769" s="11">
        <v>1253</v>
      </c>
      <c r="F769" s="23" t="str">
        <f>IFERROR(VLOOKUP(C769, 'Catégorie des articles'!$A:$D, 4, FALSE), "")</f>
        <v>MIX LEGUMES</v>
      </c>
      <c r="G769">
        <f t="shared" si="11"/>
        <v>202207</v>
      </c>
    </row>
    <row r="770" spans="1:7" ht="12" customHeight="1">
      <c r="A770" s="6">
        <v>44749</v>
      </c>
      <c r="B770" s="7">
        <v>143246827</v>
      </c>
      <c r="C770" s="3">
        <v>5540246192148</v>
      </c>
      <c r="D770" s="6">
        <v>44754</v>
      </c>
      <c r="E770" s="8">
        <v>30624</v>
      </c>
      <c r="F770" s="23" t="str">
        <f>IFERROR(VLOOKUP(C770, 'Catégorie des articles'!$A:$D, 4, FALSE), "")</f>
        <v>MIX LEGUMES</v>
      </c>
      <c r="G770">
        <f t="shared" si="11"/>
        <v>202207</v>
      </c>
    </row>
    <row r="771" spans="1:7" ht="12" customHeight="1">
      <c r="A771" s="9">
        <v>44749</v>
      </c>
      <c r="B771" s="10">
        <v>143246827</v>
      </c>
      <c r="C771" s="3">
        <v>5540246192518</v>
      </c>
      <c r="D771" s="9">
        <v>44754</v>
      </c>
      <c r="E771" s="11">
        <v>8770</v>
      </c>
      <c r="F771" s="23" t="str">
        <f>IFERROR(VLOOKUP(C771, 'Catégorie des articles'!$A:$D, 4, FALSE), "")</f>
        <v>MIX LEGUMES</v>
      </c>
      <c r="G771">
        <f t="shared" ref="G771:G834" si="12">YEAR(D771)*100 + MONTH(D771)</f>
        <v>202207</v>
      </c>
    </row>
    <row r="772" spans="1:7" ht="12" customHeight="1">
      <c r="A772" s="6">
        <v>44752</v>
      </c>
      <c r="B772" s="7">
        <v>143256847</v>
      </c>
      <c r="C772" s="3">
        <v>5540246172978</v>
      </c>
      <c r="D772" s="6">
        <v>44754</v>
      </c>
      <c r="E772" s="8">
        <v>418</v>
      </c>
      <c r="F772" s="23" t="str">
        <f>IFERROR(VLOOKUP(C772, 'Catégorie des articles'!$A:$D, 4, FALSE), "")</f>
        <v>CREMERIE</v>
      </c>
      <c r="G772">
        <f t="shared" si="12"/>
        <v>202207</v>
      </c>
    </row>
    <row r="773" spans="1:7" ht="12" customHeight="1">
      <c r="A773" s="6">
        <v>44752</v>
      </c>
      <c r="B773" s="7">
        <v>143256847</v>
      </c>
      <c r="C773" s="3">
        <v>5540246188175</v>
      </c>
      <c r="D773" s="6">
        <v>44754</v>
      </c>
      <c r="E773" s="8">
        <v>116</v>
      </c>
      <c r="F773" s="23" t="str">
        <f>IFERROR(VLOOKUP(C773, 'Catégorie des articles'!$A:$D, 4, FALSE), "")</f>
        <v>CREMERIE</v>
      </c>
      <c r="G773">
        <f t="shared" si="12"/>
        <v>202207</v>
      </c>
    </row>
    <row r="774" spans="1:7" ht="12" customHeight="1">
      <c r="A774" s="9">
        <v>44753</v>
      </c>
      <c r="B774" s="10">
        <v>143256866</v>
      </c>
      <c r="C774" s="3">
        <v>5540246183130</v>
      </c>
      <c r="D774" s="9">
        <v>44760</v>
      </c>
      <c r="E774" s="11">
        <v>1692</v>
      </c>
      <c r="F774" s="23" t="str">
        <f>IFERROR(VLOOKUP(C774, 'Catégorie des articles'!$A:$D, 4, FALSE), "")</f>
        <v>MIX LEGUMES</v>
      </c>
      <c r="G774">
        <f t="shared" si="12"/>
        <v>202207</v>
      </c>
    </row>
    <row r="775" spans="1:7" ht="12" customHeight="1">
      <c r="A775" s="6">
        <v>44753</v>
      </c>
      <c r="B775" s="7">
        <v>143256870</v>
      </c>
      <c r="C775" s="3">
        <v>5540246185429</v>
      </c>
      <c r="D775" s="6">
        <v>44756</v>
      </c>
      <c r="E775" s="8">
        <v>84</v>
      </c>
      <c r="F775" s="23" t="str">
        <f>IFERROR(VLOOKUP(C775, 'Catégorie des articles'!$A:$D, 4, FALSE), "")</f>
        <v>CREMERIE</v>
      </c>
      <c r="G775">
        <f t="shared" si="12"/>
        <v>202207</v>
      </c>
    </row>
    <row r="776" spans="1:7" ht="12" customHeight="1">
      <c r="A776" s="9">
        <v>44754</v>
      </c>
      <c r="B776" s="10">
        <v>143256876</v>
      </c>
      <c r="C776" s="3">
        <v>5540246176295</v>
      </c>
      <c r="D776" s="9">
        <v>44756</v>
      </c>
      <c r="E776" s="11">
        <v>4455</v>
      </c>
      <c r="F776" s="23" t="str">
        <f>IFERROR(VLOOKUP(C776, 'Catégorie des articles'!$A:$D, 4, FALSE), "")</f>
        <v>CREMERIE</v>
      </c>
      <c r="G776">
        <f t="shared" si="12"/>
        <v>202207</v>
      </c>
    </row>
    <row r="777" spans="1:7" ht="12" customHeight="1">
      <c r="A777" s="6">
        <v>44754</v>
      </c>
      <c r="B777" s="7">
        <v>143256876</v>
      </c>
      <c r="C777" s="3">
        <v>5540246187987</v>
      </c>
      <c r="D777" s="6">
        <v>44756</v>
      </c>
      <c r="E777" s="8">
        <v>1671</v>
      </c>
      <c r="F777" s="23" t="str">
        <f>IFERROR(VLOOKUP(C777, 'Catégorie des articles'!$A:$D, 4, FALSE), "")</f>
        <v>CREMERIE</v>
      </c>
      <c r="G777">
        <f t="shared" si="12"/>
        <v>202207</v>
      </c>
    </row>
    <row r="778" spans="1:7" ht="12" customHeight="1">
      <c r="A778" s="9">
        <v>44754</v>
      </c>
      <c r="B778" s="10">
        <v>143256876</v>
      </c>
      <c r="C778" s="3">
        <v>5540246188200</v>
      </c>
      <c r="D778" s="9">
        <v>44756</v>
      </c>
      <c r="E778" s="11">
        <v>446</v>
      </c>
      <c r="F778" s="23" t="str">
        <f>IFERROR(VLOOKUP(C778, 'Catégorie des articles'!$A:$D, 4, FALSE), "")</f>
        <v>CREMERIE</v>
      </c>
      <c r="G778">
        <f t="shared" si="12"/>
        <v>202207</v>
      </c>
    </row>
    <row r="779" spans="1:7" ht="12" customHeight="1">
      <c r="A779" s="6">
        <v>44754</v>
      </c>
      <c r="B779" s="7">
        <v>143256877</v>
      </c>
      <c r="C779" s="3">
        <v>5540246172978</v>
      </c>
      <c r="D779" s="6">
        <v>44756</v>
      </c>
      <c r="E779" s="8">
        <v>1671</v>
      </c>
      <c r="F779" s="23" t="str">
        <f>IFERROR(VLOOKUP(C779, 'Catégorie des articles'!$A:$D, 4, FALSE), "")</f>
        <v>CREMERIE</v>
      </c>
      <c r="G779">
        <f t="shared" si="12"/>
        <v>202207</v>
      </c>
    </row>
    <row r="780" spans="1:7" ht="12" customHeight="1">
      <c r="A780" s="9">
        <v>44754</v>
      </c>
      <c r="B780" s="10">
        <v>143256877</v>
      </c>
      <c r="C780" s="3">
        <v>5540246176699</v>
      </c>
      <c r="D780" s="9">
        <v>44756</v>
      </c>
      <c r="E780" s="11">
        <v>3132</v>
      </c>
      <c r="F780" s="23" t="str">
        <f>IFERROR(VLOOKUP(C780, 'Catégorie des articles'!$A:$D, 4, FALSE), "")</f>
        <v>CREMERIE</v>
      </c>
      <c r="G780">
        <f t="shared" si="12"/>
        <v>202207</v>
      </c>
    </row>
    <row r="781" spans="1:7" ht="12" customHeight="1">
      <c r="A781" s="6">
        <v>44754</v>
      </c>
      <c r="B781" s="7">
        <v>143256891</v>
      </c>
      <c r="C781" s="3">
        <v>5540246194478</v>
      </c>
      <c r="D781" s="6">
        <v>44817</v>
      </c>
      <c r="E781" s="8">
        <v>1225</v>
      </c>
      <c r="F781" s="23" t="str">
        <f>IFERROR(VLOOKUP(C781, 'Catégorie des articles'!$A:$D, 4, FALSE), "")</f>
        <v>EMBALLAGES</v>
      </c>
      <c r="G781">
        <f t="shared" si="12"/>
        <v>202209</v>
      </c>
    </row>
    <row r="782" spans="1:7" ht="12" customHeight="1">
      <c r="A782" s="9">
        <v>44755</v>
      </c>
      <c r="B782" s="10">
        <v>143256898</v>
      </c>
      <c r="C782" s="3">
        <v>5540246187987</v>
      </c>
      <c r="D782" s="9">
        <v>44759</v>
      </c>
      <c r="E782" s="11">
        <v>1671</v>
      </c>
      <c r="F782" s="23" t="str">
        <f>IFERROR(VLOOKUP(C782, 'Catégorie des articles'!$A:$D, 4, FALSE), "")</f>
        <v>CREMERIE</v>
      </c>
      <c r="G782">
        <f t="shared" si="12"/>
        <v>202207</v>
      </c>
    </row>
    <row r="783" spans="1:7" ht="12" customHeight="1">
      <c r="A783" s="6">
        <v>44755</v>
      </c>
      <c r="B783" s="7">
        <v>143256898</v>
      </c>
      <c r="C783" s="3">
        <v>5540246188200</v>
      </c>
      <c r="D783" s="6">
        <v>44759</v>
      </c>
      <c r="E783" s="8">
        <v>743</v>
      </c>
      <c r="F783" s="23" t="str">
        <f>IFERROR(VLOOKUP(C783, 'Catégorie des articles'!$A:$D, 4, FALSE), "")</f>
        <v>CREMERIE</v>
      </c>
      <c r="G783">
        <f t="shared" si="12"/>
        <v>202207</v>
      </c>
    </row>
    <row r="784" spans="1:7" ht="12" customHeight="1">
      <c r="A784" s="9">
        <v>44755</v>
      </c>
      <c r="B784" s="10">
        <v>143256899</v>
      </c>
      <c r="C784" s="3">
        <v>5540246188175</v>
      </c>
      <c r="D784" s="9">
        <v>44759</v>
      </c>
      <c r="E784" s="11">
        <v>116</v>
      </c>
      <c r="F784" s="23" t="str">
        <f>IFERROR(VLOOKUP(C784, 'Catégorie des articles'!$A:$D, 4, FALSE), "")</f>
        <v>CREMERIE</v>
      </c>
      <c r="G784">
        <f t="shared" si="12"/>
        <v>202207</v>
      </c>
    </row>
    <row r="785" spans="1:7" ht="12" customHeight="1">
      <c r="A785" s="9">
        <v>44755</v>
      </c>
      <c r="B785" s="10">
        <v>143256901</v>
      </c>
      <c r="C785" s="3">
        <v>5540246175049</v>
      </c>
      <c r="D785" s="9">
        <v>44762</v>
      </c>
      <c r="E785" s="11">
        <v>279</v>
      </c>
      <c r="F785" s="23" t="str">
        <f>IFERROR(VLOOKUP(C785, 'Catégorie des articles'!$A:$D, 4, FALSE), "")</f>
        <v>CREMERIE</v>
      </c>
      <c r="G785">
        <f t="shared" si="12"/>
        <v>202207</v>
      </c>
    </row>
    <row r="786" spans="1:7" ht="12" customHeight="1">
      <c r="A786" s="6">
        <v>44755</v>
      </c>
      <c r="B786" s="7">
        <v>143256901</v>
      </c>
      <c r="C786" s="3">
        <v>5540246190743</v>
      </c>
      <c r="D786" s="6">
        <v>44762</v>
      </c>
      <c r="E786" s="8">
        <v>140</v>
      </c>
      <c r="F786" s="23" t="str">
        <f>IFERROR(VLOOKUP(C786, 'Catégorie des articles'!$A:$D, 4, FALSE), "")</f>
        <v>CREMERIE</v>
      </c>
      <c r="G786">
        <f t="shared" si="12"/>
        <v>202207</v>
      </c>
    </row>
    <row r="787" spans="1:7" ht="12" customHeight="1">
      <c r="A787" s="6">
        <v>44755</v>
      </c>
      <c r="B787" s="7">
        <v>143256906</v>
      </c>
      <c r="C787" s="3">
        <v>5540246191736</v>
      </c>
      <c r="D787" s="6">
        <v>44768</v>
      </c>
      <c r="E787" s="8">
        <v>325</v>
      </c>
      <c r="F787" s="23" t="str">
        <f>IFERROR(VLOOKUP(C787, 'Catégorie des articles'!$A:$D, 4, FALSE), "")</f>
        <v>CREMERIE</v>
      </c>
      <c r="G787">
        <f t="shared" si="12"/>
        <v>202207</v>
      </c>
    </row>
    <row r="788" spans="1:7" ht="12" customHeight="1">
      <c r="A788" s="9">
        <v>44755</v>
      </c>
      <c r="B788" s="10">
        <v>143256927</v>
      </c>
      <c r="C788" s="3">
        <v>5540246173685</v>
      </c>
      <c r="D788" s="9">
        <v>44796</v>
      </c>
      <c r="E788" s="11">
        <v>576</v>
      </c>
      <c r="F788" s="23" t="str">
        <f>IFERROR(VLOOKUP(C788, 'Catégorie des articles'!$A:$D, 4, FALSE), "")</f>
        <v>EMBALLAGES</v>
      </c>
      <c r="G788">
        <f t="shared" si="12"/>
        <v>202208</v>
      </c>
    </row>
    <row r="789" spans="1:7" ht="12" customHeight="1">
      <c r="A789" s="6">
        <v>44755</v>
      </c>
      <c r="B789" s="7">
        <v>143256927</v>
      </c>
      <c r="C789" s="3">
        <v>5540246173686</v>
      </c>
      <c r="D789" s="6">
        <v>44796</v>
      </c>
      <c r="E789" s="8">
        <v>274</v>
      </c>
      <c r="F789" s="23" t="str">
        <f>IFERROR(VLOOKUP(C789, 'Catégorie des articles'!$A:$D, 4, FALSE), "")</f>
        <v>EMBALLAGES</v>
      </c>
      <c r="G789">
        <f t="shared" si="12"/>
        <v>202208</v>
      </c>
    </row>
    <row r="790" spans="1:7" ht="12" customHeight="1">
      <c r="A790" s="6">
        <v>44756</v>
      </c>
      <c r="B790" s="7">
        <v>143256939</v>
      </c>
      <c r="C790" s="3">
        <v>5540246172978</v>
      </c>
      <c r="D790" s="6">
        <v>44760</v>
      </c>
      <c r="E790" s="8">
        <v>1671</v>
      </c>
      <c r="F790" s="23" t="str">
        <f>IFERROR(VLOOKUP(C790, 'Catégorie des articles'!$A:$D, 4, FALSE), "")</f>
        <v>CREMERIE</v>
      </c>
      <c r="G790">
        <f t="shared" si="12"/>
        <v>202207</v>
      </c>
    </row>
    <row r="791" spans="1:7" ht="12" customHeight="1">
      <c r="A791" s="9">
        <v>44756</v>
      </c>
      <c r="B791" s="10">
        <v>143256939</v>
      </c>
      <c r="C791" s="3">
        <v>5540246176699</v>
      </c>
      <c r="D791" s="9">
        <v>44760</v>
      </c>
      <c r="E791" s="11">
        <v>3132</v>
      </c>
      <c r="F791" s="23" t="str">
        <f>IFERROR(VLOOKUP(C791, 'Catégorie des articles'!$A:$D, 4, FALSE), "")</f>
        <v>CREMERIE</v>
      </c>
      <c r="G791">
        <f t="shared" si="12"/>
        <v>202207</v>
      </c>
    </row>
    <row r="792" spans="1:7" ht="12" customHeight="1">
      <c r="A792" s="6">
        <v>44756</v>
      </c>
      <c r="B792" s="7">
        <v>143256941</v>
      </c>
      <c r="C792" s="3">
        <v>5540246185429</v>
      </c>
      <c r="D792" s="6">
        <v>44761</v>
      </c>
      <c r="E792" s="8">
        <v>209</v>
      </c>
      <c r="F792" s="23" t="str">
        <f>IFERROR(VLOOKUP(C792, 'Catégorie des articles'!$A:$D, 4, FALSE), "")</f>
        <v>CREMERIE</v>
      </c>
      <c r="G792">
        <f t="shared" si="12"/>
        <v>202207</v>
      </c>
    </row>
    <row r="793" spans="1:7" ht="12" customHeight="1">
      <c r="A793" s="9">
        <v>44759</v>
      </c>
      <c r="B793" s="10">
        <v>143266956</v>
      </c>
      <c r="C793" s="3">
        <v>5540246174174</v>
      </c>
      <c r="D793" s="9">
        <v>44761</v>
      </c>
      <c r="E793" s="11">
        <v>232</v>
      </c>
      <c r="F793" s="23" t="str">
        <f>IFERROR(VLOOKUP(C793, 'Catégorie des articles'!$A:$D, 4, FALSE), "")</f>
        <v>CREMERIE</v>
      </c>
      <c r="G793">
        <f t="shared" si="12"/>
        <v>202207</v>
      </c>
    </row>
    <row r="794" spans="1:7" ht="12" customHeight="1">
      <c r="A794" s="9">
        <v>44759</v>
      </c>
      <c r="B794" s="10">
        <v>143266966</v>
      </c>
      <c r="C794" s="3">
        <v>5540246182684</v>
      </c>
      <c r="D794" s="9">
        <v>44769</v>
      </c>
      <c r="E794" s="11">
        <v>140</v>
      </c>
      <c r="F794" s="23" t="str">
        <f>IFERROR(VLOOKUP(C794, 'Catégorie des articles'!$A:$D, 4, FALSE), "")</f>
        <v>BOULANGERIE</v>
      </c>
      <c r="G794">
        <f t="shared" si="12"/>
        <v>202207</v>
      </c>
    </row>
    <row r="795" spans="1:7" ht="12" customHeight="1">
      <c r="A795" s="6">
        <v>44759</v>
      </c>
      <c r="B795" s="7">
        <v>143266966</v>
      </c>
      <c r="C795" s="3">
        <v>5540246183844</v>
      </c>
      <c r="D795" s="6">
        <v>44769</v>
      </c>
      <c r="E795" s="8">
        <v>140</v>
      </c>
      <c r="F795" s="23" t="str">
        <f>IFERROR(VLOOKUP(C795, 'Catégorie des articles'!$A:$D, 4, FALSE), "")</f>
        <v>BOULANGERIE</v>
      </c>
      <c r="G795">
        <f t="shared" si="12"/>
        <v>202207</v>
      </c>
    </row>
    <row r="796" spans="1:7" ht="12" customHeight="1">
      <c r="A796" s="6">
        <v>44759</v>
      </c>
      <c r="B796" s="7">
        <v>143266966</v>
      </c>
      <c r="C796" s="3">
        <v>5540246194467</v>
      </c>
      <c r="D796" s="6">
        <v>44769</v>
      </c>
      <c r="E796" s="8">
        <v>17818</v>
      </c>
      <c r="F796" s="23" t="str">
        <f>IFERROR(VLOOKUP(C796, 'Catégorie des articles'!$A:$D, 4, FALSE), "")</f>
        <v>BOULANGERIE</v>
      </c>
      <c r="G796">
        <f t="shared" si="12"/>
        <v>202207</v>
      </c>
    </row>
    <row r="797" spans="1:7" ht="12" customHeight="1">
      <c r="A797" s="6">
        <v>44759</v>
      </c>
      <c r="B797" s="7">
        <v>143266968</v>
      </c>
      <c r="C797" s="3">
        <v>5540246194632</v>
      </c>
      <c r="D797" s="6">
        <v>44773</v>
      </c>
      <c r="E797" s="8">
        <v>1838</v>
      </c>
      <c r="F797" s="23" t="str">
        <f>IFERROR(VLOOKUP(C797, 'Catégorie des articles'!$A:$D, 4, FALSE), "")</f>
        <v>BOULANGERIE</v>
      </c>
      <c r="G797">
        <f t="shared" si="12"/>
        <v>202207</v>
      </c>
    </row>
    <row r="798" spans="1:7" ht="12" customHeight="1">
      <c r="A798" s="6">
        <v>44760</v>
      </c>
      <c r="B798" s="7">
        <v>143266973</v>
      </c>
      <c r="C798" s="3">
        <v>5540246176294</v>
      </c>
      <c r="D798" s="6">
        <v>44762</v>
      </c>
      <c r="E798" s="8">
        <v>743</v>
      </c>
      <c r="F798" s="23" t="str">
        <f>IFERROR(VLOOKUP(C798, 'Catégorie des articles'!$A:$D, 4, FALSE), "")</f>
        <v>CREMERIE</v>
      </c>
      <c r="G798">
        <f t="shared" si="12"/>
        <v>202207</v>
      </c>
    </row>
    <row r="799" spans="1:7" ht="12" customHeight="1">
      <c r="A799" s="9">
        <v>44760</v>
      </c>
      <c r="B799" s="10">
        <v>143266973</v>
      </c>
      <c r="C799" s="3">
        <v>5540246176295</v>
      </c>
      <c r="D799" s="9">
        <v>44762</v>
      </c>
      <c r="E799" s="11">
        <v>2970</v>
      </c>
      <c r="F799" s="23" t="str">
        <f>IFERROR(VLOOKUP(C799, 'Catégorie des articles'!$A:$D, 4, FALSE), "")</f>
        <v>CREMERIE</v>
      </c>
      <c r="G799">
        <f t="shared" si="12"/>
        <v>202207</v>
      </c>
    </row>
    <row r="800" spans="1:7" ht="12" customHeight="1">
      <c r="A800" s="6">
        <v>44760</v>
      </c>
      <c r="B800" s="7">
        <v>143266980</v>
      </c>
      <c r="C800" s="3">
        <v>5540246183558</v>
      </c>
      <c r="D800" s="6">
        <v>44766</v>
      </c>
      <c r="E800" s="8">
        <v>1300</v>
      </c>
      <c r="F800" s="23" t="str">
        <f>IFERROR(VLOOKUP(C800, 'Catégorie des articles'!$A:$D, 4, FALSE), "")</f>
        <v>MIX LEGUMES</v>
      </c>
      <c r="G800">
        <f t="shared" si="12"/>
        <v>202207</v>
      </c>
    </row>
    <row r="801" spans="1:7" ht="12" customHeight="1">
      <c r="A801" s="6">
        <v>44761</v>
      </c>
      <c r="B801" s="7">
        <v>143266988</v>
      </c>
      <c r="C801" s="3">
        <v>5540246172978</v>
      </c>
      <c r="D801" s="6">
        <v>44763</v>
      </c>
      <c r="E801" s="8">
        <v>1671</v>
      </c>
      <c r="F801" s="23" t="str">
        <f>IFERROR(VLOOKUP(C801, 'Catégorie des articles'!$A:$D, 4, FALSE), "")</f>
        <v>CREMERIE</v>
      </c>
      <c r="G801">
        <f t="shared" si="12"/>
        <v>202207</v>
      </c>
    </row>
    <row r="802" spans="1:7" ht="12" customHeight="1">
      <c r="A802" s="6">
        <v>44761</v>
      </c>
      <c r="B802" s="7">
        <v>143266988</v>
      </c>
      <c r="C802" s="3">
        <v>5540246176699</v>
      </c>
      <c r="D802" s="6">
        <v>44763</v>
      </c>
      <c r="E802" s="8">
        <v>1044</v>
      </c>
      <c r="F802" s="23" t="str">
        <f>IFERROR(VLOOKUP(C802, 'Catégorie des articles'!$A:$D, 4, FALSE), "")</f>
        <v>CREMERIE</v>
      </c>
      <c r="G802">
        <f t="shared" si="12"/>
        <v>202207</v>
      </c>
    </row>
    <row r="803" spans="1:7" ht="12" customHeight="1">
      <c r="A803" s="6">
        <v>44761</v>
      </c>
      <c r="B803" s="7">
        <v>143266989</v>
      </c>
      <c r="C803" s="3">
        <v>5540246176294</v>
      </c>
      <c r="D803" s="6">
        <v>44763</v>
      </c>
      <c r="E803" s="8">
        <v>743</v>
      </c>
      <c r="F803" s="23" t="str">
        <f>IFERROR(VLOOKUP(C803, 'Catégorie des articles'!$A:$D, 4, FALSE), "")</f>
        <v>CREMERIE</v>
      </c>
      <c r="G803">
        <f t="shared" si="12"/>
        <v>202207</v>
      </c>
    </row>
    <row r="804" spans="1:7" ht="12" customHeight="1">
      <c r="A804" s="9">
        <v>44761</v>
      </c>
      <c r="B804" s="10">
        <v>143266989</v>
      </c>
      <c r="C804" s="3">
        <v>5540246176295</v>
      </c>
      <c r="D804" s="9">
        <v>44763</v>
      </c>
      <c r="E804" s="11">
        <v>3712</v>
      </c>
      <c r="F804" s="23" t="str">
        <f>IFERROR(VLOOKUP(C804, 'Catégorie des articles'!$A:$D, 4, FALSE), "")</f>
        <v>CREMERIE</v>
      </c>
      <c r="G804">
        <f t="shared" si="12"/>
        <v>202207</v>
      </c>
    </row>
    <row r="805" spans="1:7" ht="12" customHeight="1">
      <c r="A805" s="6">
        <v>44762</v>
      </c>
      <c r="B805" s="7">
        <v>143267002</v>
      </c>
      <c r="C805" s="3">
        <v>5540246172978</v>
      </c>
      <c r="D805" s="6">
        <v>44766</v>
      </c>
      <c r="E805" s="8">
        <v>836</v>
      </c>
      <c r="F805" s="23" t="str">
        <f>IFERROR(VLOOKUP(C805, 'Catégorie des articles'!$A:$D, 4, FALSE), "")</f>
        <v>CREMERIE</v>
      </c>
      <c r="G805">
        <f t="shared" si="12"/>
        <v>202207</v>
      </c>
    </row>
    <row r="806" spans="1:7" ht="12" customHeight="1">
      <c r="A806" s="9">
        <v>44762</v>
      </c>
      <c r="B806" s="10">
        <v>143267002</v>
      </c>
      <c r="C806" s="3">
        <v>5540246174174</v>
      </c>
      <c r="D806" s="9">
        <v>44766</v>
      </c>
      <c r="E806" s="11">
        <v>232</v>
      </c>
      <c r="F806" s="23" t="str">
        <f>IFERROR(VLOOKUP(C806, 'Catégorie des articles'!$A:$D, 4, FALSE), "")</f>
        <v>CREMERIE</v>
      </c>
      <c r="G806">
        <f t="shared" si="12"/>
        <v>202207</v>
      </c>
    </row>
    <row r="807" spans="1:7" ht="12" customHeight="1">
      <c r="A807" s="9">
        <v>44762</v>
      </c>
      <c r="B807" s="10">
        <v>143267002</v>
      </c>
      <c r="C807" s="3">
        <v>5540246188175</v>
      </c>
      <c r="D807" s="9">
        <v>44766</v>
      </c>
      <c r="E807" s="11">
        <v>116</v>
      </c>
      <c r="F807" s="23" t="str">
        <f>IFERROR(VLOOKUP(C807, 'Catégorie des articles'!$A:$D, 4, FALSE), "")</f>
        <v>CREMERIE</v>
      </c>
      <c r="G807">
        <f t="shared" si="12"/>
        <v>202207</v>
      </c>
    </row>
    <row r="808" spans="1:7" ht="12" customHeight="1">
      <c r="A808" s="6">
        <v>44762</v>
      </c>
      <c r="B808" s="7">
        <v>143267004</v>
      </c>
      <c r="C808" s="3">
        <v>5540246171933</v>
      </c>
      <c r="D808" s="6">
        <v>44766</v>
      </c>
      <c r="E808" s="8">
        <v>557</v>
      </c>
      <c r="F808" s="23" t="str">
        <f>IFERROR(VLOOKUP(C808, 'Catégorie des articles'!$A:$D, 4, FALSE), "")</f>
        <v>CREMERIE</v>
      </c>
      <c r="G808">
        <f t="shared" si="12"/>
        <v>202207</v>
      </c>
    </row>
    <row r="809" spans="1:7" ht="12" customHeight="1">
      <c r="A809" s="6">
        <v>44762</v>
      </c>
      <c r="B809" s="7">
        <v>143267004</v>
      </c>
      <c r="C809" s="3">
        <v>5540246188200</v>
      </c>
      <c r="D809" s="6">
        <v>44766</v>
      </c>
      <c r="E809" s="8">
        <v>372</v>
      </c>
      <c r="F809" s="23" t="str">
        <f>IFERROR(VLOOKUP(C809, 'Catégorie des articles'!$A:$D, 4, FALSE), "")</f>
        <v>CREMERIE</v>
      </c>
      <c r="G809">
        <f t="shared" si="12"/>
        <v>202207</v>
      </c>
    </row>
    <row r="810" spans="1:7" ht="12" customHeight="1">
      <c r="A810" s="6">
        <v>44762</v>
      </c>
      <c r="B810" s="7">
        <v>143267009</v>
      </c>
      <c r="C810" s="3">
        <v>5540246188583</v>
      </c>
      <c r="D810" s="6">
        <v>44766</v>
      </c>
      <c r="E810" s="8">
        <v>2228</v>
      </c>
      <c r="F810" s="23" t="str">
        <f>IFERROR(VLOOKUP(C810, 'Catégorie des articles'!$A:$D, 4, FALSE), "")</f>
        <v>BOULANGERIE</v>
      </c>
      <c r="G810">
        <f t="shared" si="12"/>
        <v>202207</v>
      </c>
    </row>
    <row r="811" spans="1:7" ht="12" customHeight="1">
      <c r="A811" s="9">
        <v>44762</v>
      </c>
      <c r="B811" s="10">
        <v>143267010</v>
      </c>
      <c r="C811" s="3">
        <v>5540246170256</v>
      </c>
      <c r="D811" s="9">
        <v>44775</v>
      </c>
      <c r="E811" s="11">
        <v>1940</v>
      </c>
      <c r="F811" s="23" t="str">
        <f>IFERROR(VLOOKUP(C811, 'Catégorie des articles'!$A:$D, 4, FALSE), "")</f>
        <v>BOULANGERIE</v>
      </c>
      <c r="G811">
        <f t="shared" si="12"/>
        <v>202208</v>
      </c>
    </row>
    <row r="812" spans="1:7" ht="12" customHeight="1">
      <c r="A812" s="6">
        <v>44762</v>
      </c>
      <c r="B812" s="7">
        <v>143267010</v>
      </c>
      <c r="C812" s="3">
        <v>5540246171888</v>
      </c>
      <c r="D812" s="6">
        <v>44775</v>
      </c>
      <c r="E812" s="8">
        <v>1040</v>
      </c>
      <c r="F812" s="23" t="str">
        <f>IFERROR(VLOOKUP(C812, 'Catégorie des articles'!$A:$D, 4, FALSE), "")</f>
        <v>BOULANGERIE</v>
      </c>
      <c r="G812">
        <f t="shared" si="12"/>
        <v>202208</v>
      </c>
    </row>
    <row r="813" spans="1:7" ht="12" customHeight="1">
      <c r="A813" s="9">
        <v>44763</v>
      </c>
      <c r="B813" s="10">
        <v>143267030</v>
      </c>
      <c r="C813" s="3">
        <v>5540246171933</v>
      </c>
      <c r="D813" s="9">
        <v>44767</v>
      </c>
      <c r="E813" s="11">
        <v>279</v>
      </c>
      <c r="F813" s="23" t="str">
        <f>IFERROR(VLOOKUP(C813, 'Catégorie des articles'!$A:$D, 4, FALSE), "")</f>
        <v>CREMERIE</v>
      </c>
      <c r="G813">
        <f t="shared" si="12"/>
        <v>202207</v>
      </c>
    </row>
    <row r="814" spans="1:7" ht="12" customHeight="1">
      <c r="A814" s="6">
        <v>44763</v>
      </c>
      <c r="B814" s="7">
        <v>143267030</v>
      </c>
      <c r="C814" s="3">
        <v>5540246188200</v>
      </c>
      <c r="D814" s="6">
        <v>44767</v>
      </c>
      <c r="E814" s="8">
        <v>372</v>
      </c>
      <c r="F814" s="23" t="str">
        <f>IFERROR(VLOOKUP(C814, 'Catégorie des articles'!$A:$D, 4, FALSE), "")</f>
        <v>CREMERIE</v>
      </c>
      <c r="G814">
        <f t="shared" si="12"/>
        <v>202207</v>
      </c>
    </row>
    <row r="815" spans="1:7" ht="12" customHeight="1">
      <c r="A815" s="9">
        <v>44763</v>
      </c>
      <c r="B815" s="10">
        <v>143267031</v>
      </c>
      <c r="C815" s="3">
        <v>5540246174174</v>
      </c>
      <c r="D815" s="9">
        <v>44767</v>
      </c>
      <c r="E815" s="11">
        <v>232</v>
      </c>
      <c r="F815" s="23" t="str">
        <f>IFERROR(VLOOKUP(C815, 'Catégorie des articles'!$A:$D, 4, FALSE), "")</f>
        <v>CREMERIE</v>
      </c>
      <c r="G815">
        <f t="shared" si="12"/>
        <v>202207</v>
      </c>
    </row>
    <row r="816" spans="1:7" ht="12" customHeight="1">
      <c r="A816" s="9">
        <v>44763</v>
      </c>
      <c r="B816" s="10">
        <v>143267031</v>
      </c>
      <c r="C816" s="3">
        <v>5540246176699</v>
      </c>
      <c r="D816" s="9">
        <v>44767</v>
      </c>
      <c r="E816" s="11">
        <v>2088</v>
      </c>
      <c r="F816" s="23" t="str">
        <f>IFERROR(VLOOKUP(C816, 'Catégorie des articles'!$A:$D, 4, FALSE), "")</f>
        <v>CREMERIE</v>
      </c>
      <c r="G816">
        <f t="shared" si="12"/>
        <v>202207</v>
      </c>
    </row>
    <row r="817" spans="1:7" ht="12" customHeight="1">
      <c r="A817" s="6">
        <v>44763</v>
      </c>
      <c r="B817" s="7">
        <v>143267033</v>
      </c>
      <c r="C817" s="3">
        <v>5540246175047</v>
      </c>
      <c r="D817" s="6">
        <v>44776</v>
      </c>
      <c r="E817" s="8">
        <v>209</v>
      </c>
      <c r="F817" s="23" t="str">
        <f>IFERROR(VLOOKUP(C817, 'Catégorie des articles'!$A:$D, 4, FALSE), "")</f>
        <v>CREMERIE</v>
      </c>
      <c r="G817">
        <f t="shared" si="12"/>
        <v>202208</v>
      </c>
    </row>
    <row r="818" spans="1:7" ht="12" customHeight="1">
      <c r="A818" s="9">
        <v>44763</v>
      </c>
      <c r="B818" s="10">
        <v>143267033</v>
      </c>
      <c r="C818" s="3">
        <v>5540246175049</v>
      </c>
      <c r="D818" s="9">
        <v>44776</v>
      </c>
      <c r="E818" s="11">
        <v>279</v>
      </c>
      <c r="F818" s="23" t="str">
        <f>IFERROR(VLOOKUP(C818, 'Catégorie des articles'!$A:$D, 4, FALSE), "")</f>
        <v>CREMERIE</v>
      </c>
      <c r="G818">
        <f t="shared" si="12"/>
        <v>202208</v>
      </c>
    </row>
    <row r="819" spans="1:7" ht="12" customHeight="1">
      <c r="A819" s="6">
        <v>44763</v>
      </c>
      <c r="B819" s="7">
        <v>143267039</v>
      </c>
      <c r="C819" s="3">
        <v>5540246194330</v>
      </c>
      <c r="D819" s="6">
        <v>44775</v>
      </c>
      <c r="E819" s="8">
        <v>13753</v>
      </c>
      <c r="F819" s="23" t="str">
        <f>IFERROR(VLOOKUP(C819, 'Catégorie des articles'!$A:$D, 4, FALSE), "")</f>
        <v>MIX LEGUMES</v>
      </c>
      <c r="G819">
        <f t="shared" si="12"/>
        <v>202208</v>
      </c>
    </row>
    <row r="820" spans="1:7" ht="12" customHeight="1">
      <c r="A820" s="6">
        <v>44766</v>
      </c>
      <c r="B820" s="7">
        <v>143277052</v>
      </c>
      <c r="C820" s="3">
        <v>5540246172978</v>
      </c>
      <c r="D820" s="6">
        <v>44768</v>
      </c>
      <c r="E820" s="8">
        <v>836</v>
      </c>
      <c r="F820" s="23" t="str">
        <f>IFERROR(VLOOKUP(C820, 'Catégorie des articles'!$A:$D, 4, FALSE), "")</f>
        <v>CREMERIE</v>
      </c>
      <c r="G820">
        <f t="shared" si="12"/>
        <v>202207</v>
      </c>
    </row>
    <row r="821" spans="1:7" ht="12" customHeight="1">
      <c r="A821" s="6">
        <v>44766</v>
      </c>
      <c r="B821" s="7">
        <v>143277052</v>
      </c>
      <c r="C821" s="3">
        <v>5540246174174</v>
      </c>
      <c r="D821" s="6">
        <v>44768</v>
      </c>
      <c r="E821" s="8">
        <v>464</v>
      </c>
      <c r="F821" s="23" t="str">
        <f>IFERROR(VLOOKUP(C821, 'Catégorie des articles'!$A:$D, 4, FALSE), "")</f>
        <v>CREMERIE</v>
      </c>
      <c r="G821">
        <f t="shared" si="12"/>
        <v>202207</v>
      </c>
    </row>
    <row r="822" spans="1:7" ht="12" customHeight="1">
      <c r="A822" s="6">
        <v>44766</v>
      </c>
      <c r="B822" s="7">
        <v>143277052</v>
      </c>
      <c r="C822" s="3">
        <v>5540246176699</v>
      </c>
      <c r="D822" s="6">
        <v>44768</v>
      </c>
      <c r="E822" s="8">
        <v>2088</v>
      </c>
      <c r="F822" s="23" t="str">
        <f>IFERROR(VLOOKUP(C822, 'Catégorie des articles'!$A:$D, 4, FALSE), "")</f>
        <v>CREMERIE</v>
      </c>
      <c r="G822">
        <f t="shared" si="12"/>
        <v>202207</v>
      </c>
    </row>
    <row r="823" spans="1:7" ht="12" customHeight="1">
      <c r="A823" s="6">
        <v>44766</v>
      </c>
      <c r="B823" s="7">
        <v>143277053</v>
      </c>
      <c r="C823" s="3">
        <v>5540246171933</v>
      </c>
      <c r="D823" s="6">
        <v>44768</v>
      </c>
      <c r="E823" s="8">
        <v>1114</v>
      </c>
      <c r="F823" s="23" t="str">
        <f>IFERROR(VLOOKUP(C823, 'Catégorie des articles'!$A:$D, 4, FALSE), "")</f>
        <v>CREMERIE</v>
      </c>
      <c r="G823">
        <f t="shared" si="12"/>
        <v>202207</v>
      </c>
    </row>
    <row r="824" spans="1:7" ht="12" customHeight="1">
      <c r="A824" s="6">
        <v>44766</v>
      </c>
      <c r="B824" s="7">
        <v>143277053</v>
      </c>
      <c r="C824" s="3">
        <v>5540246188200</v>
      </c>
      <c r="D824" s="6">
        <v>44768</v>
      </c>
      <c r="E824" s="8">
        <v>743</v>
      </c>
      <c r="F824" s="23" t="str">
        <f>IFERROR(VLOOKUP(C824, 'Catégorie des articles'!$A:$D, 4, FALSE), "")</f>
        <v>CREMERIE</v>
      </c>
      <c r="G824">
        <f t="shared" si="12"/>
        <v>202207</v>
      </c>
    </row>
    <row r="825" spans="1:7" ht="12" customHeight="1">
      <c r="A825" s="6">
        <v>44766</v>
      </c>
      <c r="B825" s="7">
        <v>143277067</v>
      </c>
      <c r="C825" s="3">
        <v>5540246192209</v>
      </c>
      <c r="D825" s="6">
        <v>44777</v>
      </c>
      <c r="E825" s="8">
        <v>1114</v>
      </c>
      <c r="F825" s="23" t="str">
        <f>IFERROR(VLOOKUP(C825, 'Catégorie des articles'!$A:$D, 4, FALSE), "")</f>
        <v>MIX LEGUMES</v>
      </c>
      <c r="G825">
        <f t="shared" si="12"/>
        <v>202208</v>
      </c>
    </row>
    <row r="826" spans="1:7" ht="12" customHeight="1">
      <c r="A826" s="6">
        <v>44767</v>
      </c>
      <c r="B826" s="7">
        <v>143277074</v>
      </c>
      <c r="C826" s="3">
        <v>5540246188200</v>
      </c>
      <c r="D826" s="6">
        <v>44769</v>
      </c>
      <c r="E826" s="8">
        <v>372</v>
      </c>
      <c r="F826" s="23" t="str">
        <f>IFERROR(VLOOKUP(C826, 'Catégorie des articles'!$A:$D, 4, FALSE), "")</f>
        <v>CREMERIE</v>
      </c>
      <c r="G826">
        <f t="shared" si="12"/>
        <v>202207</v>
      </c>
    </row>
    <row r="827" spans="1:7" ht="12" customHeight="1">
      <c r="A827" s="9">
        <v>44767</v>
      </c>
      <c r="B827" s="10">
        <v>143277075</v>
      </c>
      <c r="C827" s="3">
        <v>5540246186325</v>
      </c>
      <c r="D827" s="9">
        <v>44771</v>
      </c>
      <c r="E827" s="11">
        <v>418</v>
      </c>
      <c r="F827" s="23" t="str">
        <f>IFERROR(VLOOKUP(C827, 'Catégorie des articles'!$A:$D, 4, FALSE), "")</f>
        <v>CREMERIE</v>
      </c>
      <c r="G827">
        <f t="shared" si="12"/>
        <v>202207</v>
      </c>
    </row>
    <row r="828" spans="1:7" ht="12" customHeight="1">
      <c r="A828" s="6">
        <v>44768</v>
      </c>
      <c r="B828" s="7">
        <v>143277088</v>
      </c>
      <c r="C828" s="3">
        <v>5540246176294</v>
      </c>
      <c r="D828" s="6">
        <v>44770</v>
      </c>
      <c r="E828" s="8">
        <v>1114</v>
      </c>
      <c r="F828" s="23" t="str">
        <f>IFERROR(VLOOKUP(C828, 'Catégorie des articles'!$A:$D, 4, FALSE), "")</f>
        <v>CREMERIE</v>
      </c>
      <c r="G828">
        <f t="shared" si="12"/>
        <v>202207</v>
      </c>
    </row>
    <row r="829" spans="1:7" ht="12" customHeight="1">
      <c r="A829" s="9">
        <v>44768</v>
      </c>
      <c r="B829" s="10">
        <v>143277088</v>
      </c>
      <c r="C829" s="3">
        <v>5540246176295</v>
      </c>
      <c r="D829" s="9">
        <v>44770</v>
      </c>
      <c r="E829" s="11">
        <v>4455</v>
      </c>
      <c r="F829" s="23" t="str">
        <f>IFERROR(VLOOKUP(C829, 'Catégorie des articles'!$A:$D, 4, FALSE), "")</f>
        <v>CREMERIE</v>
      </c>
      <c r="G829">
        <f t="shared" si="12"/>
        <v>202207</v>
      </c>
    </row>
    <row r="830" spans="1:7" ht="12" customHeight="1">
      <c r="A830" s="6">
        <v>44768</v>
      </c>
      <c r="B830" s="7">
        <v>143277088</v>
      </c>
      <c r="C830" s="3">
        <v>5540246188200</v>
      </c>
      <c r="D830" s="6">
        <v>44770</v>
      </c>
      <c r="E830" s="8">
        <v>372</v>
      </c>
      <c r="F830" s="23" t="str">
        <f>IFERROR(VLOOKUP(C830, 'Catégorie des articles'!$A:$D, 4, FALSE), "")</f>
        <v>CREMERIE</v>
      </c>
      <c r="G830">
        <f t="shared" si="12"/>
        <v>202207</v>
      </c>
    </row>
    <row r="831" spans="1:7" ht="12" customHeight="1">
      <c r="A831" s="6">
        <v>44768</v>
      </c>
      <c r="B831" s="7">
        <v>143277089</v>
      </c>
      <c r="C831" s="3">
        <v>5540246172978</v>
      </c>
      <c r="D831" s="6">
        <v>44770</v>
      </c>
      <c r="E831" s="8">
        <v>836</v>
      </c>
      <c r="F831" s="23" t="str">
        <f>IFERROR(VLOOKUP(C831, 'Catégorie des articles'!$A:$D, 4, FALSE), "")</f>
        <v>CREMERIE</v>
      </c>
      <c r="G831">
        <f t="shared" si="12"/>
        <v>202207</v>
      </c>
    </row>
    <row r="832" spans="1:7" ht="12" customHeight="1">
      <c r="A832" s="6">
        <v>44768</v>
      </c>
      <c r="B832" s="7">
        <v>143277089</v>
      </c>
      <c r="C832" s="3">
        <v>5540246174174</v>
      </c>
      <c r="D832" s="6">
        <v>44770</v>
      </c>
      <c r="E832" s="8">
        <v>232</v>
      </c>
      <c r="F832" s="23" t="str">
        <f>IFERROR(VLOOKUP(C832, 'Catégorie des articles'!$A:$D, 4, FALSE), "")</f>
        <v>CREMERIE</v>
      </c>
      <c r="G832">
        <f t="shared" si="12"/>
        <v>202207</v>
      </c>
    </row>
    <row r="833" spans="1:7" ht="12" customHeight="1">
      <c r="A833" s="9">
        <v>44768</v>
      </c>
      <c r="B833" s="10">
        <v>143277089</v>
      </c>
      <c r="C833" s="3">
        <v>5540246176699</v>
      </c>
      <c r="D833" s="9">
        <v>44770</v>
      </c>
      <c r="E833" s="11">
        <v>2088</v>
      </c>
      <c r="F833" s="23" t="str">
        <f>IFERROR(VLOOKUP(C833, 'Catégorie des articles'!$A:$D, 4, FALSE), "")</f>
        <v>CREMERIE</v>
      </c>
      <c r="G833">
        <f t="shared" si="12"/>
        <v>202207</v>
      </c>
    </row>
    <row r="834" spans="1:7" ht="12" customHeight="1">
      <c r="A834" s="9">
        <v>44768</v>
      </c>
      <c r="B834" s="10">
        <v>143277090</v>
      </c>
      <c r="C834" s="3">
        <v>5540246171759</v>
      </c>
      <c r="D834" s="9">
        <v>44774</v>
      </c>
      <c r="E834" s="11">
        <v>1253</v>
      </c>
      <c r="F834" s="23" t="str">
        <f>IFERROR(VLOOKUP(C834, 'Catégorie des articles'!$A:$D, 4, FALSE), "")</f>
        <v>MIX LEGUMES</v>
      </c>
      <c r="G834">
        <f t="shared" si="12"/>
        <v>202208</v>
      </c>
    </row>
    <row r="835" spans="1:7" ht="12" customHeight="1">
      <c r="A835" s="6">
        <v>44768</v>
      </c>
      <c r="B835" s="7">
        <v>143277090</v>
      </c>
      <c r="C835" s="3">
        <v>5540246177133</v>
      </c>
      <c r="D835" s="6">
        <v>44774</v>
      </c>
      <c r="E835" s="8">
        <v>2228</v>
      </c>
      <c r="F835" s="23" t="str">
        <f>IFERROR(VLOOKUP(C835, 'Catégorie des articles'!$A:$D, 4, FALSE), "")</f>
        <v>MIX LEGUMES</v>
      </c>
      <c r="G835">
        <f t="shared" ref="G835:G898" si="13">YEAR(D835)*100 + MONTH(D835)</f>
        <v>202208</v>
      </c>
    </row>
    <row r="836" spans="1:7" ht="12" customHeight="1">
      <c r="A836" s="9">
        <v>44768</v>
      </c>
      <c r="B836" s="10">
        <v>143277090</v>
      </c>
      <c r="C836" s="3">
        <v>5540246192148</v>
      </c>
      <c r="D836" s="9">
        <v>44774</v>
      </c>
      <c r="E836" s="11">
        <v>25056</v>
      </c>
      <c r="F836" s="23" t="str">
        <f>IFERROR(VLOOKUP(C836, 'Catégorie des articles'!$A:$D, 4, FALSE), "")</f>
        <v>MIX LEGUMES</v>
      </c>
      <c r="G836">
        <f t="shared" si="13"/>
        <v>202208</v>
      </c>
    </row>
    <row r="837" spans="1:7" ht="12" customHeight="1">
      <c r="A837" s="6">
        <v>44768</v>
      </c>
      <c r="B837" s="7">
        <v>143277090</v>
      </c>
      <c r="C837" s="3">
        <v>5540246192518</v>
      </c>
      <c r="D837" s="6">
        <v>44774</v>
      </c>
      <c r="E837" s="8">
        <v>4385</v>
      </c>
      <c r="F837" s="23" t="str">
        <f>IFERROR(VLOOKUP(C837, 'Catégorie des articles'!$A:$D, 4, FALSE), "")</f>
        <v>MIX LEGUMES</v>
      </c>
      <c r="G837">
        <f t="shared" si="13"/>
        <v>202208</v>
      </c>
    </row>
    <row r="838" spans="1:7" ht="12" customHeight="1">
      <c r="A838" s="9">
        <v>44768</v>
      </c>
      <c r="B838" s="10">
        <v>143277091</v>
      </c>
      <c r="C838" s="3">
        <v>5540246183130</v>
      </c>
      <c r="D838" s="9">
        <v>44780</v>
      </c>
      <c r="E838" s="11">
        <v>1128</v>
      </c>
      <c r="F838" s="23" t="str">
        <f>IFERROR(VLOOKUP(C838, 'Catégorie des articles'!$A:$D, 4, FALSE), "")</f>
        <v>MIX LEGUMES</v>
      </c>
      <c r="G838">
        <f t="shared" si="13"/>
        <v>202208</v>
      </c>
    </row>
    <row r="839" spans="1:7" ht="12" customHeight="1">
      <c r="A839" s="6">
        <v>44768</v>
      </c>
      <c r="B839" s="7">
        <v>143277091</v>
      </c>
      <c r="C839" s="3">
        <v>5540246183537</v>
      </c>
      <c r="D839" s="6">
        <v>44780</v>
      </c>
      <c r="E839" s="8">
        <v>961</v>
      </c>
      <c r="F839" s="23" t="str">
        <f>IFERROR(VLOOKUP(C839, 'Catégorie des articles'!$A:$D, 4, FALSE), "")</f>
        <v>MIX LEGUMES</v>
      </c>
      <c r="G839">
        <f t="shared" si="13"/>
        <v>202208</v>
      </c>
    </row>
    <row r="840" spans="1:7" ht="12" customHeight="1">
      <c r="A840" s="9">
        <v>44768</v>
      </c>
      <c r="B840" s="10">
        <v>143277091</v>
      </c>
      <c r="C840" s="3">
        <v>5540246183538</v>
      </c>
      <c r="D840" s="9">
        <v>44780</v>
      </c>
      <c r="E840" s="11">
        <v>919</v>
      </c>
      <c r="F840" s="23" t="str">
        <f>IFERROR(VLOOKUP(C840, 'Catégorie des articles'!$A:$D, 4, FALSE), "")</f>
        <v>MIX LEGUMES</v>
      </c>
      <c r="G840">
        <f t="shared" si="13"/>
        <v>202208</v>
      </c>
    </row>
    <row r="841" spans="1:7" ht="12" customHeight="1">
      <c r="A841" s="6">
        <v>44768</v>
      </c>
      <c r="B841" s="7">
        <v>143277097</v>
      </c>
      <c r="C841" s="3">
        <v>5540246184036</v>
      </c>
      <c r="D841" s="6">
        <v>44781</v>
      </c>
      <c r="E841" s="8">
        <v>130</v>
      </c>
      <c r="F841" s="23" t="str">
        <f>IFERROR(VLOOKUP(C841, 'Catégorie des articles'!$A:$D, 4, FALSE), "")</f>
        <v>BOULANGERIE</v>
      </c>
      <c r="G841">
        <f t="shared" si="13"/>
        <v>202208</v>
      </c>
    </row>
    <row r="842" spans="1:7" ht="12" customHeight="1">
      <c r="A842" s="6">
        <v>44769</v>
      </c>
      <c r="B842" s="7">
        <v>143277109</v>
      </c>
      <c r="C842" s="3">
        <v>5540246174174</v>
      </c>
      <c r="D842" s="6">
        <v>44773</v>
      </c>
      <c r="E842" s="8">
        <v>464</v>
      </c>
      <c r="F842" s="23" t="str">
        <f>IFERROR(VLOOKUP(C842, 'Catégorie des articles'!$A:$D, 4, FALSE), "")</f>
        <v>CREMERIE</v>
      </c>
      <c r="G842">
        <f t="shared" si="13"/>
        <v>202207</v>
      </c>
    </row>
    <row r="843" spans="1:7" ht="12" customHeight="1">
      <c r="A843" s="9">
        <v>44769</v>
      </c>
      <c r="B843" s="10">
        <v>143277109</v>
      </c>
      <c r="C843" s="3">
        <v>5540246176699</v>
      </c>
      <c r="D843" s="9">
        <v>44773</v>
      </c>
      <c r="E843" s="11">
        <v>836</v>
      </c>
      <c r="F843" s="23" t="str">
        <f>IFERROR(VLOOKUP(C843, 'Catégorie des articles'!$A:$D, 4, FALSE), "")</f>
        <v>CREMERIE</v>
      </c>
      <c r="G843">
        <f t="shared" si="13"/>
        <v>202207</v>
      </c>
    </row>
    <row r="844" spans="1:7" ht="12" customHeight="1">
      <c r="A844" s="6">
        <v>44769</v>
      </c>
      <c r="B844" s="7">
        <v>143277109</v>
      </c>
      <c r="C844" s="3">
        <v>5540246188175</v>
      </c>
      <c r="D844" s="6">
        <v>44773</v>
      </c>
      <c r="E844" s="8">
        <v>232</v>
      </c>
      <c r="F844" s="23" t="str">
        <f>IFERROR(VLOOKUP(C844, 'Catégorie des articles'!$A:$D, 4, FALSE), "")</f>
        <v>CREMERIE</v>
      </c>
      <c r="G844">
        <f t="shared" si="13"/>
        <v>202207</v>
      </c>
    </row>
    <row r="845" spans="1:7" ht="12" customHeight="1">
      <c r="A845" s="6">
        <v>44769</v>
      </c>
      <c r="B845" s="7">
        <v>143277109</v>
      </c>
      <c r="C845" s="3">
        <v>5540246192102</v>
      </c>
      <c r="D845" s="6">
        <v>44773</v>
      </c>
      <c r="E845" s="8">
        <v>2005</v>
      </c>
      <c r="F845" s="23" t="str">
        <f>IFERROR(VLOOKUP(C845, 'Catégorie des articles'!$A:$D, 4, FALSE), "")</f>
        <v>CREMERIE</v>
      </c>
      <c r="G845">
        <f t="shared" si="13"/>
        <v>202207</v>
      </c>
    </row>
    <row r="846" spans="1:7" ht="12" customHeight="1">
      <c r="A846" s="6">
        <v>44769</v>
      </c>
      <c r="B846" s="7">
        <v>143277110</v>
      </c>
      <c r="C846" s="3">
        <v>5540246176294</v>
      </c>
      <c r="D846" s="6">
        <v>44773</v>
      </c>
      <c r="E846" s="8">
        <v>1485</v>
      </c>
      <c r="F846" s="23" t="str">
        <f>IFERROR(VLOOKUP(C846, 'Catégorie des articles'!$A:$D, 4, FALSE), "")</f>
        <v>CREMERIE</v>
      </c>
      <c r="G846">
        <f t="shared" si="13"/>
        <v>202207</v>
      </c>
    </row>
    <row r="847" spans="1:7" ht="12" customHeight="1">
      <c r="A847" s="9">
        <v>44769</v>
      </c>
      <c r="B847" s="10">
        <v>143277110</v>
      </c>
      <c r="C847" s="3">
        <v>5540246176295</v>
      </c>
      <c r="D847" s="9">
        <v>44773</v>
      </c>
      <c r="E847" s="11">
        <v>7424</v>
      </c>
      <c r="F847" s="23" t="str">
        <f>IFERROR(VLOOKUP(C847, 'Catégorie des articles'!$A:$D, 4, FALSE), "")</f>
        <v>CREMERIE</v>
      </c>
      <c r="G847">
        <f t="shared" si="13"/>
        <v>202207</v>
      </c>
    </row>
    <row r="848" spans="1:7" ht="12" customHeight="1">
      <c r="A848" s="9">
        <v>44769</v>
      </c>
      <c r="B848" s="10">
        <v>143277110</v>
      </c>
      <c r="C848" s="3">
        <v>5540246187987</v>
      </c>
      <c r="D848" s="9">
        <v>44773</v>
      </c>
      <c r="E848" s="11">
        <v>2228</v>
      </c>
      <c r="F848" s="23" t="str">
        <f>IFERROR(VLOOKUP(C848, 'Catégorie des articles'!$A:$D, 4, FALSE), "")</f>
        <v>CREMERIE</v>
      </c>
      <c r="G848">
        <f t="shared" si="13"/>
        <v>202207</v>
      </c>
    </row>
    <row r="849" spans="1:7" ht="12" customHeight="1">
      <c r="A849" s="6">
        <v>44769</v>
      </c>
      <c r="B849" s="7">
        <v>143277110</v>
      </c>
      <c r="C849" s="3">
        <v>5540246188200</v>
      </c>
      <c r="D849" s="6">
        <v>44773</v>
      </c>
      <c r="E849" s="8">
        <v>743</v>
      </c>
      <c r="F849" s="23" t="str">
        <f>IFERROR(VLOOKUP(C849, 'Catégorie des articles'!$A:$D, 4, FALSE), "")</f>
        <v>CREMERIE</v>
      </c>
      <c r="G849">
        <f t="shared" si="13"/>
        <v>202207</v>
      </c>
    </row>
    <row r="850" spans="1:7" ht="12" customHeight="1">
      <c r="A850" s="6">
        <v>44770</v>
      </c>
      <c r="B850" s="7">
        <v>143277123</v>
      </c>
      <c r="C850" s="3">
        <v>5540246176294</v>
      </c>
      <c r="D850" s="6">
        <v>44774</v>
      </c>
      <c r="E850" s="8">
        <v>743</v>
      </c>
      <c r="F850" s="23" t="str">
        <f>IFERROR(VLOOKUP(C850, 'Catégorie des articles'!$A:$D, 4, FALSE), "")</f>
        <v>CREMERIE</v>
      </c>
      <c r="G850">
        <f t="shared" si="13"/>
        <v>202208</v>
      </c>
    </row>
    <row r="851" spans="1:7" ht="12" customHeight="1">
      <c r="A851" s="9">
        <v>44770</v>
      </c>
      <c r="B851" s="10">
        <v>143277123</v>
      </c>
      <c r="C851" s="3">
        <v>5540246176295</v>
      </c>
      <c r="D851" s="9">
        <v>44774</v>
      </c>
      <c r="E851" s="11">
        <v>1485</v>
      </c>
      <c r="F851" s="23" t="str">
        <f>IFERROR(VLOOKUP(C851, 'Catégorie des articles'!$A:$D, 4, FALSE), "")</f>
        <v>CREMERIE</v>
      </c>
      <c r="G851">
        <f t="shared" si="13"/>
        <v>202208</v>
      </c>
    </row>
    <row r="852" spans="1:7" ht="12" customHeight="1">
      <c r="A852" s="9">
        <v>44770</v>
      </c>
      <c r="B852" s="10">
        <v>143277123</v>
      </c>
      <c r="C852" s="3">
        <v>5540246188200</v>
      </c>
      <c r="D852" s="9">
        <v>44774</v>
      </c>
      <c r="E852" s="11">
        <v>557</v>
      </c>
      <c r="F852" s="23" t="str">
        <f>IFERROR(VLOOKUP(C852, 'Catégorie des articles'!$A:$D, 4, FALSE), "")</f>
        <v>CREMERIE</v>
      </c>
      <c r="G852">
        <f t="shared" si="13"/>
        <v>202208</v>
      </c>
    </row>
    <row r="853" spans="1:7" ht="12" customHeight="1">
      <c r="A853" s="6">
        <v>44770</v>
      </c>
      <c r="B853" s="7">
        <v>143277124</v>
      </c>
      <c r="C853" s="3">
        <v>5540246172978</v>
      </c>
      <c r="D853" s="6">
        <v>44774</v>
      </c>
      <c r="E853" s="8">
        <v>836</v>
      </c>
      <c r="F853" s="23" t="str">
        <f>IFERROR(VLOOKUP(C853, 'Catégorie des articles'!$A:$D, 4, FALSE), "")</f>
        <v>CREMERIE</v>
      </c>
      <c r="G853">
        <f t="shared" si="13"/>
        <v>202208</v>
      </c>
    </row>
    <row r="854" spans="1:7" ht="12" customHeight="1">
      <c r="A854" s="6">
        <v>44770</v>
      </c>
      <c r="B854" s="7">
        <v>143277124</v>
      </c>
      <c r="C854" s="3">
        <v>5540246176699</v>
      </c>
      <c r="D854" s="6">
        <v>44774</v>
      </c>
      <c r="E854" s="8">
        <v>2088</v>
      </c>
      <c r="F854" s="23" t="str">
        <f>IFERROR(VLOOKUP(C854, 'Catégorie des articles'!$A:$D, 4, FALSE), "")</f>
        <v>CREMERIE</v>
      </c>
      <c r="G854">
        <f t="shared" si="13"/>
        <v>202208</v>
      </c>
    </row>
    <row r="855" spans="1:7" ht="12" customHeight="1">
      <c r="A855" s="9">
        <v>44770</v>
      </c>
      <c r="B855" s="10">
        <v>143277124</v>
      </c>
      <c r="C855" s="3">
        <v>5540246188175</v>
      </c>
      <c r="D855" s="9">
        <v>44774</v>
      </c>
      <c r="E855" s="11">
        <v>116</v>
      </c>
      <c r="F855" s="23" t="str">
        <f>IFERROR(VLOOKUP(C855, 'Catégorie des articles'!$A:$D, 4, FALSE), "")</f>
        <v>CREMERIE</v>
      </c>
      <c r="G855">
        <f t="shared" si="13"/>
        <v>202208</v>
      </c>
    </row>
    <row r="856" spans="1:7" ht="12" customHeight="1">
      <c r="A856" s="9">
        <v>44773</v>
      </c>
      <c r="B856" s="10">
        <v>143287132</v>
      </c>
      <c r="C856" s="3">
        <v>5540246172978</v>
      </c>
      <c r="D856" s="9">
        <v>44775</v>
      </c>
      <c r="E856" s="11">
        <v>836</v>
      </c>
      <c r="F856" s="23" t="str">
        <f>IFERROR(VLOOKUP(C856, 'Catégorie des articles'!$A:$D, 4, FALSE), "")</f>
        <v>CREMERIE</v>
      </c>
      <c r="G856">
        <f t="shared" si="13"/>
        <v>202208</v>
      </c>
    </row>
    <row r="857" spans="1:7" ht="12" customHeight="1">
      <c r="A857" s="6">
        <v>44773</v>
      </c>
      <c r="B857" s="7">
        <v>143287132</v>
      </c>
      <c r="C857" s="3">
        <v>5540246176699</v>
      </c>
      <c r="D857" s="6">
        <v>44775</v>
      </c>
      <c r="E857" s="8">
        <v>1044</v>
      </c>
      <c r="F857" s="23" t="str">
        <f>IFERROR(VLOOKUP(C857, 'Catégorie des articles'!$A:$D, 4, FALSE), "")</f>
        <v>CREMERIE</v>
      </c>
      <c r="G857">
        <f t="shared" si="13"/>
        <v>202208</v>
      </c>
    </row>
    <row r="858" spans="1:7" ht="12" customHeight="1">
      <c r="A858" s="9">
        <v>44773</v>
      </c>
      <c r="B858" s="10">
        <v>143287132</v>
      </c>
      <c r="C858" s="3">
        <v>5540246188175</v>
      </c>
      <c r="D858" s="9">
        <v>44775</v>
      </c>
      <c r="E858" s="11">
        <v>116</v>
      </c>
      <c r="F858" s="23" t="str">
        <f>IFERROR(VLOOKUP(C858, 'Catégorie des articles'!$A:$D, 4, FALSE), "")</f>
        <v>CREMERIE</v>
      </c>
      <c r="G858">
        <f t="shared" si="13"/>
        <v>202208</v>
      </c>
    </row>
    <row r="859" spans="1:7" ht="12" customHeight="1">
      <c r="A859" s="6">
        <v>44773</v>
      </c>
      <c r="B859" s="7">
        <v>143287133</v>
      </c>
      <c r="C859" s="3">
        <v>5540246187987</v>
      </c>
      <c r="D859" s="6">
        <v>44775</v>
      </c>
      <c r="E859" s="8">
        <v>1114</v>
      </c>
      <c r="F859" s="23" t="str">
        <f>IFERROR(VLOOKUP(C859, 'Catégorie des articles'!$A:$D, 4, FALSE), "")</f>
        <v>CREMERIE</v>
      </c>
      <c r="G859">
        <f t="shared" si="13"/>
        <v>202208</v>
      </c>
    </row>
    <row r="860" spans="1:7" ht="12" customHeight="1">
      <c r="A860" s="9">
        <v>44773</v>
      </c>
      <c r="B860" s="10">
        <v>143287136</v>
      </c>
      <c r="C860" s="3">
        <v>5540246185562</v>
      </c>
      <c r="D860" s="9">
        <v>44777</v>
      </c>
      <c r="E860" s="11">
        <v>70</v>
      </c>
      <c r="F860" s="23" t="str">
        <f>IFERROR(VLOOKUP(C860, 'Catégorie des articles'!$A:$D, 4, FALSE), "")</f>
        <v>CREMERIE</v>
      </c>
      <c r="G860">
        <f t="shared" si="13"/>
        <v>202208</v>
      </c>
    </row>
    <row r="861" spans="1:7" ht="12" customHeight="1">
      <c r="A861" s="6">
        <v>44773</v>
      </c>
      <c r="B861" s="7">
        <v>143287152</v>
      </c>
      <c r="C861" s="3">
        <v>5540246173472</v>
      </c>
      <c r="D861" s="6">
        <v>44784</v>
      </c>
      <c r="E861" s="8">
        <v>418</v>
      </c>
      <c r="F861" s="23" t="str">
        <f>IFERROR(VLOOKUP(C861, 'Catégorie des articles'!$A:$D, 4, FALSE), "")</f>
        <v>CREMERIE</v>
      </c>
      <c r="G861">
        <f t="shared" si="13"/>
        <v>202208</v>
      </c>
    </row>
    <row r="862" spans="1:7" ht="12" customHeight="1">
      <c r="A862" s="9">
        <v>44773</v>
      </c>
      <c r="B862" s="10">
        <v>143287152</v>
      </c>
      <c r="C862" s="3">
        <v>5540246175047</v>
      </c>
      <c r="D862" s="9">
        <v>44784</v>
      </c>
      <c r="E862" s="11">
        <v>279</v>
      </c>
      <c r="F862" s="23" t="str">
        <f>IFERROR(VLOOKUP(C862, 'Catégorie des articles'!$A:$D, 4, FALSE), "")</f>
        <v>CREMERIE</v>
      </c>
      <c r="G862">
        <f t="shared" si="13"/>
        <v>202208</v>
      </c>
    </row>
    <row r="863" spans="1:7" ht="12" customHeight="1">
      <c r="A863" s="6">
        <v>44773</v>
      </c>
      <c r="B863" s="7">
        <v>143287152</v>
      </c>
      <c r="C863" s="3">
        <v>5540246175049</v>
      </c>
      <c r="D863" s="6">
        <v>44784</v>
      </c>
      <c r="E863" s="8">
        <v>418</v>
      </c>
      <c r="F863" s="23" t="str">
        <f>IFERROR(VLOOKUP(C863, 'Catégorie des articles'!$A:$D, 4, FALSE), "")</f>
        <v>CREMERIE</v>
      </c>
      <c r="G863">
        <f t="shared" si="13"/>
        <v>202208</v>
      </c>
    </row>
    <row r="864" spans="1:7" ht="12" customHeight="1">
      <c r="A864" s="9">
        <v>44773</v>
      </c>
      <c r="B864" s="10">
        <v>143287152</v>
      </c>
      <c r="C864" s="3">
        <v>5540246175050</v>
      </c>
      <c r="D864" s="9">
        <v>44784</v>
      </c>
      <c r="E864" s="11">
        <v>418</v>
      </c>
      <c r="F864" s="23" t="str">
        <f>IFERROR(VLOOKUP(C864, 'Catégorie des articles'!$A:$D, 4, FALSE), "")</f>
        <v>CREMERIE</v>
      </c>
      <c r="G864">
        <f t="shared" si="13"/>
        <v>202208</v>
      </c>
    </row>
    <row r="865" spans="1:7" ht="12" customHeight="1">
      <c r="A865" s="6">
        <v>44773</v>
      </c>
      <c r="B865" s="7">
        <v>143287152</v>
      </c>
      <c r="C865" s="3">
        <v>5540246190743</v>
      </c>
      <c r="D865" s="6">
        <v>44784</v>
      </c>
      <c r="E865" s="8">
        <v>140</v>
      </c>
      <c r="F865" s="23" t="str">
        <f>IFERROR(VLOOKUP(C865, 'Catégorie des articles'!$A:$D, 4, FALSE), "")</f>
        <v>CREMERIE</v>
      </c>
      <c r="G865">
        <f t="shared" si="13"/>
        <v>202208</v>
      </c>
    </row>
    <row r="866" spans="1:7" ht="12" customHeight="1">
      <c r="A866" s="6">
        <v>44774</v>
      </c>
      <c r="B866" s="7">
        <v>143287159</v>
      </c>
      <c r="C866" s="3">
        <v>5540246171933</v>
      </c>
      <c r="D866" s="6">
        <v>44776</v>
      </c>
      <c r="E866" s="8">
        <v>335</v>
      </c>
      <c r="F866" s="23" t="str">
        <f>IFERROR(VLOOKUP(C866, 'Catégorie des articles'!$A:$D, 4, FALSE), "")</f>
        <v>CREMERIE</v>
      </c>
      <c r="G866">
        <f t="shared" si="13"/>
        <v>202208</v>
      </c>
    </row>
    <row r="867" spans="1:7" ht="12" customHeight="1">
      <c r="A867" s="9">
        <v>44774</v>
      </c>
      <c r="B867" s="10">
        <v>143287159</v>
      </c>
      <c r="C867" s="3">
        <v>5540246176294</v>
      </c>
      <c r="D867" s="9">
        <v>44776</v>
      </c>
      <c r="E867" s="11">
        <v>743</v>
      </c>
      <c r="F867" s="23" t="str">
        <f>IFERROR(VLOOKUP(C867, 'Catégorie des articles'!$A:$D, 4, FALSE), "")</f>
        <v>CREMERIE</v>
      </c>
      <c r="G867">
        <f t="shared" si="13"/>
        <v>202208</v>
      </c>
    </row>
    <row r="868" spans="1:7" ht="12" customHeight="1">
      <c r="A868" s="6">
        <v>44774</v>
      </c>
      <c r="B868" s="7">
        <v>143287159</v>
      </c>
      <c r="C868" s="3">
        <v>5540246187987</v>
      </c>
      <c r="D868" s="6">
        <v>44776</v>
      </c>
      <c r="E868" s="8">
        <v>1671</v>
      </c>
      <c r="F868" s="23" t="str">
        <f>IFERROR(VLOOKUP(C868, 'Catégorie des articles'!$A:$D, 4, FALSE), "")</f>
        <v>CREMERIE</v>
      </c>
      <c r="G868">
        <f t="shared" si="13"/>
        <v>202208</v>
      </c>
    </row>
    <row r="869" spans="1:7" ht="12" customHeight="1">
      <c r="A869" s="6">
        <v>44774</v>
      </c>
      <c r="B869" s="7">
        <v>143287163</v>
      </c>
      <c r="C869" s="3">
        <v>5540246172978</v>
      </c>
      <c r="D869" s="6">
        <v>44776</v>
      </c>
      <c r="E869" s="8">
        <v>836</v>
      </c>
      <c r="F869" s="23" t="str">
        <f>IFERROR(VLOOKUP(C869, 'Catégorie des articles'!$A:$D, 4, FALSE), "")</f>
        <v>CREMERIE</v>
      </c>
      <c r="G869">
        <f t="shared" si="13"/>
        <v>202208</v>
      </c>
    </row>
    <row r="870" spans="1:7" ht="12" customHeight="1">
      <c r="A870" s="9">
        <v>44774</v>
      </c>
      <c r="B870" s="10">
        <v>143287163</v>
      </c>
      <c r="C870" s="3">
        <v>5540246176699</v>
      </c>
      <c r="D870" s="9">
        <v>44776</v>
      </c>
      <c r="E870" s="11">
        <v>836</v>
      </c>
      <c r="F870" s="23" t="str">
        <f>IFERROR(VLOOKUP(C870, 'Catégorie des articles'!$A:$D, 4, FALSE), "")</f>
        <v>CREMERIE</v>
      </c>
      <c r="G870">
        <f t="shared" si="13"/>
        <v>202208</v>
      </c>
    </row>
    <row r="871" spans="1:7" ht="12" customHeight="1">
      <c r="A871" s="9">
        <v>44774</v>
      </c>
      <c r="B871" s="10">
        <v>143287169</v>
      </c>
      <c r="C871" s="3">
        <v>5540246183587</v>
      </c>
      <c r="D871" s="9">
        <v>44794</v>
      </c>
      <c r="E871" s="11">
        <v>502</v>
      </c>
      <c r="F871" s="23" t="str">
        <f>IFERROR(VLOOKUP(C871, 'Catégorie des articles'!$A:$D, 4, FALSE), "")</f>
        <v>MIX LEGUMES</v>
      </c>
      <c r="G871">
        <f t="shared" si="13"/>
        <v>202208</v>
      </c>
    </row>
    <row r="872" spans="1:7" ht="12" customHeight="1">
      <c r="A872" s="6">
        <v>44774</v>
      </c>
      <c r="B872" s="7">
        <v>143287169</v>
      </c>
      <c r="C872" s="3">
        <v>5540246183589</v>
      </c>
      <c r="D872" s="6">
        <v>44794</v>
      </c>
      <c r="E872" s="8">
        <v>650</v>
      </c>
      <c r="F872" s="23" t="str">
        <f>IFERROR(VLOOKUP(C872, 'Catégorie des articles'!$A:$D, 4, FALSE), "")</f>
        <v>MIX LEGUMES</v>
      </c>
      <c r="G872">
        <f t="shared" si="13"/>
        <v>202208</v>
      </c>
    </row>
    <row r="873" spans="1:7" ht="12" customHeight="1">
      <c r="A873" s="9">
        <v>44774</v>
      </c>
      <c r="B873" s="10">
        <v>143287172</v>
      </c>
      <c r="C873" s="3">
        <v>5540246180522</v>
      </c>
      <c r="D873" s="9">
        <v>44784</v>
      </c>
      <c r="E873" s="11">
        <v>891</v>
      </c>
      <c r="F873" s="23" t="str">
        <f>IFERROR(VLOOKUP(C873, 'Catégorie des articles'!$A:$D, 4, FALSE), "")</f>
        <v>BOULANGERIE</v>
      </c>
      <c r="G873">
        <f t="shared" si="13"/>
        <v>202208</v>
      </c>
    </row>
    <row r="874" spans="1:7" ht="12" customHeight="1">
      <c r="A874" s="9">
        <v>44774</v>
      </c>
      <c r="B874" s="10">
        <v>143287173</v>
      </c>
      <c r="C874" s="3">
        <v>5540246194632</v>
      </c>
      <c r="D874" s="9">
        <v>44787</v>
      </c>
      <c r="E874" s="11">
        <v>669</v>
      </c>
      <c r="F874" s="23" t="str">
        <f>IFERROR(VLOOKUP(C874, 'Catégorie des articles'!$A:$D, 4, FALSE), "")</f>
        <v>BOULANGERIE</v>
      </c>
      <c r="G874">
        <f t="shared" si="13"/>
        <v>202208</v>
      </c>
    </row>
    <row r="875" spans="1:7" ht="12" customHeight="1">
      <c r="A875" s="9">
        <v>44775</v>
      </c>
      <c r="B875" s="10">
        <v>143287181</v>
      </c>
      <c r="C875" s="3">
        <v>5540246176294</v>
      </c>
      <c r="D875" s="9">
        <v>44777</v>
      </c>
      <c r="E875" s="11">
        <v>743</v>
      </c>
      <c r="F875" s="23" t="str">
        <f>IFERROR(VLOOKUP(C875, 'Catégorie des articles'!$A:$D, 4, FALSE), "")</f>
        <v>CREMERIE</v>
      </c>
      <c r="G875">
        <f t="shared" si="13"/>
        <v>202208</v>
      </c>
    </row>
    <row r="876" spans="1:7" ht="12" customHeight="1">
      <c r="A876" s="6">
        <v>44775</v>
      </c>
      <c r="B876" s="7">
        <v>143287181</v>
      </c>
      <c r="C876" s="3">
        <v>5540246176295</v>
      </c>
      <c r="D876" s="6">
        <v>44777</v>
      </c>
      <c r="E876" s="8">
        <v>2970</v>
      </c>
      <c r="F876" s="23" t="str">
        <f>IFERROR(VLOOKUP(C876, 'Catégorie des articles'!$A:$D, 4, FALSE), "")</f>
        <v>CREMERIE</v>
      </c>
      <c r="G876">
        <f t="shared" si="13"/>
        <v>202208</v>
      </c>
    </row>
    <row r="877" spans="1:7" ht="12" customHeight="1">
      <c r="A877" s="9">
        <v>44775</v>
      </c>
      <c r="B877" s="10">
        <v>143287181</v>
      </c>
      <c r="C877" s="3">
        <v>5540246187987</v>
      </c>
      <c r="D877" s="9">
        <v>44777</v>
      </c>
      <c r="E877" s="11">
        <v>1671</v>
      </c>
      <c r="F877" s="23" t="str">
        <f>IFERROR(VLOOKUP(C877, 'Catégorie des articles'!$A:$D, 4, FALSE), "")</f>
        <v>CREMERIE</v>
      </c>
      <c r="G877">
        <f t="shared" si="13"/>
        <v>202208</v>
      </c>
    </row>
    <row r="878" spans="1:7" ht="12" customHeight="1">
      <c r="A878" s="6">
        <v>44775</v>
      </c>
      <c r="B878" s="7">
        <v>143287181</v>
      </c>
      <c r="C878" s="3">
        <v>5540246188200</v>
      </c>
      <c r="D878" s="6">
        <v>44777</v>
      </c>
      <c r="E878" s="8">
        <v>372</v>
      </c>
      <c r="F878" s="23" t="str">
        <f>IFERROR(VLOOKUP(C878, 'Catégorie des articles'!$A:$D, 4, FALSE), "")</f>
        <v>CREMERIE</v>
      </c>
      <c r="G878">
        <f t="shared" si="13"/>
        <v>202208</v>
      </c>
    </row>
    <row r="879" spans="1:7" ht="12" customHeight="1">
      <c r="A879" s="6">
        <v>44775</v>
      </c>
      <c r="B879" s="7">
        <v>143287185</v>
      </c>
      <c r="C879" s="3">
        <v>5540246172669</v>
      </c>
      <c r="D879" s="6">
        <v>44777</v>
      </c>
      <c r="E879" s="8">
        <v>279</v>
      </c>
      <c r="F879" s="23" t="str">
        <f>IFERROR(VLOOKUP(C879, 'Catégorie des articles'!$A:$D, 4, FALSE), "")</f>
        <v>CREMERIE</v>
      </c>
      <c r="G879">
        <f t="shared" si="13"/>
        <v>202208</v>
      </c>
    </row>
    <row r="880" spans="1:7" ht="12" customHeight="1">
      <c r="A880" s="9">
        <v>44775</v>
      </c>
      <c r="B880" s="10">
        <v>143287185</v>
      </c>
      <c r="C880" s="3">
        <v>5540246172978</v>
      </c>
      <c r="D880" s="9">
        <v>44777</v>
      </c>
      <c r="E880" s="11">
        <v>836</v>
      </c>
      <c r="F880" s="23" t="str">
        <f>IFERROR(VLOOKUP(C880, 'Catégorie des articles'!$A:$D, 4, FALSE), "")</f>
        <v>CREMERIE</v>
      </c>
      <c r="G880">
        <f t="shared" si="13"/>
        <v>202208</v>
      </c>
    </row>
    <row r="881" spans="1:7" ht="12" customHeight="1">
      <c r="A881" s="6">
        <v>44775</v>
      </c>
      <c r="B881" s="7">
        <v>143287185</v>
      </c>
      <c r="C881" s="3">
        <v>5540246174174</v>
      </c>
      <c r="D881" s="6">
        <v>44777</v>
      </c>
      <c r="E881" s="8">
        <v>232</v>
      </c>
      <c r="F881" s="23" t="str">
        <f>IFERROR(VLOOKUP(C881, 'Catégorie des articles'!$A:$D, 4, FALSE), "")</f>
        <v>CREMERIE</v>
      </c>
      <c r="G881">
        <f t="shared" si="13"/>
        <v>202208</v>
      </c>
    </row>
    <row r="882" spans="1:7" ht="12" customHeight="1">
      <c r="A882" s="6">
        <v>44776</v>
      </c>
      <c r="B882" s="7">
        <v>143287208</v>
      </c>
      <c r="C882" s="3">
        <v>5540246171933</v>
      </c>
      <c r="D882" s="6">
        <v>44780</v>
      </c>
      <c r="E882" s="8">
        <v>1114</v>
      </c>
      <c r="F882" s="23" t="str">
        <f>IFERROR(VLOOKUP(C882, 'Catégorie des articles'!$A:$D, 4, FALSE), "")</f>
        <v>CREMERIE</v>
      </c>
      <c r="G882">
        <f t="shared" si="13"/>
        <v>202208</v>
      </c>
    </row>
    <row r="883" spans="1:7" ht="12" customHeight="1">
      <c r="A883" s="9">
        <v>44776</v>
      </c>
      <c r="B883" s="10">
        <v>143287208</v>
      </c>
      <c r="C883" s="3">
        <v>5540246176294</v>
      </c>
      <c r="D883" s="9">
        <v>44780</v>
      </c>
      <c r="E883" s="11">
        <v>1485</v>
      </c>
      <c r="F883" s="23" t="str">
        <f>IFERROR(VLOOKUP(C883, 'Catégorie des articles'!$A:$D, 4, FALSE), "")</f>
        <v>CREMERIE</v>
      </c>
      <c r="G883">
        <f t="shared" si="13"/>
        <v>202208</v>
      </c>
    </row>
    <row r="884" spans="1:7" ht="12" customHeight="1">
      <c r="A884" s="6">
        <v>44776</v>
      </c>
      <c r="B884" s="7">
        <v>143287208</v>
      </c>
      <c r="C884" s="3">
        <v>5540246176295</v>
      </c>
      <c r="D884" s="6">
        <v>44780</v>
      </c>
      <c r="E884" s="8">
        <v>5940</v>
      </c>
      <c r="F884" s="23" t="str">
        <f>IFERROR(VLOOKUP(C884, 'Catégorie des articles'!$A:$D, 4, FALSE), "")</f>
        <v>CREMERIE</v>
      </c>
      <c r="G884">
        <f t="shared" si="13"/>
        <v>202208</v>
      </c>
    </row>
    <row r="885" spans="1:7" ht="12" customHeight="1">
      <c r="A885" s="6">
        <v>44776</v>
      </c>
      <c r="B885" s="7">
        <v>143287208</v>
      </c>
      <c r="C885" s="3">
        <v>5540246187987</v>
      </c>
      <c r="D885" s="6">
        <v>44780</v>
      </c>
      <c r="E885" s="8">
        <v>3898</v>
      </c>
      <c r="F885" s="23" t="str">
        <f>IFERROR(VLOOKUP(C885, 'Catégorie des articles'!$A:$D, 4, FALSE), "")</f>
        <v>CREMERIE</v>
      </c>
      <c r="G885">
        <f t="shared" si="13"/>
        <v>202208</v>
      </c>
    </row>
    <row r="886" spans="1:7" ht="12" customHeight="1">
      <c r="A886" s="9">
        <v>44776</v>
      </c>
      <c r="B886" s="10">
        <v>143287208</v>
      </c>
      <c r="C886" s="3">
        <v>5540246188200</v>
      </c>
      <c r="D886" s="9">
        <v>44780</v>
      </c>
      <c r="E886" s="11">
        <v>743</v>
      </c>
      <c r="F886" s="23" t="str">
        <f>IFERROR(VLOOKUP(C886, 'Catégorie des articles'!$A:$D, 4, FALSE), "")</f>
        <v>CREMERIE</v>
      </c>
      <c r="G886">
        <f t="shared" si="13"/>
        <v>202208</v>
      </c>
    </row>
    <row r="887" spans="1:7" ht="12" customHeight="1">
      <c r="A887" s="9">
        <v>44776</v>
      </c>
      <c r="B887" s="10">
        <v>143287212</v>
      </c>
      <c r="C887" s="3">
        <v>5540246171933</v>
      </c>
      <c r="D887" s="9">
        <v>44777</v>
      </c>
      <c r="E887" s="11">
        <v>557</v>
      </c>
      <c r="F887" s="23" t="str">
        <f>IFERROR(VLOOKUP(C887, 'Catégorie des articles'!$A:$D, 4, FALSE), "")</f>
        <v>CREMERIE</v>
      </c>
      <c r="G887">
        <f t="shared" si="13"/>
        <v>202208</v>
      </c>
    </row>
    <row r="888" spans="1:7" ht="12" customHeight="1">
      <c r="A888" s="6">
        <v>44776</v>
      </c>
      <c r="B888" s="7">
        <v>143287212</v>
      </c>
      <c r="C888" s="3">
        <v>5540246176294</v>
      </c>
      <c r="D888" s="6">
        <v>44777</v>
      </c>
      <c r="E888" s="8">
        <v>743</v>
      </c>
      <c r="F888" s="23" t="str">
        <f>IFERROR(VLOOKUP(C888, 'Catégorie des articles'!$A:$D, 4, FALSE), "")</f>
        <v>CREMERIE</v>
      </c>
      <c r="G888">
        <f t="shared" si="13"/>
        <v>202208</v>
      </c>
    </row>
    <row r="889" spans="1:7" ht="12" customHeight="1">
      <c r="A889" s="9">
        <v>44776</v>
      </c>
      <c r="B889" s="10">
        <v>143287212</v>
      </c>
      <c r="C889" s="3">
        <v>5540246176295</v>
      </c>
      <c r="D889" s="9">
        <v>44777</v>
      </c>
      <c r="E889" s="11">
        <v>2228</v>
      </c>
      <c r="F889" s="23" t="str">
        <f>IFERROR(VLOOKUP(C889, 'Catégorie des articles'!$A:$D, 4, FALSE), "")</f>
        <v>CREMERIE</v>
      </c>
      <c r="G889">
        <f t="shared" si="13"/>
        <v>202208</v>
      </c>
    </row>
    <row r="890" spans="1:7" ht="12" customHeight="1">
      <c r="A890" s="6">
        <v>44776</v>
      </c>
      <c r="B890" s="7">
        <v>143287212</v>
      </c>
      <c r="C890" s="3">
        <v>5540246187987</v>
      </c>
      <c r="D890" s="6">
        <v>44777</v>
      </c>
      <c r="E890" s="8">
        <v>2228</v>
      </c>
      <c r="F890" s="23" t="str">
        <f>IFERROR(VLOOKUP(C890, 'Catégorie des articles'!$A:$D, 4, FALSE), "")</f>
        <v>CREMERIE</v>
      </c>
      <c r="G890">
        <f t="shared" si="13"/>
        <v>202208</v>
      </c>
    </row>
    <row r="891" spans="1:7" ht="12" customHeight="1">
      <c r="A891" s="9">
        <v>44776</v>
      </c>
      <c r="B891" s="10">
        <v>143287212</v>
      </c>
      <c r="C891" s="3">
        <v>5540246188200</v>
      </c>
      <c r="D891" s="9">
        <v>44777</v>
      </c>
      <c r="E891" s="11">
        <v>186</v>
      </c>
      <c r="F891" s="23" t="str">
        <f>IFERROR(VLOOKUP(C891, 'Catégorie des articles'!$A:$D, 4, FALSE), "")</f>
        <v>CREMERIE</v>
      </c>
      <c r="G891">
        <f t="shared" si="13"/>
        <v>202208</v>
      </c>
    </row>
    <row r="892" spans="1:7" ht="12" customHeight="1">
      <c r="A892" s="9">
        <v>44776</v>
      </c>
      <c r="B892" s="10">
        <v>143287213</v>
      </c>
      <c r="C892" s="3">
        <v>5540246176699</v>
      </c>
      <c r="D892" s="9">
        <v>44777</v>
      </c>
      <c r="E892" s="11">
        <v>1253</v>
      </c>
      <c r="F892" s="23" t="str">
        <f>IFERROR(VLOOKUP(C892, 'Catégorie des articles'!$A:$D, 4, FALSE), "")</f>
        <v>CREMERIE</v>
      </c>
      <c r="G892">
        <f t="shared" si="13"/>
        <v>202208</v>
      </c>
    </row>
    <row r="893" spans="1:7" ht="12" customHeight="1">
      <c r="A893" s="6">
        <v>44776</v>
      </c>
      <c r="B893" s="7">
        <v>143287214</v>
      </c>
      <c r="C893" s="3">
        <v>5540246172978</v>
      </c>
      <c r="D893" s="6">
        <v>44780</v>
      </c>
      <c r="E893" s="8">
        <v>836</v>
      </c>
      <c r="F893" s="23" t="str">
        <f>IFERROR(VLOOKUP(C893, 'Catégorie des articles'!$A:$D, 4, FALSE), "")</f>
        <v>CREMERIE</v>
      </c>
      <c r="G893">
        <f t="shared" si="13"/>
        <v>202208</v>
      </c>
    </row>
    <row r="894" spans="1:7" ht="12" customHeight="1">
      <c r="A894" s="9">
        <v>44776</v>
      </c>
      <c r="B894" s="10">
        <v>143287214</v>
      </c>
      <c r="C894" s="3">
        <v>5540246174174</v>
      </c>
      <c r="D894" s="9">
        <v>44780</v>
      </c>
      <c r="E894" s="11">
        <v>232</v>
      </c>
      <c r="F894" s="23" t="str">
        <f>IFERROR(VLOOKUP(C894, 'Catégorie des articles'!$A:$D, 4, FALSE), "")</f>
        <v>CREMERIE</v>
      </c>
      <c r="G894">
        <f t="shared" si="13"/>
        <v>202208</v>
      </c>
    </row>
    <row r="895" spans="1:7" ht="12" customHeight="1">
      <c r="A895" s="9">
        <v>44776</v>
      </c>
      <c r="B895" s="10">
        <v>143287214</v>
      </c>
      <c r="C895" s="3">
        <v>5540246176699</v>
      </c>
      <c r="D895" s="9">
        <v>44780</v>
      </c>
      <c r="E895" s="11">
        <v>2088</v>
      </c>
      <c r="F895" s="23" t="str">
        <f>IFERROR(VLOOKUP(C895, 'Catégorie des articles'!$A:$D, 4, FALSE), "")</f>
        <v>CREMERIE</v>
      </c>
      <c r="G895">
        <f t="shared" si="13"/>
        <v>202208</v>
      </c>
    </row>
    <row r="896" spans="1:7" ht="12" customHeight="1">
      <c r="A896" s="6">
        <v>44776</v>
      </c>
      <c r="B896" s="7">
        <v>143287219</v>
      </c>
      <c r="C896" s="3">
        <v>5540246174095</v>
      </c>
      <c r="D896" s="6">
        <v>44781</v>
      </c>
      <c r="E896" s="8">
        <v>70</v>
      </c>
      <c r="F896" s="23" t="str">
        <f>IFERROR(VLOOKUP(C896, 'Catégorie des articles'!$A:$D, 4, FALSE), "")</f>
        <v>CREMERIE</v>
      </c>
      <c r="G896">
        <f t="shared" si="13"/>
        <v>202208</v>
      </c>
    </row>
    <row r="897" spans="1:7" ht="12" customHeight="1">
      <c r="A897" s="6">
        <v>44776</v>
      </c>
      <c r="B897" s="7">
        <v>143287220</v>
      </c>
      <c r="C897" s="3">
        <v>5540246181061</v>
      </c>
      <c r="D897" s="6">
        <v>44782</v>
      </c>
      <c r="E897" s="8">
        <v>3871</v>
      </c>
      <c r="F897" s="23" t="str">
        <f>IFERROR(VLOOKUP(C897, 'Catégorie des articles'!$A:$D, 4, FALSE), "")</f>
        <v>VOLAILLE</v>
      </c>
      <c r="G897">
        <f t="shared" si="13"/>
        <v>202208</v>
      </c>
    </row>
    <row r="898" spans="1:7" ht="12" customHeight="1">
      <c r="A898" s="9">
        <v>44776</v>
      </c>
      <c r="B898" s="10">
        <v>143287220</v>
      </c>
      <c r="C898" s="3">
        <v>5540246183547</v>
      </c>
      <c r="D898" s="9">
        <v>44782</v>
      </c>
      <c r="E898" s="11">
        <v>2228</v>
      </c>
      <c r="F898" s="23" t="str">
        <f>IFERROR(VLOOKUP(C898, 'Catégorie des articles'!$A:$D, 4, FALSE), "")</f>
        <v>VOLAILLE</v>
      </c>
      <c r="G898">
        <f t="shared" si="13"/>
        <v>202208</v>
      </c>
    </row>
    <row r="899" spans="1:7" ht="12" customHeight="1">
      <c r="A899" s="6">
        <v>44776</v>
      </c>
      <c r="B899" s="7">
        <v>143287220</v>
      </c>
      <c r="C899" s="3">
        <v>5540246185278</v>
      </c>
      <c r="D899" s="6">
        <v>44782</v>
      </c>
      <c r="E899" s="8">
        <v>1120</v>
      </c>
      <c r="F899" s="23" t="str">
        <f>IFERROR(VLOOKUP(C899, 'Catégorie des articles'!$A:$D, 4, FALSE), "")</f>
        <v>VOLAILLE</v>
      </c>
      <c r="G899">
        <f t="shared" ref="G899:G962" si="14">YEAR(D899)*100 + MONTH(D899)</f>
        <v>202208</v>
      </c>
    </row>
    <row r="900" spans="1:7" ht="12" customHeight="1">
      <c r="A900" s="6">
        <v>44776</v>
      </c>
      <c r="B900" s="7">
        <v>143287222</v>
      </c>
      <c r="C900" s="3">
        <v>5540246183558</v>
      </c>
      <c r="D900" s="6">
        <v>44788</v>
      </c>
      <c r="E900" s="8">
        <v>2599</v>
      </c>
      <c r="F900" s="23" t="str">
        <f>IFERROR(VLOOKUP(C900, 'Catégorie des articles'!$A:$D, 4, FALSE), "")</f>
        <v>MIX LEGUMES</v>
      </c>
      <c r="G900">
        <f t="shared" si="14"/>
        <v>202208</v>
      </c>
    </row>
    <row r="901" spans="1:7" ht="12" customHeight="1">
      <c r="A901" s="9">
        <v>44776</v>
      </c>
      <c r="B901" s="10">
        <v>143287222</v>
      </c>
      <c r="C901" s="3">
        <v>5540246183560</v>
      </c>
      <c r="D901" s="9">
        <v>44788</v>
      </c>
      <c r="E901" s="11">
        <v>223</v>
      </c>
      <c r="F901" s="23" t="str">
        <f>IFERROR(VLOOKUP(C901, 'Catégorie des articles'!$A:$D, 4, FALSE), "")</f>
        <v>MIX LEGUMES</v>
      </c>
      <c r="G901">
        <f t="shared" si="14"/>
        <v>202208</v>
      </c>
    </row>
    <row r="902" spans="1:7" ht="12" customHeight="1">
      <c r="A902" s="6">
        <v>44776</v>
      </c>
      <c r="B902" s="7">
        <v>143287222</v>
      </c>
      <c r="C902" s="3">
        <v>5540246192209</v>
      </c>
      <c r="D902" s="6">
        <v>44788</v>
      </c>
      <c r="E902" s="8">
        <v>1114</v>
      </c>
      <c r="F902" s="23" t="str">
        <f>IFERROR(VLOOKUP(C902, 'Catégorie des articles'!$A:$D, 4, FALSE), "")</f>
        <v>MIX LEGUMES</v>
      </c>
      <c r="G902">
        <f t="shared" si="14"/>
        <v>202208</v>
      </c>
    </row>
    <row r="903" spans="1:7" ht="12" customHeight="1">
      <c r="A903" s="9">
        <v>44776</v>
      </c>
      <c r="B903" s="10">
        <v>143287222</v>
      </c>
      <c r="C903" s="3">
        <v>5540246192462</v>
      </c>
      <c r="D903" s="9">
        <v>44788</v>
      </c>
      <c r="E903" s="11">
        <v>1114</v>
      </c>
      <c r="F903" s="23" t="str">
        <f>IFERROR(VLOOKUP(C903, 'Catégorie des articles'!$A:$D, 4, FALSE), "")</f>
        <v>MIX LEGUMES</v>
      </c>
      <c r="G903">
        <f t="shared" si="14"/>
        <v>202208</v>
      </c>
    </row>
    <row r="904" spans="1:7" ht="12" customHeight="1">
      <c r="A904" s="6">
        <v>44776</v>
      </c>
      <c r="B904" s="7">
        <v>143287223</v>
      </c>
      <c r="C904" s="3">
        <v>5540246192264</v>
      </c>
      <c r="D904" s="6">
        <v>44803</v>
      </c>
      <c r="E904" s="8">
        <v>1485</v>
      </c>
      <c r="F904" s="23" t="str">
        <f>IFERROR(VLOOKUP(C904, 'Catégorie des articles'!$A:$D, 4, FALSE), "")</f>
        <v>CREMERIE</v>
      </c>
      <c r="G904">
        <f t="shared" si="14"/>
        <v>202208</v>
      </c>
    </row>
    <row r="905" spans="1:7" ht="12" customHeight="1">
      <c r="A905" s="9">
        <v>44776</v>
      </c>
      <c r="B905" s="10">
        <v>143287223</v>
      </c>
      <c r="C905" s="3">
        <v>5540246192265</v>
      </c>
      <c r="D905" s="9">
        <v>44803</v>
      </c>
      <c r="E905" s="11">
        <v>297</v>
      </c>
      <c r="F905" s="23" t="str">
        <f>IFERROR(VLOOKUP(C905, 'Catégorie des articles'!$A:$D, 4, FALSE), "")</f>
        <v>CREMERIE</v>
      </c>
      <c r="G905">
        <f t="shared" si="14"/>
        <v>202208</v>
      </c>
    </row>
    <row r="906" spans="1:7" ht="12" customHeight="1">
      <c r="A906" s="9">
        <v>44776</v>
      </c>
      <c r="B906" s="10">
        <v>143287228</v>
      </c>
      <c r="C906" s="3">
        <v>5540246188583</v>
      </c>
      <c r="D906" s="9">
        <v>44780</v>
      </c>
      <c r="E906" s="11">
        <v>2228</v>
      </c>
      <c r="F906" s="23" t="str">
        <f>IFERROR(VLOOKUP(C906, 'Catégorie des articles'!$A:$D, 4, FALSE), "")</f>
        <v>BOULANGERIE</v>
      </c>
      <c r="G906">
        <f t="shared" si="14"/>
        <v>202208</v>
      </c>
    </row>
    <row r="907" spans="1:7" ht="12" customHeight="1">
      <c r="A907" s="6">
        <v>44776</v>
      </c>
      <c r="B907" s="7">
        <v>143287229</v>
      </c>
      <c r="C907" s="3">
        <v>5540246170256</v>
      </c>
      <c r="D907" s="6">
        <v>44783</v>
      </c>
      <c r="E907" s="8">
        <v>3880</v>
      </c>
      <c r="F907" s="23" t="str">
        <f>IFERROR(VLOOKUP(C907, 'Catégorie des articles'!$A:$D, 4, FALSE), "")</f>
        <v>BOULANGERIE</v>
      </c>
      <c r="G907">
        <f t="shared" si="14"/>
        <v>202208</v>
      </c>
    </row>
    <row r="908" spans="1:7" ht="12" customHeight="1">
      <c r="A908" s="9">
        <v>44777</v>
      </c>
      <c r="B908" s="10">
        <v>143287248</v>
      </c>
      <c r="C908" s="3">
        <v>5540246172978</v>
      </c>
      <c r="D908" s="9">
        <v>44781</v>
      </c>
      <c r="E908" s="11">
        <v>836</v>
      </c>
      <c r="F908" s="23" t="str">
        <f>IFERROR(VLOOKUP(C908, 'Catégorie des articles'!$A:$D, 4, FALSE), "")</f>
        <v>CREMERIE</v>
      </c>
      <c r="G908">
        <f t="shared" si="14"/>
        <v>202208</v>
      </c>
    </row>
    <row r="909" spans="1:7" ht="12" customHeight="1">
      <c r="A909" s="9">
        <v>44777</v>
      </c>
      <c r="B909" s="10">
        <v>143287248</v>
      </c>
      <c r="C909" s="3">
        <v>5540246176699</v>
      </c>
      <c r="D909" s="9">
        <v>44781</v>
      </c>
      <c r="E909" s="11">
        <v>2088</v>
      </c>
      <c r="F909" s="23" t="str">
        <f>IFERROR(VLOOKUP(C909, 'Catégorie des articles'!$A:$D, 4, FALSE), "")</f>
        <v>CREMERIE</v>
      </c>
      <c r="G909">
        <f t="shared" si="14"/>
        <v>202208</v>
      </c>
    </row>
    <row r="910" spans="1:7" ht="12" customHeight="1">
      <c r="A910" s="6">
        <v>44777</v>
      </c>
      <c r="B910" s="7">
        <v>143287249</v>
      </c>
      <c r="C910" s="3">
        <v>5540246185429</v>
      </c>
      <c r="D910" s="6">
        <v>44783</v>
      </c>
      <c r="E910" s="8">
        <v>195</v>
      </c>
      <c r="F910" s="23" t="str">
        <f>IFERROR(VLOOKUP(C910, 'Catégorie des articles'!$A:$D, 4, FALSE), "")</f>
        <v>CREMERIE</v>
      </c>
      <c r="G910">
        <f t="shared" si="14"/>
        <v>202208</v>
      </c>
    </row>
    <row r="911" spans="1:7" ht="12" customHeight="1">
      <c r="A911" s="9">
        <v>44777</v>
      </c>
      <c r="B911" s="10">
        <v>143287252</v>
      </c>
      <c r="C911" s="3">
        <v>5540246194330</v>
      </c>
      <c r="D911" s="9">
        <v>44784</v>
      </c>
      <c r="E911" s="11">
        <v>9169</v>
      </c>
      <c r="F911" s="23" t="str">
        <f>IFERROR(VLOOKUP(C911, 'Catégorie des articles'!$A:$D, 4, FALSE), "")</f>
        <v>MIX LEGUMES</v>
      </c>
      <c r="G911">
        <f t="shared" si="14"/>
        <v>202208</v>
      </c>
    </row>
    <row r="912" spans="1:7" ht="12" customHeight="1">
      <c r="A912" s="9">
        <v>44777</v>
      </c>
      <c r="B912" s="10">
        <v>143287255</v>
      </c>
      <c r="C912" s="3">
        <v>5540246171759</v>
      </c>
      <c r="D912" s="9">
        <v>44781</v>
      </c>
      <c r="E912" s="11">
        <v>5012</v>
      </c>
      <c r="F912" s="23" t="str">
        <f>IFERROR(VLOOKUP(C912, 'Catégorie des articles'!$A:$D, 4, FALSE), "")</f>
        <v>MIX LEGUMES</v>
      </c>
      <c r="G912">
        <f t="shared" si="14"/>
        <v>202208</v>
      </c>
    </row>
    <row r="913" spans="1:7" ht="12" customHeight="1">
      <c r="A913" s="6">
        <v>44777</v>
      </c>
      <c r="B913" s="7">
        <v>143287255</v>
      </c>
      <c r="C913" s="3">
        <v>5540246177133</v>
      </c>
      <c r="D913" s="6">
        <v>44781</v>
      </c>
      <c r="E913" s="8">
        <v>4455</v>
      </c>
      <c r="F913" s="23" t="str">
        <f>IFERROR(VLOOKUP(C913, 'Catégorie des articles'!$A:$D, 4, FALSE), "")</f>
        <v>MIX LEGUMES</v>
      </c>
      <c r="G913">
        <f t="shared" si="14"/>
        <v>202208</v>
      </c>
    </row>
    <row r="914" spans="1:7" ht="12" customHeight="1">
      <c r="A914" s="9">
        <v>44777</v>
      </c>
      <c r="B914" s="10">
        <v>143287255</v>
      </c>
      <c r="C914" s="3">
        <v>5540246192148</v>
      </c>
      <c r="D914" s="9">
        <v>44781</v>
      </c>
      <c r="E914" s="11">
        <v>16704</v>
      </c>
      <c r="F914" s="23" t="str">
        <f>IFERROR(VLOOKUP(C914, 'Catégorie des articles'!$A:$D, 4, FALSE), "")</f>
        <v>MIX LEGUMES</v>
      </c>
      <c r="G914">
        <f t="shared" si="14"/>
        <v>202208</v>
      </c>
    </row>
    <row r="915" spans="1:7" ht="12" customHeight="1">
      <c r="A915" s="6">
        <v>44777</v>
      </c>
      <c r="B915" s="7">
        <v>143287262</v>
      </c>
      <c r="C915" s="3">
        <v>5540246176294</v>
      </c>
      <c r="D915" s="6">
        <v>44782</v>
      </c>
      <c r="E915" s="8">
        <v>743</v>
      </c>
      <c r="F915" s="23" t="str">
        <f>IFERROR(VLOOKUP(C915, 'Catégorie des articles'!$A:$D, 4, FALSE), "")</f>
        <v>CREMERIE</v>
      </c>
      <c r="G915">
        <f t="shared" si="14"/>
        <v>202208</v>
      </c>
    </row>
    <row r="916" spans="1:7" ht="12" customHeight="1">
      <c r="A916" s="6">
        <v>44780</v>
      </c>
      <c r="B916" s="7">
        <v>143297271</v>
      </c>
      <c r="C916" s="3">
        <v>5540246176295</v>
      </c>
      <c r="D916" s="6">
        <v>44782</v>
      </c>
      <c r="E916" s="8">
        <v>4455</v>
      </c>
      <c r="F916" s="23" t="str">
        <f>IFERROR(VLOOKUP(C916, 'Catégorie des articles'!$A:$D, 4, FALSE), "")</f>
        <v>CREMERIE</v>
      </c>
      <c r="G916">
        <f t="shared" si="14"/>
        <v>202208</v>
      </c>
    </row>
    <row r="917" spans="1:7" ht="12" customHeight="1">
      <c r="A917" s="6">
        <v>44780</v>
      </c>
      <c r="B917" s="7">
        <v>143297271</v>
      </c>
      <c r="C917" s="3">
        <v>5540246188200</v>
      </c>
      <c r="D917" s="6">
        <v>44782</v>
      </c>
      <c r="E917" s="8">
        <v>743</v>
      </c>
      <c r="F917" s="23" t="str">
        <f>IFERROR(VLOOKUP(C917, 'Catégorie des articles'!$A:$D, 4, FALSE), "")</f>
        <v>CREMERIE</v>
      </c>
      <c r="G917">
        <f t="shared" si="14"/>
        <v>202208</v>
      </c>
    </row>
    <row r="918" spans="1:7" ht="12" customHeight="1">
      <c r="A918" s="6">
        <v>44780</v>
      </c>
      <c r="B918" s="7">
        <v>143297272</v>
      </c>
      <c r="C918" s="3">
        <v>5540246174174</v>
      </c>
      <c r="D918" s="6">
        <v>44782</v>
      </c>
      <c r="E918" s="8">
        <v>232</v>
      </c>
      <c r="F918" s="23" t="str">
        <f>IFERROR(VLOOKUP(C918, 'Catégorie des articles'!$A:$D, 4, FALSE), "")</f>
        <v>CREMERIE</v>
      </c>
      <c r="G918">
        <f t="shared" si="14"/>
        <v>202208</v>
      </c>
    </row>
    <row r="919" spans="1:7" ht="12" customHeight="1">
      <c r="A919" s="6">
        <v>44780</v>
      </c>
      <c r="B919" s="7">
        <v>143297272</v>
      </c>
      <c r="C919" s="3">
        <v>5540246176699</v>
      </c>
      <c r="D919" s="6">
        <v>44782</v>
      </c>
      <c r="E919" s="8">
        <v>2088</v>
      </c>
      <c r="F919" s="23" t="str">
        <f>IFERROR(VLOOKUP(C919, 'Catégorie des articles'!$A:$D, 4, FALSE), "")</f>
        <v>CREMERIE</v>
      </c>
      <c r="G919">
        <f t="shared" si="14"/>
        <v>202208</v>
      </c>
    </row>
    <row r="920" spans="1:7" ht="12" customHeight="1">
      <c r="A920" s="9">
        <v>44780</v>
      </c>
      <c r="B920" s="10">
        <v>143297272</v>
      </c>
      <c r="C920" s="3">
        <v>5540246192102</v>
      </c>
      <c r="D920" s="9">
        <v>44782</v>
      </c>
      <c r="E920" s="11">
        <v>2005</v>
      </c>
      <c r="F920" s="23" t="str">
        <f>IFERROR(VLOOKUP(C920, 'Catégorie des articles'!$A:$D, 4, FALSE), "")</f>
        <v>CREMERIE</v>
      </c>
      <c r="G920">
        <f t="shared" si="14"/>
        <v>202208</v>
      </c>
    </row>
    <row r="921" spans="1:7" ht="12" customHeight="1">
      <c r="A921" s="6">
        <v>44780</v>
      </c>
      <c r="B921" s="7">
        <v>143297273</v>
      </c>
      <c r="C921" s="3">
        <v>5540246174095</v>
      </c>
      <c r="D921" s="6">
        <v>44787</v>
      </c>
      <c r="E921" s="8">
        <v>70</v>
      </c>
      <c r="F921" s="23" t="str">
        <f>IFERROR(VLOOKUP(C921, 'Catégorie des articles'!$A:$D, 4, FALSE), "")</f>
        <v>CREMERIE</v>
      </c>
      <c r="G921">
        <f t="shared" si="14"/>
        <v>202208</v>
      </c>
    </row>
    <row r="922" spans="1:7" ht="12" customHeight="1">
      <c r="A922" s="9">
        <v>44780</v>
      </c>
      <c r="B922" s="10">
        <v>143297273</v>
      </c>
      <c r="C922" s="3">
        <v>5540246175047</v>
      </c>
      <c r="D922" s="9">
        <v>44787</v>
      </c>
      <c r="E922" s="11">
        <v>279</v>
      </c>
      <c r="F922" s="23" t="str">
        <f>IFERROR(VLOOKUP(C922, 'Catégorie des articles'!$A:$D, 4, FALSE), "")</f>
        <v>CREMERIE</v>
      </c>
      <c r="G922">
        <f t="shared" si="14"/>
        <v>202208</v>
      </c>
    </row>
    <row r="923" spans="1:7" ht="12" customHeight="1">
      <c r="A923" s="6">
        <v>44780</v>
      </c>
      <c r="B923" s="7">
        <v>143297273</v>
      </c>
      <c r="C923" s="3">
        <v>5540246175049</v>
      </c>
      <c r="D923" s="6">
        <v>44787</v>
      </c>
      <c r="E923" s="8">
        <v>557</v>
      </c>
      <c r="F923" s="23" t="str">
        <f>IFERROR(VLOOKUP(C923, 'Catégorie des articles'!$A:$D, 4, FALSE), "")</f>
        <v>CREMERIE</v>
      </c>
      <c r="G923">
        <f t="shared" si="14"/>
        <v>202208</v>
      </c>
    </row>
    <row r="924" spans="1:7" ht="12" customHeight="1">
      <c r="A924" s="9">
        <v>44780</v>
      </c>
      <c r="B924" s="10">
        <v>143297273</v>
      </c>
      <c r="C924" s="3">
        <v>5540246175050</v>
      </c>
      <c r="D924" s="9">
        <v>44787</v>
      </c>
      <c r="E924" s="11">
        <v>557</v>
      </c>
      <c r="F924" s="23" t="str">
        <f>IFERROR(VLOOKUP(C924, 'Catégorie des articles'!$A:$D, 4, FALSE), "")</f>
        <v>CREMERIE</v>
      </c>
      <c r="G924">
        <f t="shared" si="14"/>
        <v>202208</v>
      </c>
    </row>
    <row r="925" spans="1:7" ht="12" customHeight="1">
      <c r="A925" s="6">
        <v>44780</v>
      </c>
      <c r="B925" s="7">
        <v>143297273</v>
      </c>
      <c r="C925" s="3">
        <v>5540246190743</v>
      </c>
      <c r="D925" s="6">
        <v>44787</v>
      </c>
      <c r="E925" s="8">
        <v>279</v>
      </c>
      <c r="F925" s="23" t="str">
        <f>IFERROR(VLOOKUP(C925, 'Catégorie des articles'!$A:$D, 4, FALSE), "")</f>
        <v>CREMERIE</v>
      </c>
      <c r="G925">
        <f t="shared" si="14"/>
        <v>202208</v>
      </c>
    </row>
    <row r="926" spans="1:7" ht="12" customHeight="1">
      <c r="A926" s="6">
        <v>44781</v>
      </c>
      <c r="B926" s="7">
        <v>143297289</v>
      </c>
      <c r="C926" s="3">
        <v>5540246176294</v>
      </c>
      <c r="D926" s="6">
        <v>44783</v>
      </c>
      <c r="E926" s="8">
        <v>1485</v>
      </c>
      <c r="F926" s="23" t="str">
        <f>IFERROR(VLOOKUP(C926, 'Catégorie des articles'!$A:$D, 4, FALSE), "")</f>
        <v>CREMERIE</v>
      </c>
      <c r="G926">
        <f t="shared" si="14"/>
        <v>202208</v>
      </c>
    </row>
    <row r="927" spans="1:7" ht="12" customHeight="1">
      <c r="A927" s="9">
        <v>44781</v>
      </c>
      <c r="B927" s="10">
        <v>143297289</v>
      </c>
      <c r="C927" s="3">
        <v>5540246176295</v>
      </c>
      <c r="D927" s="9">
        <v>44783</v>
      </c>
      <c r="E927" s="11">
        <v>7424</v>
      </c>
      <c r="F927" s="23" t="str">
        <f>IFERROR(VLOOKUP(C927, 'Catégorie des articles'!$A:$D, 4, FALSE), "")</f>
        <v>CREMERIE</v>
      </c>
      <c r="G927">
        <f t="shared" si="14"/>
        <v>202208</v>
      </c>
    </row>
    <row r="928" spans="1:7" ht="12" customHeight="1">
      <c r="A928" s="9">
        <v>44781</v>
      </c>
      <c r="B928" s="10">
        <v>143297289</v>
      </c>
      <c r="C928" s="3">
        <v>5540246187987</v>
      </c>
      <c r="D928" s="9">
        <v>44783</v>
      </c>
      <c r="E928" s="11">
        <v>2228</v>
      </c>
      <c r="F928" s="23" t="str">
        <f>IFERROR(VLOOKUP(C928, 'Catégorie des articles'!$A:$D, 4, FALSE), "")</f>
        <v>CREMERIE</v>
      </c>
      <c r="G928">
        <f t="shared" si="14"/>
        <v>202208</v>
      </c>
    </row>
    <row r="929" spans="1:7" ht="12" customHeight="1">
      <c r="A929" s="6">
        <v>44781</v>
      </c>
      <c r="B929" s="7">
        <v>143297289</v>
      </c>
      <c r="C929" s="3">
        <v>5540246188200</v>
      </c>
      <c r="D929" s="6">
        <v>44783</v>
      </c>
      <c r="E929" s="8">
        <v>1485</v>
      </c>
      <c r="F929" s="23" t="str">
        <f>IFERROR(VLOOKUP(C929, 'Catégorie des articles'!$A:$D, 4, FALSE), "")</f>
        <v>CREMERIE</v>
      </c>
      <c r="G929">
        <f t="shared" si="14"/>
        <v>202208</v>
      </c>
    </row>
    <row r="930" spans="1:7" ht="12" customHeight="1">
      <c r="A930" s="6">
        <v>44781</v>
      </c>
      <c r="B930" s="7">
        <v>143297291</v>
      </c>
      <c r="C930" s="3">
        <v>5540246172539</v>
      </c>
      <c r="D930" s="6">
        <v>44783</v>
      </c>
      <c r="E930" s="8">
        <v>35</v>
      </c>
      <c r="F930" s="23" t="str">
        <f>IFERROR(VLOOKUP(C930, 'Catégorie des articles'!$A:$D, 4, FALSE), "")</f>
        <v>CREMERIE</v>
      </c>
      <c r="G930">
        <f t="shared" si="14"/>
        <v>202208</v>
      </c>
    </row>
    <row r="931" spans="1:7" ht="12" customHeight="1">
      <c r="A931" s="9">
        <v>44781</v>
      </c>
      <c r="B931" s="10">
        <v>143297291</v>
      </c>
      <c r="C931" s="3">
        <v>5540246174174</v>
      </c>
      <c r="D931" s="9">
        <v>44783</v>
      </c>
      <c r="E931" s="11">
        <v>464</v>
      </c>
      <c r="F931" s="23" t="str">
        <f>IFERROR(VLOOKUP(C931, 'Catégorie des articles'!$A:$D, 4, FALSE), "")</f>
        <v>CREMERIE</v>
      </c>
      <c r="G931">
        <f t="shared" si="14"/>
        <v>202208</v>
      </c>
    </row>
    <row r="932" spans="1:7" ht="12" customHeight="1">
      <c r="A932" s="9">
        <v>44781</v>
      </c>
      <c r="B932" s="10">
        <v>143297291</v>
      </c>
      <c r="C932" s="3">
        <v>5540246176699</v>
      </c>
      <c r="D932" s="9">
        <v>44783</v>
      </c>
      <c r="E932" s="11">
        <v>3132</v>
      </c>
      <c r="F932" s="23" t="str">
        <f>IFERROR(VLOOKUP(C932, 'Catégorie des articles'!$A:$D, 4, FALSE), "")</f>
        <v>CREMERIE</v>
      </c>
      <c r="G932">
        <f t="shared" si="14"/>
        <v>202208</v>
      </c>
    </row>
    <row r="933" spans="1:7" ht="12" customHeight="1">
      <c r="A933" s="6">
        <v>44781</v>
      </c>
      <c r="B933" s="7">
        <v>143297303</v>
      </c>
      <c r="C933" s="3">
        <v>5540246183130</v>
      </c>
      <c r="D933" s="6">
        <v>44788</v>
      </c>
      <c r="E933" s="8">
        <v>1128</v>
      </c>
      <c r="F933" s="23" t="str">
        <f>IFERROR(VLOOKUP(C933, 'Catégorie des articles'!$A:$D, 4, FALSE), "")</f>
        <v>MIX LEGUMES</v>
      </c>
      <c r="G933">
        <f t="shared" si="14"/>
        <v>202208</v>
      </c>
    </row>
    <row r="934" spans="1:7" ht="12" customHeight="1">
      <c r="A934" s="9">
        <v>44781</v>
      </c>
      <c r="B934" s="10">
        <v>143297303</v>
      </c>
      <c r="C934" s="3">
        <v>5540246183552</v>
      </c>
      <c r="D934" s="9">
        <v>44788</v>
      </c>
      <c r="E934" s="11">
        <v>2172</v>
      </c>
      <c r="F934" s="23" t="str">
        <f>IFERROR(VLOOKUP(C934, 'Catégorie des articles'!$A:$D, 4, FALSE), "")</f>
        <v>MIX LEGUMES</v>
      </c>
      <c r="G934">
        <f t="shared" si="14"/>
        <v>202208</v>
      </c>
    </row>
    <row r="935" spans="1:7" ht="12" customHeight="1">
      <c r="A935" s="6">
        <v>44781</v>
      </c>
      <c r="B935" s="7">
        <v>143297306</v>
      </c>
      <c r="C935" s="3">
        <v>5540246193316</v>
      </c>
      <c r="D935" s="6">
        <v>44787</v>
      </c>
      <c r="E935" s="8">
        <v>335</v>
      </c>
      <c r="F935" s="23" t="str">
        <f>IFERROR(VLOOKUP(C935, 'Catégorie des articles'!$A:$D, 4, FALSE), "")</f>
        <v>BOULANGERIE</v>
      </c>
      <c r="G935">
        <f t="shared" si="14"/>
        <v>202208</v>
      </c>
    </row>
    <row r="936" spans="1:7" ht="12" customHeight="1">
      <c r="A936" s="6">
        <v>44782</v>
      </c>
      <c r="B936" s="7">
        <v>143297322</v>
      </c>
      <c r="C936" s="3">
        <v>5540246172669</v>
      </c>
      <c r="D936" s="6">
        <v>44784</v>
      </c>
      <c r="E936" s="8">
        <v>279</v>
      </c>
      <c r="F936" s="23" t="str">
        <f>IFERROR(VLOOKUP(C936, 'Catégorie des articles'!$A:$D, 4, FALSE), "")</f>
        <v>CREMERIE</v>
      </c>
      <c r="G936">
        <f t="shared" si="14"/>
        <v>202208</v>
      </c>
    </row>
    <row r="937" spans="1:7" ht="12" customHeight="1">
      <c r="A937" s="9">
        <v>44782</v>
      </c>
      <c r="B937" s="10">
        <v>143297322</v>
      </c>
      <c r="C937" s="3">
        <v>5540246172978</v>
      </c>
      <c r="D937" s="9">
        <v>44784</v>
      </c>
      <c r="E937" s="11">
        <v>2506</v>
      </c>
      <c r="F937" s="23" t="str">
        <f>IFERROR(VLOOKUP(C937, 'Catégorie des articles'!$A:$D, 4, FALSE), "")</f>
        <v>CREMERIE</v>
      </c>
      <c r="G937">
        <f t="shared" si="14"/>
        <v>202208</v>
      </c>
    </row>
    <row r="938" spans="1:7" ht="12" customHeight="1">
      <c r="A938" s="9">
        <v>44782</v>
      </c>
      <c r="B938" s="10">
        <v>143297322</v>
      </c>
      <c r="C938" s="3">
        <v>5540246176699</v>
      </c>
      <c r="D938" s="9">
        <v>44784</v>
      </c>
      <c r="E938" s="11">
        <v>3132</v>
      </c>
      <c r="F938" s="23" t="str">
        <f>IFERROR(VLOOKUP(C938, 'Catégorie des articles'!$A:$D, 4, FALSE), "")</f>
        <v>CREMERIE</v>
      </c>
      <c r="G938">
        <f t="shared" si="14"/>
        <v>202208</v>
      </c>
    </row>
    <row r="939" spans="1:7" ht="12" customHeight="1">
      <c r="A939" s="6">
        <v>44782</v>
      </c>
      <c r="B939" s="7">
        <v>143297322</v>
      </c>
      <c r="C939" s="3">
        <v>5540246188175</v>
      </c>
      <c r="D939" s="6">
        <v>44784</v>
      </c>
      <c r="E939" s="8">
        <v>232</v>
      </c>
      <c r="F939" s="23" t="str">
        <f>IFERROR(VLOOKUP(C939, 'Catégorie des articles'!$A:$D, 4, FALSE), "")</f>
        <v>CREMERIE</v>
      </c>
      <c r="G939">
        <f t="shared" si="14"/>
        <v>202208</v>
      </c>
    </row>
    <row r="940" spans="1:7" ht="12" customHeight="1">
      <c r="A940" s="6">
        <v>44782</v>
      </c>
      <c r="B940" s="7">
        <v>143297322</v>
      </c>
      <c r="C940" s="3">
        <v>5540246192102</v>
      </c>
      <c r="D940" s="6">
        <v>44784</v>
      </c>
      <c r="E940" s="8">
        <v>2005</v>
      </c>
      <c r="F940" s="23" t="str">
        <f>IFERROR(VLOOKUP(C940, 'Catégorie des articles'!$A:$D, 4, FALSE), "")</f>
        <v>CREMERIE</v>
      </c>
      <c r="G940">
        <f t="shared" si="14"/>
        <v>202208</v>
      </c>
    </row>
    <row r="941" spans="1:7" ht="12" customHeight="1">
      <c r="A941" s="6">
        <v>44782</v>
      </c>
      <c r="B941" s="7">
        <v>143297326</v>
      </c>
      <c r="C941" s="3">
        <v>5540246171933</v>
      </c>
      <c r="D941" s="6">
        <v>44784</v>
      </c>
      <c r="E941" s="8">
        <v>1114</v>
      </c>
      <c r="F941" s="23" t="str">
        <f>IFERROR(VLOOKUP(C941, 'Catégorie des articles'!$A:$D, 4, FALSE), "")</f>
        <v>CREMERIE</v>
      </c>
      <c r="G941">
        <f t="shared" si="14"/>
        <v>202208</v>
      </c>
    </row>
    <row r="942" spans="1:7" ht="12" customHeight="1">
      <c r="A942" s="9">
        <v>44782</v>
      </c>
      <c r="B942" s="10">
        <v>143297326</v>
      </c>
      <c r="C942" s="3">
        <v>5540246176295</v>
      </c>
      <c r="D942" s="9">
        <v>44784</v>
      </c>
      <c r="E942" s="11">
        <v>11136</v>
      </c>
      <c r="F942" s="23" t="str">
        <f>IFERROR(VLOOKUP(C942, 'Catégorie des articles'!$A:$D, 4, FALSE), "")</f>
        <v>CREMERIE</v>
      </c>
      <c r="G942">
        <f t="shared" si="14"/>
        <v>202208</v>
      </c>
    </row>
    <row r="943" spans="1:7" ht="12" customHeight="1">
      <c r="A943" s="9">
        <v>44782</v>
      </c>
      <c r="B943" s="10">
        <v>143297326</v>
      </c>
      <c r="C943" s="3">
        <v>5540246187987</v>
      </c>
      <c r="D943" s="9">
        <v>44784</v>
      </c>
      <c r="E943" s="11">
        <v>3341</v>
      </c>
      <c r="F943" s="23" t="str">
        <f>IFERROR(VLOOKUP(C943, 'Catégorie des articles'!$A:$D, 4, FALSE), "")</f>
        <v>CREMERIE</v>
      </c>
      <c r="G943">
        <f t="shared" si="14"/>
        <v>202208</v>
      </c>
    </row>
    <row r="944" spans="1:7" ht="12" customHeight="1">
      <c r="A944" s="6">
        <v>44782</v>
      </c>
      <c r="B944" s="7">
        <v>143297326</v>
      </c>
      <c r="C944" s="3">
        <v>5540246188200</v>
      </c>
      <c r="D944" s="6">
        <v>44784</v>
      </c>
      <c r="E944" s="8">
        <v>1485</v>
      </c>
      <c r="F944" s="23" t="str">
        <f>IFERROR(VLOOKUP(C944, 'Catégorie des articles'!$A:$D, 4, FALSE), "")</f>
        <v>CREMERIE</v>
      </c>
      <c r="G944">
        <f t="shared" si="14"/>
        <v>202208</v>
      </c>
    </row>
    <row r="945" spans="1:7" ht="12" customHeight="1">
      <c r="A945" s="9">
        <v>44783</v>
      </c>
      <c r="B945" s="10">
        <v>143297348</v>
      </c>
      <c r="C945" s="3">
        <v>5540246176294</v>
      </c>
      <c r="D945" s="9">
        <v>44787</v>
      </c>
      <c r="E945" s="11">
        <v>1485</v>
      </c>
      <c r="F945" s="23" t="str">
        <f>IFERROR(VLOOKUP(C945, 'Catégorie des articles'!$A:$D, 4, FALSE), "")</f>
        <v>CREMERIE</v>
      </c>
      <c r="G945">
        <f t="shared" si="14"/>
        <v>202208</v>
      </c>
    </row>
    <row r="946" spans="1:7" ht="12" customHeight="1">
      <c r="A946" s="6">
        <v>44783</v>
      </c>
      <c r="B946" s="7">
        <v>143297348</v>
      </c>
      <c r="C946" s="3">
        <v>5540246176295</v>
      </c>
      <c r="D946" s="6">
        <v>44787</v>
      </c>
      <c r="E946" s="8">
        <v>7424</v>
      </c>
      <c r="F946" s="23" t="str">
        <f>IFERROR(VLOOKUP(C946, 'Catégorie des articles'!$A:$D, 4, FALSE), "")</f>
        <v>CREMERIE</v>
      </c>
      <c r="G946">
        <f t="shared" si="14"/>
        <v>202208</v>
      </c>
    </row>
    <row r="947" spans="1:7" ht="12" customHeight="1">
      <c r="A947" s="9">
        <v>44783</v>
      </c>
      <c r="B947" s="10">
        <v>143297348</v>
      </c>
      <c r="C947" s="3">
        <v>5540246187987</v>
      </c>
      <c r="D947" s="9">
        <v>44787</v>
      </c>
      <c r="E947" s="11">
        <v>4455</v>
      </c>
      <c r="F947" s="23" t="str">
        <f>IFERROR(VLOOKUP(C947, 'Catégorie des articles'!$A:$D, 4, FALSE), "")</f>
        <v>CREMERIE</v>
      </c>
      <c r="G947">
        <f t="shared" si="14"/>
        <v>202208</v>
      </c>
    </row>
    <row r="948" spans="1:7" ht="12" customHeight="1">
      <c r="A948" s="6">
        <v>44783</v>
      </c>
      <c r="B948" s="7">
        <v>143297348</v>
      </c>
      <c r="C948" s="3">
        <v>5540246188200</v>
      </c>
      <c r="D948" s="6">
        <v>44787</v>
      </c>
      <c r="E948" s="8">
        <v>743</v>
      </c>
      <c r="F948" s="23" t="str">
        <f>IFERROR(VLOOKUP(C948, 'Catégorie des articles'!$A:$D, 4, FALSE), "")</f>
        <v>CREMERIE</v>
      </c>
      <c r="G948">
        <f t="shared" si="14"/>
        <v>202208</v>
      </c>
    </row>
    <row r="949" spans="1:7" ht="12" customHeight="1">
      <c r="A949" s="9">
        <v>44783</v>
      </c>
      <c r="B949" s="10">
        <v>143297349</v>
      </c>
      <c r="C949" s="3">
        <v>5540246172978</v>
      </c>
      <c r="D949" s="9">
        <v>44787</v>
      </c>
      <c r="E949" s="11">
        <v>836</v>
      </c>
      <c r="F949" s="23" t="str">
        <f>IFERROR(VLOOKUP(C949, 'Catégorie des articles'!$A:$D, 4, FALSE), "")</f>
        <v>CREMERIE</v>
      </c>
      <c r="G949">
        <f t="shared" si="14"/>
        <v>202208</v>
      </c>
    </row>
    <row r="950" spans="1:7" ht="12" customHeight="1">
      <c r="A950" s="9">
        <v>44783</v>
      </c>
      <c r="B950" s="10">
        <v>143297349</v>
      </c>
      <c r="C950" s="3">
        <v>5540246174174</v>
      </c>
      <c r="D950" s="9">
        <v>44787</v>
      </c>
      <c r="E950" s="11">
        <v>696</v>
      </c>
      <c r="F950" s="23" t="str">
        <f>IFERROR(VLOOKUP(C950, 'Catégorie des articles'!$A:$D, 4, FALSE), "")</f>
        <v>CREMERIE</v>
      </c>
      <c r="G950">
        <f t="shared" si="14"/>
        <v>202208</v>
      </c>
    </row>
    <row r="951" spans="1:7" ht="12" customHeight="1">
      <c r="A951" s="9">
        <v>44783</v>
      </c>
      <c r="B951" s="10">
        <v>143297349</v>
      </c>
      <c r="C951" s="3">
        <v>5540246176699</v>
      </c>
      <c r="D951" s="9">
        <v>44787</v>
      </c>
      <c r="E951" s="11">
        <v>3132</v>
      </c>
      <c r="F951" s="23" t="str">
        <f>IFERROR(VLOOKUP(C951, 'Catégorie des articles'!$A:$D, 4, FALSE), "")</f>
        <v>CREMERIE</v>
      </c>
      <c r="G951">
        <f t="shared" si="14"/>
        <v>202208</v>
      </c>
    </row>
    <row r="952" spans="1:7" ht="12" customHeight="1">
      <c r="A952" s="9">
        <v>44783</v>
      </c>
      <c r="B952" s="10">
        <v>143297349</v>
      </c>
      <c r="C952" s="3">
        <v>5540246188175</v>
      </c>
      <c r="D952" s="9">
        <v>44787</v>
      </c>
      <c r="E952" s="11">
        <v>232</v>
      </c>
      <c r="F952" s="23" t="str">
        <f>IFERROR(VLOOKUP(C952, 'Catégorie des articles'!$A:$D, 4, FALSE), "")</f>
        <v>CREMERIE</v>
      </c>
      <c r="G952">
        <f t="shared" si="14"/>
        <v>202208</v>
      </c>
    </row>
    <row r="953" spans="1:7" ht="12" customHeight="1">
      <c r="A953" s="9">
        <v>44783</v>
      </c>
      <c r="B953" s="10">
        <v>143297351</v>
      </c>
      <c r="C953" s="3">
        <v>5540246173472</v>
      </c>
      <c r="D953" s="9">
        <v>44790</v>
      </c>
      <c r="E953" s="11">
        <v>418</v>
      </c>
      <c r="F953" s="23" t="str">
        <f>IFERROR(VLOOKUP(C953, 'Catégorie des articles'!$A:$D, 4, FALSE), "")</f>
        <v>CREMERIE</v>
      </c>
      <c r="G953">
        <f t="shared" si="14"/>
        <v>202208</v>
      </c>
    </row>
    <row r="954" spans="1:7" ht="12" customHeight="1">
      <c r="A954" s="6">
        <v>44783</v>
      </c>
      <c r="B954" s="7">
        <v>143297351</v>
      </c>
      <c r="C954" s="3">
        <v>5540246175049</v>
      </c>
      <c r="D954" s="6">
        <v>44790</v>
      </c>
      <c r="E954" s="8">
        <v>279</v>
      </c>
      <c r="F954" s="23" t="str">
        <f>IFERROR(VLOOKUP(C954, 'Catégorie des articles'!$A:$D, 4, FALSE), "")</f>
        <v>CREMERIE</v>
      </c>
      <c r="G954">
        <f t="shared" si="14"/>
        <v>202208</v>
      </c>
    </row>
    <row r="955" spans="1:7" ht="12" customHeight="1">
      <c r="A955" s="9">
        <v>44783</v>
      </c>
      <c r="B955" s="10">
        <v>143297351</v>
      </c>
      <c r="C955" s="3">
        <v>5540246175050</v>
      </c>
      <c r="D955" s="9">
        <v>44790</v>
      </c>
      <c r="E955" s="11">
        <v>279</v>
      </c>
      <c r="F955" s="23" t="str">
        <f>IFERROR(VLOOKUP(C955, 'Catégorie des articles'!$A:$D, 4, FALSE), "")</f>
        <v>CREMERIE</v>
      </c>
      <c r="G955">
        <f t="shared" si="14"/>
        <v>202208</v>
      </c>
    </row>
    <row r="956" spans="1:7" ht="12" customHeight="1">
      <c r="A956" s="6">
        <v>44783</v>
      </c>
      <c r="B956" s="7">
        <v>143297351</v>
      </c>
      <c r="C956" s="3">
        <v>5540246190743</v>
      </c>
      <c r="D956" s="6">
        <v>44790</v>
      </c>
      <c r="E956" s="8">
        <v>418</v>
      </c>
      <c r="F956" s="23" t="str">
        <f>IFERROR(VLOOKUP(C956, 'Catégorie des articles'!$A:$D, 4, FALSE), "")</f>
        <v>CREMERIE</v>
      </c>
      <c r="G956">
        <f t="shared" si="14"/>
        <v>202208</v>
      </c>
    </row>
    <row r="957" spans="1:7" ht="12" customHeight="1">
      <c r="A957" s="9">
        <v>44783</v>
      </c>
      <c r="B957" s="10">
        <v>143297353</v>
      </c>
      <c r="C957" s="3">
        <v>5540246185429</v>
      </c>
      <c r="D957" s="9">
        <v>44789</v>
      </c>
      <c r="E957" s="11">
        <v>140</v>
      </c>
      <c r="F957" s="23" t="str">
        <f>IFERROR(VLOOKUP(C957, 'Catégorie des articles'!$A:$D, 4, FALSE), "")</f>
        <v>CREMERIE</v>
      </c>
      <c r="G957">
        <f t="shared" si="14"/>
        <v>202208</v>
      </c>
    </row>
    <row r="958" spans="1:7" ht="12" customHeight="1">
      <c r="A958" s="6">
        <v>44783</v>
      </c>
      <c r="B958" s="7">
        <v>143297353</v>
      </c>
      <c r="C958" s="3">
        <v>5540246185562</v>
      </c>
      <c r="D958" s="6">
        <v>44789</v>
      </c>
      <c r="E958" s="8">
        <v>140</v>
      </c>
      <c r="F958" s="23" t="str">
        <f>IFERROR(VLOOKUP(C958, 'Catégorie des articles'!$A:$D, 4, FALSE), "")</f>
        <v>CREMERIE</v>
      </c>
      <c r="G958">
        <f t="shared" si="14"/>
        <v>202208</v>
      </c>
    </row>
    <row r="959" spans="1:7" ht="12" customHeight="1">
      <c r="A959" s="6">
        <v>44783</v>
      </c>
      <c r="B959" s="7">
        <v>143297362</v>
      </c>
      <c r="C959" s="3">
        <v>5540246194330</v>
      </c>
      <c r="D959" s="6">
        <v>44791</v>
      </c>
      <c r="E959" s="8">
        <v>4585</v>
      </c>
      <c r="F959" s="23" t="str">
        <f>IFERROR(VLOOKUP(C959, 'Catégorie des articles'!$A:$D, 4, FALSE), "")</f>
        <v>MIX LEGUMES</v>
      </c>
      <c r="G959">
        <f t="shared" si="14"/>
        <v>202208</v>
      </c>
    </row>
    <row r="960" spans="1:7" ht="12" customHeight="1">
      <c r="A960" s="6">
        <v>44784</v>
      </c>
      <c r="B960" s="7">
        <v>143297375</v>
      </c>
      <c r="C960" s="3">
        <v>5540246172539</v>
      </c>
      <c r="D960" s="6">
        <v>44788</v>
      </c>
      <c r="E960" s="8">
        <v>24</v>
      </c>
      <c r="F960" s="23" t="str">
        <f>IFERROR(VLOOKUP(C960, 'Catégorie des articles'!$A:$D, 4, FALSE), "")</f>
        <v>CREMERIE</v>
      </c>
      <c r="G960">
        <f t="shared" si="14"/>
        <v>202208</v>
      </c>
    </row>
    <row r="961" spans="1:7" ht="12" customHeight="1">
      <c r="A961" s="9">
        <v>44784</v>
      </c>
      <c r="B961" s="10">
        <v>143297375</v>
      </c>
      <c r="C961" s="3">
        <v>5540246172978</v>
      </c>
      <c r="D961" s="9">
        <v>44788</v>
      </c>
      <c r="E961" s="11">
        <v>836</v>
      </c>
      <c r="F961" s="23" t="str">
        <f>IFERROR(VLOOKUP(C961, 'Catégorie des articles'!$A:$D, 4, FALSE), "")</f>
        <v>CREMERIE</v>
      </c>
      <c r="G961">
        <f t="shared" si="14"/>
        <v>202208</v>
      </c>
    </row>
    <row r="962" spans="1:7" ht="12" customHeight="1">
      <c r="A962" s="6">
        <v>44784</v>
      </c>
      <c r="B962" s="7">
        <v>143297375</v>
      </c>
      <c r="C962" s="3">
        <v>5540246174174</v>
      </c>
      <c r="D962" s="6">
        <v>44788</v>
      </c>
      <c r="E962" s="8">
        <v>232</v>
      </c>
      <c r="F962" s="23" t="str">
        <f>IFERROR(VLOOKUP(C962, 'Catégorie des articles'!$A:$D, 4, FALSE), "")</f>
        <v>CREMERIE</v>
      </c>
      <c r="G962">
        <f t="shared" si="14"/>
        <v>202208</v>
      </c>
    </row>
    <row r="963" spans="1:7" ht="12" customHeight="1">
      <c r="A963" s="6">
        <v>44784</v>
      </c>
      <c r="B963" s="7">
        <v>143297375</v>
      </c>
      <c r="C963" s="3">
        <v>5540246176699</v>
      </c>
      <c r="D963" s="6">
        <v>44788</v>
      </c>
      <c r="E963" s="8">
        <v>2088</v>
      </c>
      <c r="F963" s="23" t="str">
        <f>IFERROR(VLOOKUP(C963, 'Catégorie des articles'!$A:$D, 4, FALSE), "")</f>
        <v>CREMERIE</v>
      </c>
      <c r="G963">
        <f t="shared" ref="G963:G1026" si="15">YEAR(D963)*100 + MONTH(D963)</f>
        <v>202208</v>
      </c>
    </row>
    <row r="964" spans="1:7" ht="12" customHeight="1">
      <c r="A964" s="9">
        <v>44784</v>
      </c>
      <c r="B964" s="10">
        <v>143297376</v>
      </c>
      <c r="C964" s="3">
        <v>5540246171933</v>
      </c>
      <c r="D964" s="9">
        <v>44788</v>
      </c>
      <c r="E964" s="11">
        <v>1114</v>
      </c>
      <c r="F964" s="23" t="str">
        <f>IFERROR(VLOOKUP(C964, 'Catégorie des articles'!$A:$D, 4, FALSE), "")</f>
        <v>CREMERIE</v>
      </c>
      <c r="G964">
        <f t="shared" si="15"/>
        <v>202208</v>
      </c>
    </row>
    <row r="965" spans="1:7" ht="12" customHeight="1">
      <c r="A965" s="6">
        <v>44784</v>
      </c>
      <c r="B965" s="7">
        <v>143297376</v>
      </c>
      <c r="C965" s="3">
        <v>5540246176295</v>
      </c>
      <c r="D965" s="6">
        <v>44788</v>
      </c>
      <c r="E965" s="8">
        <v>4455</v>
      </c>
      <c r="F965" s="23" t="str">
        <f>IFERROR(VLOOKUP(C965, 'Catégorie des articles'!$A:$D, 4, FALSE), "")</f>
        <v>CREMERIE</v>
      </c>
      <c r="G965">
        <f t="shared" si="15"/>
        <v>202208</v>
      </c>
    </row>
    <row r="966" spans="1:7" ht="12" customHeight="1">
      <c r="A966" s="9">
        <v>44784</v>
      </c>
      <c r="B966" s="10">
        <v>143297376</v>
      </c>
      <c r="C966" s="3">
        <v>5540246188200</v>
      </c>
      <c r="D966" s="9">
        <v>44788</v>
      </c>
      <c r="E966" s="11">
        <v>743</v>
      </c>
      <c r="F966" s="23" t="str">
        <f>IFERROR(VLOOKUP(C966, 'Catégorie des articles'!$A:$D, 4, FALSE), "")</f>
        <v>CREMERIE</v>
      </c>
      <c r="G966">
        <f t="shared" si="15"/>
        <v>202208</v>
      </c>
    </row>
    <row r="967" spans="1:7" ht="12" customHeight="1">
      <c r="A967" s="9">
        <v>44784</v>
      </c>
      <c r="B967" s="10">
        <v>143297384</v>
      </c>
      <c r="C967" s="3">
        <v>5540246183547</v>
      </c>
      <c r="D967" s="9">
        <v>44797</v>
      </c>
      <c r="E967" s="11">
        <v>5568</v>
      </c>
      <c r="F967" s="23" t="str">
        <f>IFERROR(VLOOKUP(C967, 'Catégorie des articles'!$A:$D, 4, FALSE), "")</f>
        <v>VOLAILLE</v>
      </c>
      <c r="G967">
        <f t="shared" si="15"/>
        <v>202208</v>
      </c>
    </row>
    <row r="968" spans="1:7" ht="12" customHeight="1">
      <c r="A968" s="6">
        <v>44784</v>
      </c>
      <c r="B968" s="7">
        <v>143297384</v>
      </c>
      <c r="C968" s="3">
        <v>5540246185278</v>
      </c>
      <c r="D968" s="6">
        <v>44797</v>
      </c>
      <c r="E968" s="8">
        <v>2239</v>
      </c>
      <c r="F968" s="23" t="str">
        <f>IFERROR(VLOOKUP(C968, 'Catégorie des articles'!$A:$D, 4, FALSE), "")</f>
        <v>VOLAILLE</v>
      </c>
      <c r="G968">
        <f t="shared" si="15"/>
        <v>202208</v>
      </c>
    </row>
    <row r="969" spans="1:7" ht="12" customHeight="1">
      <c r="A969" s="6">
        <v>44784</v>
      </c>
      <c r="B969" s="7">
        <v>143297385</v>
      </c>
      <c r="C969" s="3">
        <v>5540246171759</v>
      </c>
      <c r="D969" s="6">
        <v>44790</v>
      </c>
      <c r="E969" s="8">
        <v>1253</v>
      </c>
      <c r="F969" s="23" t="str">
        <f>IFERROR(VLOOKUP(C969, 'Catégorie des articles'!$A:$D, 4, FALSE), "")</f>
        <v>MIX LEGUMES</v>
      </c>
      <c r="G969">
        <f t="shared" si="15"/>
        <v>202208</v>
      </c>
    </row>
    <row r="970" spans="1:7" ht="12" customHeight="1">
      <c r="A970" s="9">
        <v>44784</v>
      </c>
      <c r="B970" s="10">
        <v>143297385</v>
      </c>
      <c r="C970" s="3">
        <v>5540246177133</v>
      </c>
      <c r="D970" s="9">
        <v>44790</v>
      </c>
      <c r="E970" s="11">
        <v>3341</v>
      </c>
      <c r="F970" s="23" t="str">
        <f>IFERROR(VLOOKUP(C970, 'Catégorie des articles'!$A:$D, 4, FALSE), "")</f>
        <v>MIX LEGUMES</v>
      </c>
      <c r="G970">
        <f t="shared" si="15"/>
        <v>202208</v>
      </c>
    </row>
    <row r="971" spans="1:7" ht="12" customHeight="1">
      <c r="A971" s="6">
        <v>44784</v>
      </c>
      <c r="B971" s="7">
        <v>143297385</v>
      </c>
      <c r="C971" s="3">
        <v>5540246192148</v>
      </c>
      <c r="D971" s="6">
        <v>44790</v>
      </c>
      <c r="E971" s="8">
        <v>27840</v>
      </c>
      <c r="F971" s="23" t="str">
        <f>IFERROR(VLOOKUP(C971, 'Catégorie des articles'!$A:$D, 4, FALSE), "")</f>
        <v>MIX LEGUMES</v>
      </c>
      <c r="G971">
        <f t="shared" si="15"/>
        <v>202208</v>
      </c>
    </row>
    <row r="972" spans="1:7" ht="12" customHeight="1">
      <c r="A972" s="6">
        <v>44784</v>
      </c>
      <c r="B972" s="7">
        <v>143297387</v>
      </c>
      <c r="C972" s="3">
        <v>5540246194790</v>
      </c>
      <c r="D972" s="6">
        <v>44812</v>
      </c>
      <c r="E972" s="8">
        <v>2631</v>
      </c>
      <c r="F972" s="23" t="str">
        <f>IFERROR(VLOOKUP(C972, 'Catégorie des articles'!$A:$D, 4, FALSE), "")</f>
        <v>MIX LEGUMES</v>
      </c>
      <c r="G972">
        <f t="shared" si="15"/>
        <v>202209</v>
      </c>
    </row>
    <row r="973" spans="1:7" ht="12" customHeight="1">
      <c r="A973" s="6">
        <v>44784</v>
      </c>
      <c r="B973" s="7">
        <v>143297394</v>
      </c>
      <c r="C973" s="3">
        <v>5540246194632</v>
      </c>
      <c r="D973" s="6">
        <v>44794</v>
      </c>
      <c r="E973" s="8">
        <v>836</v>
      </c>
      <c r="F973" s="23" t="str">
        <f>IFERROR(VLOOKUP(C973, 'Catégorie des articles'!$A:$D, 4, FALSE), "")</f>
        <v>BOULANGERIE</v>
      </c>
      <c r="G973">
        <f t="shared" si="15"/>
        <v>202208</v>
      </c>
    </row>
    <row r="974" spans="1:7" ht="12" customHeight="1">
      <c r="A974" s="9">
        <v>44784</v>
      </c>
      <c r="B974" s="10">
        <v>143297395</v>
      </c>
      <c r="C974" s="3">
        <v>5540246177376</v>
      </c>
      <c r="D974" s="9">
        <v>44803</v>
      </c>
      <c r="E974" s="11">
        <v>1420</v>
      </c>
      <c r="F974" s="23" t="str">
        <f>IFERROR(VLOOKUP(C974, 'Catégorie des articles'!$A:$D, 4, FALSE), "")</f>
        <v>BOULANGERIE</v>
      </c>
      <c r="G974">
        <f t="shared" si="15"/>
        <v>202208</v>
      </c>
    </row>
    <row r="975" spans="1:7" ht="12" customHeight="1">
      <c r="A975" s="9">
        <v>44784</v>
      </c>
      <c r="B975" s="10">
        <v>143297398</v>
      </c>
      <c r="C975" s="3">
        <v>5540246194467</v>
      </c>
      <c r="D975" s="9">
        <v>44801</v>
      </c>
      <c r="E975" s="11">
        <v>17818</v>
      </c>
      <c r="F975" s="23" t="str">
        <f>IFERROR(VLOOKUP(C975, 'Catégorie des articles'!$A:$D, 4, FALSE), "")</f>
        <v>BOULANGERIE</v>
      </c>
      <c r="G975">
        <f t="shared" si="15"/>
        <v>202208</v>
      </c>
    </row>
    <row r="976" spans="1:7" ht="12" customHeight="1">
      <c r="A976" s="6">
        <v>44784</v>
      </c>
      <c r="B976" s="7">
        <v>143297399</v>
      </c>
      <c r="C976" s="3">
        <v>5540246191596</v>
      </c>
      <c r="D976" s="6">
        <v>44803</v>
      </c>
      <c r="E976" s="8">
        <v>149</v>
      </c>
      <c r="F976" s="23" t="str">
        <f>IFERROR(VLOOKUP(C976, 'Catégorie des articles'!$A:$D, 4, FALSE), "")</f>
        <v>BOULANGERIE</v>
      </c>
      <c r="G976">
        <f t="shared" si="15"/>
        <v>202208</v>
      </c>
    </row>
    <row r="977" spans="1:7" ht="12" customHeight="1">
      <c r="A977" s="6">
        <v>44787</v>
      </c>
      <c r="B977" s="7">
        <v>143307413</v>
      </c>
      <c r="C977" s="3">
        <v>5540246174174</v>
      </c>
      <c r="D977" s="6">
        <v>44789</v>
      </c>
      <c r="E977" s="8">
        <v>232</v>
      </c>
      <c r="F977" s="23" t="str">
        <f>IFERROR(VLOOKUP(C977, 'Catégorie des articles'!$A:$D, 4, FALSE), "")</f>
        <v>CREMERIE</v>
      </c>
      <c r="G977">
        <f t="shared" si="15"/>
        <v>202208</v>
      </c>
    </row>
    <row r="978" spans="1:7" ht="12" customHeight="1">
      <c r="A978" s="9">
        <v>44787</v>
      </c>
      <c r="B978" s="10">
        <v>143307413</v>
      </c>
      <c r="C978" s="3">
        <v>5540246176699</v>
      </c>
      <c r="D978" s="9">
        <v>44789</v>
      </c>
      <c r="E978" s="11">
        <v>3132</v>
      </c>
      <c r="F978" s="23" t="str">
        <f>IFERROR(VLOOKUP(C978, 'Catégorie des articles'!$A:$D, 4, FALSE), "")</f>
        <v>CREMERIE</v>
      </c>
      <c r="G978">
        <f t="shared" si="15"/>
        <v>202208</v>
      </c>
    </row>
    <row r="979" spans="1:7" ht="12" customHeight="1">
      <c r="A979" s="6">
        <v>44787</v>
      </c>
      <c r="B979" s="7">
        <v>143307414</v>
      </c>
      <c r="C979" s="3">
        <v>5540246171933</v>
      </c>
      <c r="D979" s="6">
        <v>44789</v>
      </c>
      <c r="E979" s="8">
        <v>557</v>
      </c>
      <c r="F979" s="23" t="str">
        <f>IFERROR(VLOOKUP(C979, 'Catégorie des articles'!$A:$D, 4, FALSE), "")</f>
        <v>CREMERIE</v>
      </c>
      <c r="G979">
        <f t="shared" si="15"/>
        <v>202208</v>
      </c>
    </row>
    <row r="980" spans="1:7" ht="12" customHeight="1">
      <c r="A980" s="9">
        <v>44787</v>
      </c>
      <c r="B980" s="10">
        <v>143307424</v>
      </c>
      <c r="C980" s="3">
        <v>5540246187995</v>
      </c>
      <c r="D980" s="9">
        <v>44843</v>
      </c>
      <c r="E980" s="11">
        <v>1170</v>
      </c>
      <c r="F980" s="23" t="str">
        <f>IFERROR(VLOOKUP(C980, 'Catégorie des articles'!$A:$D, 4, FALSE), "")</f>
        <v>EMBALLAGES</v>
      </c>
      <c r="G980">
        <f t="shared" si="15"/>
        <v>202210</v>
      </c>
    </row>
    <row r="981" spans="1:7" ht="12" customHeight="1">
      <c r="A981" s="6">
        <v>44787</v>
      </c>
      <c r="B981" s="7">
        <v>143307424</v>
      </c>
      <c r="C981" s="3">
        <v>5540246187997</v>
      </c>
      <c r="D981" s="6">
        <v>44843</v>
      </c>
      <c r="E981" s="8">
        <v>376</v>
      </c>
      <c r="F981" s="23" t="str">
        <f>IFERROR(VLOOKUP(C981, 'Catégorie des articles'!$A:$D, 4, FALSE), "")</f>
        <v>EMBALLAGES</v>
      </c>
      <c r="G981">
        <f t="shared" si="15"/>
        <v>202210</v>
      </c>
    </row>
    <row r="982" spans="1:7" ht="12" customHeight="1">
      <c r="A982" s="9">
        <v>44787</v>
      </c>
      <c r="B982" s="10">
        <v>143307424</v>
      </c>
      <c r="C982" s="3">
        <v>5540246187998</v>
      </c>
      <c r="D982" s="9">
        <v>44843</v>
      </c>
      <c r="E982" s="11">
        <v>627</v>
      </c>
      <c r="F982" s="23" t="str">
        <f>IFERROR(VLOOKUP(C982, 'Catégorie des articles'!$A:$D, 4, FALSE), "")</f>
        <v>EMBALLAGES</v>
      </c>
      <c r="G982">
        <f t="shared" si="15"/>
        <v>202210</v>
      </c>
    </row>
    <row r="983" spans="1:7" ht="12" customHeight="1">
      <c r="A983" s="6">
        <v>44788</v>
      </c>
      <c r="B983" s="7">
        <v>143307434</v>
      </c>
      <c r="C983" s="3">
        <v>5540246176295</v>
      </c>
      <c r="D983" s="6">
        <v>44790</v>
      </c>
      <c r="E983" s="8">
        <v>4455</v>
      </c>
      <c r="F983" s="23" t="str">
        <f>IFERROR(VLOOKUP(C983, 'Catégorie des articles'!$A:$D, 4, FALSE), "")</f>
        <v>CREMERIE</v>
      </c>
      <c r="G983">
        <f t="shared" si="15"/>
        <v>202208</v>
      </c>
    </row>
    <row r="984" spans="1:7" ht="12" customHeight="1">
      <c r="A984" s="9">
        <v>44788</v>
      </c>
      <c r="B984" s="10">
        <v>143307435</v>
      </c>
      <c r="C984" s="3">
        <v>5540246172978</v>
      </c>
      <c r="D984" s="9">
        <v>44790</v>
      </c>
      <c r="E984" s="11">
        <v>836</v>
      </c>
      <c r="F984" s="23" t="str">
        <f>IFERROR(VLOOKUP(C984, 'Catégorie des articles'!$A:$D, 4, FALSE), "")</f>
        <v>CREMERIE</v>
      </c>
      <c r="G984">
        <f t="shared" si="15"/>
        <v>202208</v>
      </c>
    </row>
    <row r="985" spans="1:7" ht="12" customHeight="1">
      <c r="A985" s="9">
        <v>44788</v>
      </c>
      <c r="B985" s="10">
        <v>143307435</v>
      </c>
      <c r="C985" s="3">
        <v>5540246176699</v>
      </c>
      <c r="D985" s="9">
        <v>44790</v>
      </c>
      <c r="E985" s="11">
        <v>2088</v>
      </c>
      <c r="F985" s="23" t="str">
        <f>IFERROR(VLOOKUP(C985, 'Catégorie des articles'!$A:$D, 4, FALSE), "")</f>
        <v>CREMERIE</v>
      </c>
      <c r="G985">
        <f t="shared" si="15"/>
        <v>202208</v>
      </c>
    </row>
    <row r="986" spans="1:7" ht="12" customHeight="1">
      <c r="A986" s="6">
        <v>44788</v>
      </c>
      <c r="B986" s="7">
        <v>143307435</v>
      </c>
      <c r="C986" s="3">
        <v>5540246192102</v>
      </c>
      <c r="D986" s="6">
        <v>44790</v>
      </c>
      <c r="E986" s="8">
        <v>2005</v>
      </c>
      <c r="F986" s="23" t="str">
        <f>IFERROR(VLOOKUP(C986, 'Catégorie des articles'!$A:$D, 4, FALSE), "")</f>
        <v>CREMERIE</v>
      </c>
      <c r="G986">
        <f t="shared" si="15"/>
        <v>202208</v>
      </c>
    </row>
    <row r="987" spans="1:7" ht="12" customHeight="1">
      <c r="A987" s="9">
        <v>44788</v>
      </c>
      <c r="B987" s="10">
        <v>143307439</v>
      </c>
      <c r="C987" s="3">
        <v>5540246188224</v>
      </c>
      <c r="D987" s="9">
        <v>44796</v>
      </c>
      <c r="E987" s="11">
        <v>1207</v>
      </c>
      <c r="F987" s="23" t="str">
        <f>IFERROR(VLOOKUP(C987, 'Catégorie des articles'!$A:$D, 4, FALSE), "")</f>
        <v>VOLAILLE</v>
      </c>
      <c r="G987">
        <f t="shared" si="15"/>
        <v>202208</v>
      </c>
    </row>
    <row r="988" spans="1:7" ht="12" customHeight="1">
      <c r="A988" s="6">
        <v>44788</v>
      </c>
      <c r="B988" s="7">
        <v>143307440</v>
      </c>
      <c r="C988" s="3">
        <v>5540246193878</v>
      </c>
      <c r="D988" s="6">
        <v>44804</v>
      </c>
      <c r="E988" s="8">
        <v>6682</v>
      </c>
      <c r="F988" s="23" t="str">
        <f>IFERROR(VLOOKUP(C988, 'Catégorie des articles'!$A:$D, 4, FALSE), "")</f>
        <v>VOLAILLE</v>
      </c>
      <c r="G988">
        <f t="shared" si="15"/>
        <v>202208</v>
      </c>
    </row>
    <row r="989" spans="1:7" ht="12" customHeight="1">
      <c r="A989" s="6">
        <v>44788</v>
      </c>
      <c r="B989" s="7">
        <v>143307441</v>
      </c>
      <c r="C989" s="3">
        <v>5540246171759</v>
      </c>
      <c r="D989" s="6">
        <v>44796</v>
      </c>
      <c r="E989" s="8">
        <v>2506</v>
      </c>
      <c r="F989" s="23" t="str">
        <f>IFERROR(VLOOKUP(C989, 'Catégorie des articles'!$A:$D, 4, FALSE), "")</f>
        <v>MIX LEGUMES</v>
      </c>
      <c r="G989">
        <f t="shared" si="15"/>
        <v>202208</v>
      </c>
    </row>
    <row r="990" spans="1:7" ht="12" customHeight="1">
      <c r="A990" s="9">
        <v>44788</v>
      </c>
      <c r="B990" s="10">
        <v>143307441</v>
      </c>
      <c r="C990" s="3">
        <v>5540246177133</v>
      </c>
      <c r="D990" s="9">
        <v>44796</v>
      </c>
      <c r="E990" s="11">
        <v>4455</v>
      </c>
      <c r="F990" s="23" t="str">
        <f>IFERROR(VLOOKUP(C990, 'Catégorie des articles'!$A:$D, 4, FALSE), "")</f>
        <v>MIX LEGUMES</v>
      </c>
      <c r="G990">
        <f t="shared" si="15"/>
        <v>202208</v>
      </c>
    </row>
    <row r="991" spans="1:7" ht="12" customHeight="1">
      <c r="A991" s="6">
        <v>44788</v>
      </c>
      <c r="B991" s="7">
        <v>143307441</v>
      </c>
      <c r="C991" s="3">
        <v>5540246192148</v>
      </c>
      <c r="D991" s="6">
        <v>44796</v>
      </c>
      <c r="E991" s="8">
        <v>23664</v>
      </c>
      <c r="F991" s="23" t="str">
        <f>IFERROR(VLOOKUP(C991, 'Catégorie des articles'!$A:$D, 4, FALSE), "")</f>
        <v>MIX LEGUMES</v>
      </c>
      <c r="G991">
        <f t="shared" si="15"/>
        <v>202208</v>
      </c>
    </row>
    <row r="992" spans="1:7" ht="12" customHeight="1">
      <c r="A992" s="9">
        <v>44788</v>
      </c>
      <c r="B992" s="10">
        <v>143307442</v>
      </c>
      <c r="C992" s="3">
        <v>5540246194632</v>
      </c>
      <c r="D992" s="9">
        <v>44802</v>
      </c>
      <c r="E992" s="11">
        <v>836</v>
      </c>
      <c r="F992" s="23" t="str">
        <f>IFERROR(VLOOKUP(C992, 'Catégorie des articles'!$A:$D, 4, FALSE), "")</f>
        <v>BOULANGERIE</v>
      </c>
      <c r="G992">
        <f t="shared" si="15"/>
        <v>202208</v>
      </c>
    </row>
    <row r="993" spans="1:7" ht="12" customHeight="1">
      <c r="A993" s="6">
        <v>44789</v>
      </c>
      <c r="B993" s="7">
        <v>143307449</v>
      </c>
      <c r="C993" s="3">
        <v>5540246171933</v>
      </c>
      <c r="D993" s="6">
        <v>44791</v>
      </c>
      <c r="E993" s="8">
        <v>836</v>
      </c>
      <c r="F993" s="23" t="str">
        <f>IFERROR(VLOOKUP(C993, 'Catégorie des articles'!$A:$D, 4, FALSE), "")</f>
        <v>CREMERIE</v>
      </c>
      <c r="G993">
        <f t="shared" si="15"/>
        <v>202208</v>
      </c>
    </row>
    <row r="994" spans="1:7" ht="12" customHeight="1">
      <c r="A994" s="6">
        <v>44789</v>
      </c>
      <c r="B994" s="7">
        <v>143307449</v>
      </c>
      <c r="C994" s="3">
        <v>5540246176295</v>
      </c>
      <c r="D994" s="6">
        <v>44791</v>
      </c>
      <c r="E994" s="8">
        <v>4455</v>
      </c>
      <c r="F994" s="23" t="str">
        <f>IFERROR(VLOOKUP(C994, 'Catégorie des articles'!$A:$D, 4, FALSE), "")</f>
        <v>CREMERIE</v>
      </c>
      <c r="G994">
        <f t="shared" si="15"/>
        <v>202208</v>
      </c>
    </row>
    <row r="995" spans="1:7" ht="12" customHeight="1">
      <c r="A995" s="6">
        <v>44789</v>
      </c>
      <c r="B995" s="7">
        <v>143307449</v>
      </c>
      <c r="C995" s="3">
        <v>5540246188200</v>
      </c>
      <c r="D995" s="6">
        <v>44791</v>
      </c>
      <c r="E995" s="8">
        <v>1485</v>
      </c>
      <c r="F995" s="23" t="str">
        <f>IFERROR(VLOOKUP(C995, 'Catégorie des articles'!$A:$D, 4, FALSE), "")</f>
        <v>CREMERIE</v>
      </c>
      <c r="G995">
        <f t="shared" si="15"/>
        <v>202208</v>
      </c>
    </row>
    <row r="996" spans="1:7" ht="12" customHeight="1">
      <c r="A996" s="6">
        <v>44789</v>
      </c>
      <c r="B996" s="7">
        <v>143307451</v>
      </c>
      <c r="C996" s="3">
        <v>5540246172669</v>
      </c>
      <c r="D996" s="6">
        <v>44791</v>
      </c>
      <c r="E996" s="8">
        <v>140</v>
      </c>
      <c r="F996" s="23" t="str">
        <f>IFERROR(VLOOKUP(C996, 'Catégorie des articles'!$A:$D, 4, FALSE), "")</f>
        <v>CREMERIE</v>
      </c>
      <c r="G996">
        <f t="shared" si="15"/>
        <v>202208</v>
      </c>
    </row>
    <row r="997" spans="1:7" ht="12" customHeight="1">
      <c r="A997" s="9">
        <v>44789</v>
      </c>
      <c r="B997" s="10">
        <v>143307451</v>
      </c>
      <c r="C997" s="3">
        <v>5540246172978</v>
      </c>
      <c r="D997" s="9">
        <v>44791</v>
      </c>
      <c r="E997" s="11">
        <v>1671</v>
      </c>
      <c r="F997" s="23" t="str">
        <f>IFERROR(VLOOKUP(C997, 'Catégorie des articles'!$A:$D, 4, FALSE), "")</f>
        <v>CREMERIE</v>
      </c>
      <c r="G997">
        <f t="shared" si="15"/>
        <v>202208</v>
      </c>
    </row>
    <row r="998" spans="1:7" ht="12" customHeight="1">
      <c r="A998" s="6">
        <v>44789</v>
      </c>
      <c r="B998" s="7">
        <v>143307451</v>
      </c>
      <c r="C998" s="3">
        <v>5540246174174</v>
      </c>
      <c r="D998" s="6">
        <v>44791</v>
      </c>
      <c r="E998" s="8">
        <v>232</v>
      </c>
      <c r="F998" s="23" t="str">
        <f>IFERROR(VLOOKUP(C998, 'Catégorie des articles'!$A:$D, 4, FALSE), "")</f>
        <v>CREMERIE</v>
      </c>
      <c r="G998">
        <f t="shared" si="15"/>
        <v>202208</v>
      </c>
    </row>
    <row r="999" spans="1:7" ht="12" customHeight="1">
      <c r="A999" s="6">
        <v>44789</v>
      </c>
      <c r="B999" s="7">
        <v>143307451</v>
      </c>
      <c r="C999" s="3">
        <v>5540246176699</v>
      </c>
      <c r="D999" s="6">
        <v>44791</v>
      </c>
      <c r="E999" s="8">
        <v>2088</v>
      </c>
      <c r="F999" s="23" t="str">
        <f>IFERROR(VLOOKUP(C999, 'Catégorie des articles'!$A:$D, 4, FALSE), "")</f>
        <v>CREMERIE</v>
      </c>
      <c r="G999">
        <f t="shared" si="15"/>
        <v>202208</v>
      </c>
    </row>
    <row r="1000" spans="1:7" ht="12" customHeight="1">
      <c r="A1000" s="6">
        <v>44789</v>
      </c>
      <c r="B1000" s="7">
        <v>143307461</v>
      </c>
      <c r="C1000" s="3">
        <v>5540246180522</v>
      </c>
      <c r="D1000" s="6">
        <v>44804</v>
      </c>
      <c r="E1000" s="8">
        <v>891</v>
      </c>
      <c r="F1000" s="23" t="str">
        <f>IFERROR(VLOOKUP(C1000, 'Catégorie des articles'!$A:$D, 4, FALSE), "")</f>
        <v>BOULANGERIE</v>
      </c>
      <c r="G1000">
        <f t="shared" si="15"/>
        <v>202208</v>
      </c>
    </row>
    <row r="1001" spans="1:7" ht="12" customHeight="1">
      <c r="A1001" s="9">
        <v>44789</v>
      </c>
      <c r="B1001" s="10">
        <v>143307474</v>
      </c>
      <c r="C1001" s="3">
        <v>5540246190727</v>
      </c>
      <c r="D1001" s="9">
        <v>44811</v>
      </c>
      <c r="E1001" s="11">
        <v>439</v>
      </c>
      <c r="F1001" s="23" t="str">
        <f>IFERROR(VLOOKUP(C1001, 'Catégorie des articles'!$A:$D, 4, FALSE), "")</f>
        <v>BOULANGERIE</v>
      </c>
      <c r="G1001">
        <f t="shared" si="15"/>
        <v>202209</v>
      </c>
    </row>
    <row r="1002" spans="1:7" ht="12" customHeight="1">
      <c r="A1002" s="6">
        <v>44789</v>
      </c>
      <c r="B1002" s="7">
        <v>143307475</v>
      </c>
      <c r="C1002" s="3">
        <v>5540246183558</v>
      </c>
      <c r="D1002" s="6">
        <v>44805</v>
      </c>
      <c r="E1002" s="8">
        <v>2599</v>
      </c>
      <c r="F1002" s="23" t="str">
        <f>IFERROR(VLOOKUP(C1002, 'Catégorie des articles'!$A:$D, 4, FALSE), "")</f>
        <v>MIX LEGUMES</v>
      </c>
      <c r="G1002">
        <f t="shared" si="15"/>
        <v>202209</v>
      </c>
    </row>
    <row r="1003" spans="1:7" ht="12" customHeight="1">
      <c r="A1003" s="9">
        <v>44789</v>
      </c>
      <c r="B1003" s="10">
        <v>143307475</v>
      </c>
      <c r="C1003" s="3">
        <v>5540246192209</v>
      </c>
      <c r="D1003" s="9">
        <v>44805</v>
      </c>
      <c r="E1003" s="11">
        <v>1114</v>
      </c>
      <c r="F1003" s="23" t="str">
        <f>IFERROR(VLOOKUP(C1003, 'Catégorie des articles'!$A:$D, 4, FALSE), "")</f>
        <v>MIX LEGUMES</v>
      </c>
      <c r="G1003">
        <f t="shared" si="15"/>
        <v>202209</v>
      </c>
    </row>
    <row r="1004" spans="1:7" ht="12" customHeight="1">
      <c r="A1004" s="6">
        <v>44789</v>
      </c>
      <c r="B1004" s="7">
        <v>143307475</v>
      </c>
      <c r="C1004" s="3">
        <v>5540246192831</v>
      </c>
      <c r="D1004" s="6">
        <v>44805</v>
      </c>
      <c r="E1004" s="8">
        <v>1300</v>
      </c>
      <c r="F1004" s="23" t="str">
        <f>IFERROR(VLOOKUP(C1004, 'Catégorie des articles'!$A:$D, 4, FALSE), "")</f>
        <v>MIX LEGUMES</v>
      </c>
      <c r="G1004">
        <f t="shared" si="15"/>
        <v>202209</v>
      </c>
    </row>
    <row r="1005" spans="1:7" ht="12" customHeight="1">
      <c r="A1005" s="9">
        <v>44789</v>
      </c>
      <c r="B1005" s="10">
        <v>143307480</v>
      </c>
      <c r="C1005" s="3">
        <v>5540246181061</v>
      </c>
      <c r="D1005" s="9">
        <v>44804</v>
      </c>
      <c r="E1005" s="11">
        <v>5513</v>
      </c>
      <c r="F1005" s="23" t="str">
        <f>IFERROR(VLOOKUP(C1005, 'Catégorie des articles'!$A:$D, 4, FALSE), "")</f>
        <v>VOLAILLE</v>
      </c>
      <c r="G1005">
        <f t="shared" si="15"/>
        <v>202208</v>
      </c>
    </row>
    <row r="1006" spans="1:7" ht="12" customHeight="1">
      <c r="A1006" s="6">
        <v>44789</v>
      </c>
      <c r="B1006" s="7">
        <v>143307480</v>
      </c>
      <c r="C1006" s="3">
        <v>5540246183547</v>
      </c>
      <c r="D1006" s="6">
        <v>44804</v>
      </c>
      <c r="E1006" s="8">
        <v>5568</v>
      </c>
      <c r="F1006" s="23" t="str">
        <f>IFERROR(VLOOKUP(C1006, 'Catégorie des articles'!$A:$D, 4, FALSE), "")</f>
        <v>VOLAILLE</v>
      </c>
      <c r="G1006">
        <f t="shared" si="15"/>
        <v>202208</v>
      </c>
    </row>
    <row r="1007" spans="1:7" ht="12" customHeight="1">
      <c r="A1007" s="9">
        <v>44789</v>
      </c>
      <c r="B1007" s="10">
        <v>143307480</v>
      </c>
      <c r="C1007" s="3">
        <v>5540246185278</v>
      </c>
      <c r="D1007" s="9">
        <v>44804</v>
      </c>
      <c r="E1007" s="11">
        <v>1120</v>
      </c>
      <c r="F1007" s="23" t="str">
        <f>IFERROR(VLOOKUP(C1007, 'Catégorie des articles'!$A:$D, 4, FALSE), "")</f>
        <v>VOLAILLE</v>
      </c>
      <c r="G1007">
        <f t="shared" si="15"/>
        <v>202208</v>
      </c>
    </row>
    <row r="1008" spans="1:7" ht="12" customHeight="1">
      <c r="A1008" s="6">
        <v>44789</v>
      </c>
      <c r="B1008" s="7">
        <v>143307481</v>
      </c>
      <c r="C1008" s="3">
        <v>5540246170256</v>
      </c>
      <c r="D1008" s="6">
        <v>44805</v>
      </c>
      <c r="E1008" s="8">
        <v>3351</v>
      </c>
      <c r="F1008" s="23" t="str">
        <f>IFERROR(VLOOKUP(C1008, 'Catégorie des articles'!$A:$D, 4, FALSE), "")</f>
        <v>BOULANGERIE</v>
      </c>
      <c r="G1008">
        <f t="shared" si="15"/>
        <v>202209</v>
      </c>
    </row>
    <row r="1009" spans="1:7" ht="12" customHeight="1">
      <c r="A1009" s="9">
        <v>44790</v>
      </c>
      <c r="B1009" s="10">
        <v>143307486</v>
      </c>
      <c r="C1009" s="3">
        <v>5540246171933</v>
      </c>
      <c r="D1009" s="9">
        <v>44794</v>
      </c>
      <c r="E1009" s="11">
        <v>836</v>
      </c>
      <c r="F1009" s="23" t="str">
        <f>IFERROR(VLOOKUP(C1009, 'Catégorie des articles'!$A:$D, 4, FALSE), "")</f>
        <v>CREMERIE</v>
      </c>
      <c r="G1009">
        <f t="shared" si="15"/>
        <v>202208</v>
      </c>
    </row>
    <row r="1010" spans="1:7" ht="12" customHeight="1">
      <c r="A1010" s="6">
        <v>44790</v>
      </c>
      <c r="B1010" s="7">
        <v>143307487</v>
      </c>
      <c r="C1010" s="3">
        <v>5540246172669</v>
      </c>
      <c r="D1010" s="6">
        <v>44794</v>
      </c>
      <c r="E1010" s="8">
        <v>140</v>
      </c>
      <c r="F1010" s="23" t="str">
        <f>IFERROR(VLOOKUP(C1010, 'Catégorie des articles'!$A:$D, 4, FALSE), "")</f>
        <v>CREMERIE</v>
      </c>
      <c r="G1010">
        <f t="shared" si="15"/>
        <v>202208</v>
      </c>
    </row>
    <row r="1011" spans="1:7" ht="12" customHeight="1">
      <c r="A1011" s="9">
        <v>44790</v>
      </c>
      <c r="B1011" s="10">
        <v>143307487</v>
      </c>
      <c r="C1011" s="3">
        <v>5540246172978</v>
      </c>
      <c r="D1011" s="9">
        <v>44794</v>
      </c>
      <c r="E1011" s="11">
        <v>836</v>
      </c>
      <c r="F1011" s="23" t="str">
        <f>IFERROR(VLOOKUP(C1011, 'Catégorie des articles'!$A:$D, 4, FALSE), "")</f>
        <v>CREMERIE</v>
      </c>
      <c r="G1011">
        <f t="shared" si="15"/>
        <v>202208</v>
      </c>
    </row>
    <row r="1012" spans="1:7" ht="12" customHeight="1">
      <c r="A1012" s="9">
        <v>44790</v>
      </c>
      <c r="B1012" s="10">
        <v>143307487</v>
      </c>
      <c r="C1012" s="3">
        <v>5540246174174</v>
      </c>
      <c r="D1012" s="9">
        <v>44794</v>
      </c>
      <c r="E1012" s="11">
        <v>232</v>
      </c>
      <c r="F1012" s="23" t="str">
        <f>IFERROR(VLOOKUP(C1012, 'Catégorie des articles'!$A:$D, 4, FALSE), "")</f>
        <v>CREMERIE</v>
      </c>
      <c r="G1012">
        <f t="shared" si="15"/>
        <v>202208</v>
      </c>
    </row>
    <row r="1013" spans="1:7" ht="12" customHeight="1">
      <c r="A1013" s="9">
        <v>44790</v>
      </c>
      <c r="B1013" s="10">
        <v>143307487</v>
      </c>
      <c r="C1013" s="3">
        <v>5540246176699</v>
      </c>
      <c r="D1013" s="9">
        <v>44794</v>
      </c>
      <c r="E1013" s="11">
        <v>2088</v>
      </c>
      <c r="F1013" s="23" t="str">
        <f>IFERROR(VLOOKUP(C1013, 'Catégorie des articles'!$A:$D, 4, FALSE), "")</f>
        <v>CREMERIE</v>
      </c>
      <c r="G1013">
        <f t="shared" si="15"/>
        <v>202208</v>
      </c>
    </row>
    <row r="1014" spans="1:7" ht="12" customHeight="1">
      <c r="A1014" s="9">
        <v>44790</v>
      </c>
      <c r="B1014" s="10">
        <v>143307487</v>
      </c>
      <c r="C1014" s="3">
        <v>5540246188175</v>
      </c>
      <c r="D1014" s="9">
        <v>44794</v>
      </c>
      <c r="E1014" s="11">
        <v>116</v>
      </c>
      <c r="F1014" s="23" t="str">
        <f>IFERROR(VLOOKUP(C1014, 'Catégorie des articles'!$A:$D, 4, FALSE), "")</f>
        <v>CREMERIE</v>
      </c>
      <c r="G1014">
        <f t="shared" si="15"/>
        <v>202208</v>
      </c>
    </row>
    <row r="1015" spans="1:7" ht="12" customHeight="1">
      <c r="A1015" s="6">
        <v>44790</v>
      </c>
      <c r="B1015" s="7">
        <v>143307489</v>
      </c>
      <c r="C1015" s="3">
        <v>5540246174095</v>
      </c>
      <c r="D1015" s="6">
        <v>44797</v>
      </c>
      <c r="E1015" s="8">
        <v>140</v>
      </c>
      <c r="F1015" s="23" t="str">
        <f>IFERROR(VLOOKUP(C1015, 'Catégorie des articles'!$A:$D, 4, FALSE), "")</f>
        <v>CREMERIE</v>
      </c>
      <c r="G1015">
        <f t="shared" si="15"/>
        <v>202208</v>
      </c>
    </row>
    <row r="1016" spans="1:7" ht="12" customHeight="1">
      <c r="A1016" s="9">
        <v>44790</v>
      </c>
      <c r="B1016" s="10">
        <v>143307490</v>
      </c>
      <c r="C1016" s="3">
        <v>5540246185429</v>
      </c>
      <c r="D1016" s="9">
        <v>44796</v>
      </c>
      <c r="E1016" s="11">
        <v>140</v>
      </c>
      <c r="F1016" s="23" t="str">
        <f>IFERROR(VLOOKUP(C1016, 'Catégorie des articles'!$A:$D, 4, FALSE), "")</f>
        <v>CREMERIE</v>
      </c>
      <c r="G1016">
        <f t="shared" si="15"/>
        <v>202208</v>
      </c>
    </row>
    <row r="1017" spans="1:7" ht="12" customHeight="1">
      <c r="A1017" s="6">
        <v>44790</v>
      </c>
      <c r="B1017" s="7">
        <v>143307490</v>
      </c>
      <c r="C1017" s="3">
        <v>5540246186325</v>
      </c>
      <c r="D1017" s="6">
        <v>44796</v>
      </c>
      <c r="E1017" s="8">
        <v>140</v>
      </c>
      <c r="F1017" s="23" t="str">
        <f>IFERROR(VLOOKUP(C1017, 'Catégorie des articles'!$A:$D, 4, FALSE), "")</f>
        <v>CREMERIE</v>
      </c>
      <c r="G1017">
        <f t="shared" si="15"/>
        <v>202208</v>
      </c>
    </row>
    <row r="1018" spans="1:7" ht="12" customHeight="1">
      <c r="A1018" s="9">
        <v>44790</v>
      </c>
      <c r="B1018" s="10">
        <v>143307494</v>
      </c>
      <c r="C1018" s="3">
        <v>5540246194330</v>
      </c>
      <c r="D1018" s="9">
        <v>44797</v>
      </c>
      <c r="E1018" s="11">
        <v>4585</v>
      </c>
      <c r="F1018" s="23" t="str">
        <f>IFERROR(VLOOKUP(C1018, 'Catégorie des articles'!$A:$D, 4, FALSE), "")</f>
        <v>MIX LEGUMES</v>
      </c>
      <c r="G1018">
        <f t="shared" si="15"/>
        <v>202208</v>
      </c>
    </row>
    <row r="1019" spans="1:7" ht="12" customHeight="1">
      <c r="A1019" s="9">
        <v>44791</v>
      </c>
      <c r="B1019" s="10">
        <v>143307502</v>
      </c>
      <c r="C1019" s="3">
        <v>5540246187987</v>
      </c>
      <c r="D1019" s="9">
        <v>44794</v>
      </c>
      <c r="E1019" s="11">
        <v>3341</v>
      </c>
      <c r="F1019" s="23" t="str">
        <f>IFERROR(VLOOKUP(C1019, 'Catégorie des articles'!$A:$D, 4, FALSE), "")</f>
        <v>CREMERIE</v>
      </c>
      <c r="G1019">
        <f t="shared" si="15"/>
        <v>202208</v>
      </c>
    </row>
    <row r="1020" spans="1:7" ht="12" customHeight="1">
      <c r="A1020" s="9">
        <v>44791</v>
      </c>
      <c r="B1020" s="10">
        <v>143307513</v>
      </c>
      <c r="C1020" s="3">
        <v>5540246187987</v>
      </c>
      <c r="D1020" s="9">
        <v>44795</v>
      </c>
      <c r="E1020" s="11">
        <v>1114</v>
      </c>
      <c r="F1020" s="23" t="str">
        <f>IFERROR(VLOOKUP(C1020, 'Catégorie des articles'!$A:$D, 4, FALSE), "")</f>
        <v>CREMERIE</v>
      </c>
      <c r="G1020">
        <f t="shared" si="15"/>
        <v>202208</v>
      </c>
    </row>
    <row r="1021" spans="1:7" ht="12" customHeight="1">
      <c r="A1021" s="6">
        <v>44791</v>
      </c>
      <c r="B1021" s="7">
        <v>143307514</v>
      </c>
      <c r="C1021" s="3">
        <v>5540246172978</v>
      </c>
      <c r="D1021" s="6">
        <v>44795</v>
      </c>
      <c r="E1021" s="8">
        <v>836</v>
      </c>
      <c r="F1021" s="23" t="str">
        <f>IFERROR(VLOOKUP(C1021, 'Catégorie des articles'!$A:$D, 4, FALSE), "")</f>
        <v>CREMERIE</v>
      </c>
      <c r="G1021">
        <f t="shared" si="15"/>
        <v>202208</v>
      </c>
    </row>
    <row r="1022" spans="1:7" ht="12" customHeight="1">
      <c r="A1022" s="9">
        <v>44791</v>
      </c>
      <c r="B1022" s="10">
        <v>143307514</v>
      </c>
      <c r="C1022" s="3">
        <v>5540246176699</v>
      </c>
      <c r="D1022" s="9">
        <v>44795</v>
      </c>
      <c r="E1022" s="11">
        <v>1044</v>
      </c>
      <c r="F1022" s="23" t="str">
        <f>IFERROR(VLOOKUP(C1022, 'Catégorie des articles'!$A:$D, 4, FALSE), "")</f>
        <v>CREMERIE</v>
      </c>
      <c r="G1022">
        <f t="shared" si="15"/>
        <v>202208</v>
      </c>
    </row>
    <row r="1023" spans="1:7" ht="12" customHeight="1">
      <c r="A1023" s="9">
        <v>44791</v>
      </c>
      <c r="B1023" s="10">
        <v>143307514</v>
      </c>
      <c r="C1023" s="3">
        <v>5540246188175</v>
      </c>
      <c r="D1023" s="9">
        <v>44795</v>
      </c>
      <c r="E1023" s="11">
        <v>70</v>
      </c>
      <c r="F1023" s="23" t="str">
        <f>IFERROR(VLOOKUP(C1023, 'Catégorie des articles'!$A:$D, 4, FALSE), "")</f>
        <v>CREMERIE</v>
      </c>
      <c r="G1023">
        <f t="shared" si="15"/>
        <v>202208</v>
      </c>
    </row>
    <row r="1024" spans="1:7" ht="12" customHeight="1">
      <c r="A1024" s="9">
        <v>44791</v>
      </c>
      <c r="B1024" s="10">
        <v>143307519</v>
      </c>
      <c r="C1024" s="3">
        <v>5540246195096</v>
      </c>
      <c r="D1024" s="9">
        <v>44798</v>
      </c>
      <c r="E1024" s="11">
        <v>1253</v>
      </c>
      <c r="F1024" s="23" t="str">
        <f>IFERROR(VLOOKUP(C1024, 'Catégorie des articles'!$A:$D, 4, FALSE), "")</f>
        <v>MIX LEGUMES</v>
      </c>
      <c r="G1024">
        <f t="shared" si="15"/>
        <v>202208</v>
      </c>
    </row>
    <row r="1025" spans="1:7" ht="12" customHeight="1">
      <c r="A1025" s="9">
        <v>44791</v>
      </c>
      <c r="B1025" s="10">
        <v>143307521</v>
      </c>
      <c r="C1025" s="3">
        <v>5540246183130</v>
      </c>
      <c r="D1025" s="9">
        <v>44802</v>
      </c>
      <c r="E1025" s="11">
        <v>2256</v>
      </c>
      <c r="F1025" s="23" t="str">
        <f>IFERROR(VLOOKUP(C1025, 'Catégorie des articles'!$A:$D, 4, FALSE), "")</f>
        <v>MIX LEGUMES</v>
      </c>
      <c r="G1025">
        <f t="shared" si="15"/>
        <v>202208</v>
      </c>
    </row>
    <row r="1026" spans="1:7" ht="12" customHeight="1">
      <c r="A1026" s="6">
        <v>44791</v>
      </c>
      <c r="B1026" s="7">
        <v>143307521</v>
      </c>
      <c r="C1026" s="3">
        <v>5540246183538</v>
      </c>
      <c r="D1026" s="6">
        <v>44802</v>
      </c>
      <c r="E1026" s="8">
        <v>919</v>
      </c>
      <c r="F1026" s="23" t="str">
        <f>IFERROR(VLOOKUP(C1026, 'Catégorie des articles'!$A:$D, 4, FALSE), "")</f>
        <v>MIX LEGUMES</v>
      </c>
      <c r="G1026">
        <f t="shared" si="15"/>
        <v>202208</v>
      </c>
    </row>
    <row r="1027" spans="1:7" ht="12" customHeight="1">
      <c r="A1027" s="9">
        <v>44791</v>
      </c>
      <c r="B1027" s="10">
        <v>143307521</v>
      </c>
      <c r="C1027" s="3">
        <v>5540246183555</v>
      </c>
      <c r="D1027" s="9">
        <v>44802</v>
      </c>
      <c r="E1027" s="11">
        <v>543</v>
      </c>
      <c r="F1027" s="23" t="str">
        <f>IFERROR(VLOOKUP(C1027, 'Catégorie des articles'!$A:$D, 4, FALSE), "")</f>
        <v>MIX LEGUMES</v>
      </c>
      <c r="G1027">
        <f t="shared" ref="G1027:G1090" si="16">YEAR(D1027)*100 + MONTH(D1027)</f>
        <v>202208</v>
      </c>
    </row>
    <row r="1028" spans="1:7" ht="12" customHeight="1">
      <c r="A1028" s="9">
        <v>44791</v>
      </c>
      <c r="B1028" s="10">
        <v>143307522</v>
      </c>
      <c r="C1028" s="3">
        <v>5540246171759</v>
      </c>
      <c r="D1028" s="9">
        <v>44801</v>
      </c>
      <c r="E1028" s="11">
        <v>2506</v>
      </c>
      <c r="F1028" s="23" t="str">
        <f>IFERROR(VLOOKUP(C1028, 'Catégorie des articles'!$A:$D, 4, FALSE), "")</f>
        <v>MIX LEGUMES</v>
      </c>
      <c r="G1028">
        <f t="shared" si="16"/>
        <v>202208</v>
      </c>
    </row>
    <row r="1029" spans="1:7" ht="12" customHeight="1">
      <c r="A1029" s="6">
        <v>44791</v>
      </c>
      <c r="B1029" s="7">
        <v>143307522</v>
      </c>
      <c r="C1029" s="3">
        <v>5540246177133</v>
      </c>
      <c r="D1029" s="6">
        <v>44801</v>
      </c>
      <c r="E1029" s="8">
        <v>2228</v>
      </c>
      <c r="F1029" s="23" t="str">
        <f>IFERROR(VLOOKUP(C1029, 'Catégorie des articles'!$A:$D, 4, FALSE), "")</f>
        <v>MIX LEGUMES</v>
      </c>
      <c r="G1029">
        <f t="shared" si="16"/>
        <v>202208</v>
      </c>
    </row>
    <row r="1030" spans="1:7" ht="12" customHeight="1">
      <c r="A1030" s="9">
        <v>44791</v>
      </c>
      <c r="B1030" s="10">
        <v>143307522</v>
      </c>
      <c r="C1030" s="3">
        <v>5540246192148</v>
      </c>
      <c r="D1030" s="9">
        <v>44801</v>
      </c>
      <c r="E1030" s="11">
        <v>27840</v>
      </c>
      <c r="F1030" s="23" t="str">
        <f>IFERROR(VLOOKUP(C1030, 'Catégorie des articles'!$A:$D, 4, FALSE), "")</f>
        <v>MIX LEGUMES</v>
      </c>
      <c r="G1030">
        <f t="shared" si="16"/>
        <v>202208</v>
      </c>
    </row>
    <row r="1031" spans="1:7" ht="12" customHeight="1">
      <c r="A1031" s="9">
        <v>44791</v>
      </c>
      <c r="B1031" s="10">
        <v>143307525</v>
      </c>
      <c r="C1031" s="3">
        <v>5540246194632</v>
      </c>
      <c r="D1031" s="9">
        <v>44805</v>
      </c>
      <c r="E1031" s="11">
        <v>1003</v>
      </c>
      <c r="F1031" s="23" t="str">
        <f>IFERROR(VLOOKUP(C1031, 'Catégorie des articles'!$A:$D, 4, FALSE), "")</f>
        <v>BOULANGERIE</v>
      </c>
      <c r="G1031">
        <f t="shared" si="16"/>
        <v>202209</v>
      </c>
    </row>
    <row r="1032" spans="1:7" ht="12" customHeight="1">
      <c r="A1032" s="9">
        <v>44791</v>
      </c>
      <c r="B1032" s="10">
        <v>143307527</v>
      </c>
      <c r="C1032" s="3">
        <v>5540246173906</v>
      </c>
      <c r="D1032" s="9">
        <v>44804</v>
      </c>
      <c r="E1032" s="11">
        <v>1634</v>
      </c>
      <c r="F1032" s="23" t="str">
        <f>IFERROR(VLOOKUP(C1032, 'Catégorie des articles'!$A:$D, 4, FALSE), "")</f>
        <v>VOLAILLE</v>
      </c>
      <c r="G1032">
        <f t="shared" si="16"/>
        <v>202208</v>
      </c>
    </row>
    <row r="1033" spans="1:7" ht="12" customHeight="1">
      <c r="A1033" s="6">
        <v>44791</v>
      </c>
      <c r="B1033" s="7">
        <v>143307527</v>
      </c>
      <c r="C1033" s="3">
        <v>5540246181016</v>
      </c>
      <c r="D1033" s="6">
        <v>44804</v>
      </c>
      <c r="E1033" s="8">
        <v>3564</v>
      </c>
      <c r="F1033" s="23" t="str">
        <f>IFERROR(VLOOKUP(C1033, 'Catégorie des articles'!$A:$D, 4, FALSE), "")</f>
        <v>VOLAILLE</v>
      </c>
      <c r="G1033">
        <f t="shared" si="16"/>
        <v>202208</v>
      </c>
    </row>
    <row r="1034" spans="1:7" ht="12" customHeight="1">
      <c r="A1034" s="9">
        <v>44791</v>
      </c>
      <c r="B1034" s="10">
        <v>143307530</v>
      </c>
      <c r="C1034" s="3">
        <v>5540246183844</v>
      </c>
      <c r="D1034" s="9">
        <v>44801</v>
      </c>
      <c r="E1034" s="11">
        <v>140</v>
      </c>
      <c r="F1034" s="23" t="str">
        <f>IFERROR(VLOOKUP(C1034, 'Catégorie des articles'!$A:$D, 4, FALSE), "")</f>
        <v>BOULANGERIE</v>
      </c>
      <c r="G1034">
        <f t="shared" si="16"/>
        <v>202208</v>
      </c>
    </row>
    <row r="1035" spans="1:7" ht="12" customHeight="1">
      <c r="A1035" s="6">
        <v>44794</v>
      </c>
      <c r="B1035" s="7">
        <v>143317554</v>
      </c>
      <c r="C1035" s="3">
        <v>5540246176294</v>
      </c>
      <c r="D1035" s="6">
        <v>44796</v>
      </c>
      <c r="E1035" s="8">
        <v>2970</v>
      </c>
      <c r="F1035" s="23" t="str">
        <f>IFERROR(VLOOKUP(C1035, 'Catégorie des articles'!$A:$D, 4, FALSE), "")</f>
        <v>CREMERIE</v>
      </c>
      <c r="G1035">
        <f t="shared" si="16"/>
        <v>202208</v>
      </c>
    </row>
    <row r="1036" spans="1:7" ht="12" customHeight="1">
      <c r="A1036" s="9">
        <v>44794</v>
      </c>
      <c r="B1036" s="10">
        <v>143317554</v>
      </c>
      <c r="C1036" s="3">
        <v>5540246176295</v>
      </c>
      <c r="D1036" s="9">
        <v>44796</v>
      </c>
      <c r="E1036" s="11">
        <v>7424</v>
      </c>
      <c r="F1036" s="23" t="str">
        <f>IFERROR(VLOOKUP(C1036, 'Catégorie des articles'!$A:$D, 4, FALSE), "")</f>
        <v>CREMERIE</v>
      </c>
      <c r="G1036">
        <f t="shared" si="16"/>
        <v>202208</v>
      </c>
    </row>
    <row r="1037" spans="1:7" ht="12" customHeight="1">
      <c r="A1037" s="9">
        <v>44794</v>
      </c>
      <c r="B1037" s="10">
        <v>143317554</v>
      </c>
      <c r="C1037" s="3">
        <v>5540246187987</v>
      </c>
      <c r="D1037" s="9">
        <v>44796</v>
      </c>
      <c r="E1037" s="11">
        <v>4455</v>
      </c>
      <c r="F1037" s="23" t="str">
        <f>IFERROR(VLOOKUP(C1037, 'Catégorie des articles'!$A:$D, 4, FALSE), "")</f>
        <v>CREMERIE</v>
      </c>
      <c r="G1037">
        <f t="shared" si="16"/>
        <v>202208</v>
      </c>
    </row>
    <row r="1038" spans="1:7" ht="12" customHeight="1">
      <c r="A1038" s="6">
        <v>44794</v>
      </c>
      <c r="B1038" s="7">
        <v>143317554</v>
      </c>
      <c r="C1038" s="3">
        <v>5540246188200</v>
      </c>
      <c r="D1038" s="6">
        <v>44796</v>
      </c>
      <c r="E1038" s="8">
        <v>1485</v>
      </c>
      <c r="F1038" s="23" t="str">
        <f>IFERROR(VLOOKUP(C1038, 'Catégorie des articles'!$A:$D, 4, FALSE), "")</f>
        <v>CREMERIE</v>
      </c>
      <c r="G1038">
        <f t="shared" si="16"/>
        <v>202208</v>
      </c>
    </row>
    <row r="1039" spans="1:7" ht="12" customHeight="1">
      <c r="A1039" s="6">
        <v>44794</v>
      </c>
      <c r="B1039" s="7">
        <v>143317555</v>
      </c>
      <c r="C1039" s="3">
        <v>5540246172978</v>
      </c>
      <c r="D1039" s="6">
        <v>44796</v>
      </c>
      <c r="E1039" s="8">
        <v>836</v>
      </c>
      <c r="F1039" s="23" t="str">
        <f>IFERROR(VLOOKUP(C1039, 'Catégorie des articles'!$A:$D, 4, FALSE), "")</f>
        <v>CREMERIE</v>
      </c>
      <c r="G1039">
        <f t="shared" si="16"/>
        <v>202208</v>
      </c>
    </row>
    <row r="1040" spans="1:7" ht="12" customHeight="1">
      <c r="A1040" s="9">
        <v>44794</v>
      </c>
      <c r="B1040" s="10">
        <v>143317555</v>
      </c>
      <c r="C1040" s="3">
        <v>5540246174174</v>
      </c>
      <c r="D1040" s="9">
        <v>44796</v>
      </c>
      <c r="E1040" s="11">
        <v>232</v>
      </c>
      <c r="F1040" s="23" t="str">
        <f>IFERROR(VLOOKUP(C1040, 'Catégorie des articles'!$A:$D, 4, FALSE), "")</f>
        <v>CREMERIE</v>
      </c>
      <c r="G1040">
        <f t="shared" si="16"/>
        <v>202208</v>
      </c>
    </row>
    <row r="1041" spans="1:7" ht="12" customHeight="1">
      <c r="A1041" s="9">
        <v>44794</v>
      </c>
      <c r="B1041" s="10">
        <v>143317555</v>
      </c>
      <c r="C1041" s="3">
        <v>5540246176699</v>
      </c>
      <c r="D1041" s="9">
        <v>44796</v>
      </c>
      <c r="E1041" s="11">
        <v>2088</v>
      </c>
      <c r="F1041" s="23" t="str">
        <f>IFERROR(VLOOKUP(C1041, 'Catégorie des articles'!$A:$D, 4, FALSE), "")</f>
        <v>CREMERIE</v>
      </c>
      <c r="G1041">
        <f t="shared" si="16"/>
        <v>202208</v>
      </c>
    </row>
    <row r="1042" spans="1:7" ht="12" customHeight="1">
      <c r="A1042" s="6">
        <v>44794</v>
      </c>
      <c r="B1042" s="7">
        <v>143317561</v>
      </c>
      <c r="C1042" s="3">
        <v>5540246173472</v>
      </c>
      <c r="D1042" s="6">
        <v>44802</v>
      </c>
      <c r="E1042" s="8">
        <v>279</v>
      </c>
      <c r="F1042" s="23" t="str">
        <f>IFERROR(VLOOKUP(C1042, 'Catégorie des articles'!$A:$D, 4, FALSE), "")</f>
        <v>CREMERIE</v>
      </c>
      <c r="G1042">
        <f t="shared" si="16"/>
        <v>202208</v>
      </c>
    </row>
    <row r="1043" spans="1:7" ht="12" customHeight="1">
      <c r="A1043" s="9">
        <v>44794</v>
      </c>
      <c r="B1043" s="10">
        <v>143317561</v>
      </c>
      <c r="C1043" s="3">
        <v>5540246175049</v>
      </c>
      <c r="D1043" s="9">
        <v>44802</v>
      </c>
      <c r="E1043" s="11">
        <v>696</v>
      </c>
      <c r="F1043" s="23" t="str">
        <f>IFERROR(VLOOKUP(C1043, 'Catégorie des articles'!$A:$D, 4, FALSE), "")</f>
        <v>CREMERIE</v>
      </c>
      <c r="G1043">
        <f t="shared" si="16"/>
        <v>202208</v>
      </c>
    </row>
    <row r="1044" spans="1:7" ht="12" customHeight="1">
      <c r="A1044" s="6">
        <v>44794</v>
      </c>
      <c r="B1044" s="7">
        <v>143317561</v>
      </c>
      <c r="C1044" s="3">
        <v>5540246175050</v>
      </c>
      <c r="D1044" s="6">
        <v>44802</v>
      </c>
      <c r="E1044" s="8">
        <v>557</v>
      </c>
      <c r="F1044" s="23" t="str">
        <f>IFERROR(VLOOKUP(C1044, 'Catégorie des articles'!$A:$D, 4, FALSE), "")</f>
        <v>CREMERIE</v>
      </c>
      <c r="G1044">
        <f t="shared" si="16"/>
        <v>202208</v>
      </c>
    </row>
    <row r="1045" spans="1:7" ht="12" customHeight="1">
      <c r="A1045" s="9">
        <v>44795</v>
      </c>
      <c r="B1045" s="10">
        <v>143317576</v>
      </c>
      <c r="C1045" s="3">
        <v>5540246171933</v>
      </c>
      <c r="D1045" s="9">
        <v>44797</v>
      </c>
      <c r="E1045" s="11">
        <v>557</v>
      </c>
      <c r="F1045" s="23" t="str">
        <f>IFERROR(VLOOKUP(C1045, 'Catégorie des articles'!$A:$D, 4, FALSE), "")</f>
        <v>CREMERIE</v>
      </c>
      <c r="G1045">
        <f t="shared" si="16"/>
        <v>202208</v>
      </c>
    </row>
    <row r="1046" spans="1:7" ht="12" customHeight="1">
      <c r="A1046" s="6">
        <v>44795</v>
      </c>
      <c r="B1046" s="7">
        <v>143317576</v>
      </c>
      <c r="C1046" s="3">
        <v>5540246176294</v>
      </c>
      <c r="D1046" s="6">
        <v>44797</v>
      </c>
      <c r="E1046" s="8">
        <v>1485</v>
      </c>
      <c r="F1046" s="23" t="str">
        <f>IFERROR(VLOOKUP(C1046, 'Catégorie des articles'!$A:$D, 4, FALSE), "")</f>
        <v>CREMERIE</v>
      </c>
      <c r="G1046">
        <f t="shared" si="16"/>
        <v>202208</v>
      </c>
    </row>
    <row r="1047" spans="1:7" ht="12" customHeight="1">
      <c r="A1047" s="9">
        <v>44795</v>
      </c>
      <c r="B1047" s="10">
        <v>143317576</v>
      </c>
      <c r="C1047" s="3">
        <v>5540246176295</v>
      </c>
      <c r="D1047" s="9">
        <v>44797</v>
      </c>
      <c r="E1047" s="11">
        <v>5568</v>
      </c>
      <c r="F1047" s="23" t="str">
        <f>IFERROR(VLOOKUP(C1047, 'Catégorie des articles'!$A:$D, 4, FALSE), "")</f>
        <v>CREMERIE</v>
      </c>
      <c r="G1047">
        <f t="shared" si="16"/>
        <v>202208</v>
      </c>
    </row>
    <row r="1048" spans="1:7" ht="12" customHeight="1">
      <c r="A1048" s="9">
        <v>44795</v>
      </c>
      <c r="B1048" s="10">
        <v>143317576</v>
      </c>
      <c r="C1048" s="3">
        <v>5540246188200</v>
      </c>
      <c r="D1048" s="9">
        <v>44797</v>
      </c>
      <c r="E1048" s="11">
        <v>743</v>
      </c>
      <c r="F1048" s="23" t="str">
        <f>IFERROR(VLOOKUP(C1048, 'Catégorie des articles'!$A:$D, 4, FALSE), "")</f>
        <v>CREMERIE</v>
      </c>
      <c r="G1048">
        <f t="shared" si="16"/>
        <v>202208</v>
      </c>
    </row>
    <row r="1049" spans="1:7" ht="12" customHeight="1">
      <c r="A1049" s="9">
        <v>44795</v>
      </c>
      <c r="B1049" s="10">
        <v>143317577</v>
      </c>
      <c r="C1049" s="3">
        <v>5540246172539</v>
      </c>
      <c r="D1049" s="9">
        <v>44797</v>
      </c>
      <c r="E1049" s="11">
        <v>24</v>
      </c>
      <c r="F1049" s="23" t="str">
        <f>IFERROR(VLOOKUP(C1049, 'Catégorie des articles'!$A:$D, 4, FALSE), "")</f>
        <v>CREMERIE</v>
      </c>
      <c r="G1049">
        <f t="shared" si="16"/>
        <v>202208</v>
      </c>
    </row>
    <row r="1050" spans="1:7" ht="12" customHeight="1">
      <c r="A1050" s="6">
        <v>44795</v>
      </c>
      <c r="B1050" s="7">
        <v>143317577</v>
      </c>
      <c r="C1050" s="3">
        <v>5540246172669</v>
      </c>
      <c r="D1050" s="6">
        <v>44797</v>
      </c>
      <c r="E1050" s="8">
        <v>279</v>
      </c>
      <c r="F1050" s="23" t="str">
        <f>IFERROR(VLOOKUP(C1050, 'Catégorie des articles'!$A:$D, 4, FALSE), "")</f>
        <v>CREMERIE</v>
      </c>
      <c r="G1050">
        <f t="shared" si="16"/>
        <v>202208</v>
      </c>
    </row>
    <row r="1051" spans="1:7" ht="12" customHeight="1">
      <c r="A1051" s="9">
        <v>44795</v>
      </c>
      <c r="B1051" s="10">
        <v>143317577</v>
      </c>
      <c r="C1051" s="3">
        <v>5540246172978</v>
      </c>
      <c r="D1051" s="9">
        <v>44797</v>
      </c>
      <c r="E1051" s="11">
        <v>836</v>
      </c>
      <c r="F1051" s="23" t="str">
        <f>IFERROR(VLOOKUP(C1051, 'Catégorie des articles'!$A:$D, 4, FALSE), "")</f>
        <v>CREMERIE</v>
      </c>
      <c r="G1051">
        <f t="shared" si="16"/>
        <v>202208</v>
      </c>
    </row>
    <row r="1052" spans="1:7" ht="12" customHeight="1">
      <c r="A1052" s="6">
        <v>44795</v>
      </c>
      <c r="B1052" s="7">
        <v>143317577</v>
      </c>
      <c r="C1052" s="3">
        <v>5540246174174</v>
      </c>
      <c r="D1052" s="6">
        <v>44797</v>
      </c>
      <c r="E1052" s="8">
        <v>232</v>
      </c>
      <c r="F1052" s="23" t="str">
        <f>IFERROR(VLOOKUP(C1052, 'Catégorie des articles'!$A:$D, 4, FALSE), "")</f>
        <v>CREMERIE</v>
      </c>
      <c r="G1052">
        <f t="shared" si="16"/>
        <v>202208</v>
      </c>
    </row>
    <row r="1053" spans="1:7" ht="12" customHeight="1">
      <c r="A1053" s="6">
        <v>44795</v>
      </c>
      <c r="B1053" s="7">
        <v>143317577</v>
      </c>
      <c r="C1053" s="3">
        <v>5540246176699</v>
      </c>
      <c r="D1053" s="6">
        <v>44797</v>
      </c>
      <c r="E1053" s="8">
        <v>2088</v>
      </c>
      <c r="F1053" s="23" t="str">
        <f>IFERROR(VLOOKUP(C1053, 'Catégorie des articles'!$A:$D, 4, FALSE), "")</f>
        <v>CREMERIE</v>
      </c>
      <c r="G1053">
        <f t="shared" si="16"/>
        <v>202208</v>
      </c>
    </row>
    <row r="1054" spans="1:7" ht="12" customHeight="1">
      <c r="A1054" s="6">
        <v>44796</v>
      </c>
      <c r="B1054" s="7">
        <v>143317587</v>
      </c>
      <c r="C1054" s="3">
        <v>5540246171933</v>
      </c>
      <c r="D1054" s="6">
        <v>44798</v>
      </c>
      <c r="E1054" s="8">
        <v>557</v>
      </c>
      <c r="F1054" s="23" t="str">
        <f>IFERROR(VLOOKUP(C1054, 'Catégorie des articles'!$A:$D, 4, FALSE), "")</f>
        <v>CREMERIE</v>
      </c>
      <c r="G1054">
        <f t="shared" si="16"/>
        <v>202208</v>
      </c>
    </row>
    <row r="1055" spans="1:7" ht="12" customHeight="1">
      <c r="A1055" s="6">
        <v>44796</v>
      </c>
      <c r="B1055" s="7">
        <v>143317587</v>
      </c>
      <c r="C1055" s="3">
        <v>5540246188200</v>
      </c>
      <c r="D1055" s="6">
        <v>44798</v>
      </c>
      <c r="E1055" s="8">
        <v>743</v>
      </c>
      <c r="F1055" s="23" t="str">
        <f>IFERROR(VLOOKUP(C1055, 'Catégorie des articles'!$A:$D, 4, FALSE), "")</f>
        <v>CREMERIE</v>
      </c>
      <c r="G1055">
        <f t="shared" si="16"/>
        <v>202208</v>
      </c>
    </row>
    <row r="1056" spans="1:7" ht="12" customHeight="1">
      <c r="A1056" s="6">
        <v>44796</v>
      </c>
      <c r="B1056" s="7">
        <v>143317588</v>
      </c>
      <c r="C1056" s="3">
        <v>5540246172978</v>
      </c>
      <c r="D1056" s="6">
        <v>44798</v>
      </c>
      <c r="E1056" s="8">
        <v>836</v>
      </c>
      <c r="F1056" s="23" t="str">
        <f>IFERROR(VLOOKUP(C1056, 'Catégorie des articles'!$A:$D, 4, FALSE), "")</f>
        <v>CREMERIE</v>
      </c>
      <c r="G1056">
        <f t="shared" si="16"/>
        <v>202208</v>
      </c>
    </row>
    <row r="1057" spans="1:7" ht="12" customHeight="1">
      <c r="A1057" s="9">
        <v>44796</v>
      </c>
      <c r="B1057" s="10">
        <v>143317588</v>
      </c>
      <c r="C1057" s="3">
        <v>5540246174174</v>
      </c>
      <c r="D1057" s="9">
        <v>44798</v>
      </c>
      <c r="E1057" s="11">
        <v>232</v>
      </c>
      <c r="F1057" s="23" t="str">
        <f>IFERROR(VLOOKUP(C1057, 'Catégorie des articles'!$A:$D, 4, FALSE), "")</f>
        <v>CREMERIE</v>
      </c>
      <c r="G1057">
        <f t="shared" si="16"/>
        <v>202208</v>
      </c>
    </row>
    <row r="1058" spans="1:7" ht="12" customHeight="1">
      <c r="A1058" s="6">
        <v>44796</v>
      </c>
      <c r="B1058" s="7">
        <v>143317588</v>
      </c>
      <c r="C1058" s="3">
        <v>5540246176699</v>
      </c>
      <c r="D1058" s="6">
        <v>44798</v>
      </c>
      <c r="E1058" s="8">
        <v>3132</v>
      </c>
      <c r="F1058" s="23" t="str">
        <f>IFERROR(VLOOKUP(C1058, 'Catégorie des articles'!$A:$D, 4, FALSE), "")</f>
        <v>CREMERIE</v>
      </c>
      <c r="G1058">
        <f t="shared" si="16"/>
        <v>202208</v>
      </c>
    </row>
    <row r="1059" spans="1:7" ht="12" customHeight="1">
      <c r="A1059" s="6">
        <v>44796</v>
      </c>
      <c r="B1059" s="7">
        <v>143317588</v>
      </c>
      <c r="C1059" s="3">
        <v>5540246188175</v>
      </c>
      <c r="D1059" s="6">
        <v>44798</v>
      </c>
      <c r="E1059" s="8">
        <v>163</v>
      </c>
      <c r="F1059" s="23" t="str">
        <f>IFERROR(VLOOKUP(C1059, 'Catégorie des articles'!$A:$D, 4, FALSE), "")</f>
        <v>CREMERIE</v>
      </c>
      <c r="G1059">
        <f t="shared" si="16"/>
        <v>202208</v>
      </c>
    </row>
    <row r="1060" spans="1:7" ht="12" customHeight="1">
      <c r="A1060" s="6">
        <v>44796</v>
      </c>
      <c r="B1060" s="7">
        <v>143317598</v>
      </c>
      <c r="C1060" s="3">
        <v>5540246173472</v>
      </c>
      <c r="D1060" s="6">
        <v>44798</v>
      </c>
      <c r="E1060" s="8">
        <v>140</v>
      </c>
      <c r="F1060" s="23" t="str">
        <f>IFERROR(VLOOKUP(C1060, 'Catégorie des articles'!$A:$D, 4, FALSE), "")</f>
        <v>CREMERIE</v>
      </c>
      <c r="G1060">
        <f t="shared" si="16"/>
        <v>202208</v>
      </c>
    </row>
    <row r="1061" spans="1:7" ht="12" customHeight="1">
      <c r="A1061" s="9">
        <v>44797</v>
      </c>
      <c r="B1061" s="10">
        <v>143317609</v>
      </c>
      <c r="C1061" s="3">
        <v>5540246187987</v>
      </c>
      <c r="D1061" s="9">
        <v>44801</v>
      </c>
      <c r="E1061" s="11">
        <v>2228</v>
      </c>
      <c r="F1061" s="23" t="str">
        <f>IFERROR(VLOOKUP(C1061, 'Catégorie des articles'!$A:$D, 4, FALSE), "")</f>
        <v>CREMERIE</v>
      </c>
      <c r="G1061">
        <f t="shared" si="16"/>
        <v>202208</v>
      </c>
    </row>
    <row r="1062" spans="1:7" ht="12" customHeight="1">
      <c r="A1062" s="6">
        <v>44797</v>
      </c>
      <c r="B1062" s="7">
        <v>143317609</v>
      </c>
      <c r="C1062" s="3">
        <v>5540246188200</v>
      </c>
      <c r="D1062" s="6">
        <v>44801</v>
      </c>
      <c r="E1062" s="8">
        <v>1485</v>
      </c>
      <c r="F1062" s="23" t="str">
        <f>IFERROR(VLOOKUP(C1062, 'Catégorie des articles'!$A:$D, 4, FALSE), "")</f>
        <v>CREMERIE</v>
      </c>
      <c r="G1062">
        <f t="shared" si="16"/>
        <v>202208</v>
      </c>
    </row>
    <row r="1063" spans="1:7" ht="12" customHeight="1">
      <c r="A1063" s="6">
        <v>44797</v>
      </c>
      <c r="B1063" s="7">
        <v>143317610</v>
      </c>
      <c r="C1063" s="3">
        <v>5540246174174</v>
      </c>
      <c r="D1063" s="6">
        <v>44801</v>
      </c>
      <c r="E1063" s="8">
        <v>232</v>
      </c>
      <c r="F1063" s="23" t="str">
        <f>IFERROR(VLOOKUP(C1063, 'Catégorie des articles'!$A:$D, 4, FALSE), "")</f>
        <v>CREMERIE</v>
      </c>
      <c r="G1063">
        <f t="shared" si="16"/>
        <v>202208</v>
      </c>
    </row>
    <row r="1064" spans="1:7" ht="12" customHeight="1">
      <c r="A1064" s="9">
        <v>44797</v>
      </c>
      <c r="B1064" s="10">
        <v>143317610</v>
      </c>
      <c r="C1064" s="3">
        <v>5540246188175</v>
      </c>
      <c r="D1064" s="9">
        <v>44801</v>
      </c>
      <c r="E1064" s="11">
        <v>93</v>
      </c>
      <c r="F1064" s="23" t="str">
        <f>IFERROR(VLOOKUP(C1064, 'Catégorie des articles'!$A:$D, 4, FALSE), "")</f>
        <v>CREMERIE</v>
      </c>
      <c r="G1064">
        <f t="shared" si="16"/>
        <v>202208</v>
      </c>
    </row>
    <row r="1065" spans="1:7" ht="12" customHeight="1">
      <c r="A1065" s="6">
        <v>44797</v>
      </c>
      <c r="B1065" s="7">
        <v>143317615</v>
      </c>
      <c r="C1065" s="3">
        <v>5540246185429</v>
      </c>
      <c r="D1065" s="6">
        <v>44802</v>
      </c>
      <c r="E1065" s="8">
        <v>70</v>
      </c>
      <c r="F1065" s="23" t="str">
        <f>IFERROR(VLOOKUP(C1065, 'Catégorie des articles'!$A:$D, 4, FALSE), "")</f>
        <v>CREMERIE</v>
      </c>
      <c r="G1065">
        <f t="shared" si="16"/>
        <v>202208</v>
      </c>
    </row>
    <row r="1066" spans="1:7" ht="12" customHeight="1">
      <c r="A1066" s="9">
        <v>44797</v>
      </c>
      <c r="B1066" s="10">
        <v>143317615</v>
      </c>
      <c r="C1066" s="3">
        <v>5540246186325</v>
      </c>
      <c r="D1066" s="9">
        <v>44802</v>
      </c>
      <c r="E1066" s="11">
        <v>140</v>
      </c>
      <c r="F1066" s="23" t="str">
        <f>IFERROR(VLOOKUP(C1066, 'Catégorie des articles'!$A:$D, 4, FALSE), "")</f>
        <v>CREMERIE</v>
      </c>
      <c r="G1066">
        <f t="shared" si="16"/>
        <v>202208</v>
      </c>
    </row>
    <row r="1067" spans="1:7" ht="12" customHeight="1">
      <c r="A1067" s="6">
        <v>44797</v>
      </c>
      <c r="B1067" s="7">
        <v>143317631</v>
      </c>
      <c r="C1067" s="3">
        <v>5540246187882</v>
      </c>
      <c r="D1067" s="6">
        <v>44878</v>
      </c>
      <c r="E1067" s="8">
        <v>163</v>
      </c>
      <c r="F1067" s="23" t="str">
        <f>IFERROR(VLOOKUP(C1067, 'Catégorie des articles'!$A:$D, 4, FALSE), "")</f>
        <v>EMBALLAGES</v>
      </c>
      <c r="G1067">
        <f t="shared" si="16"/>
        <v>202211</v>
      </c>
    </row>
    <row r="1068" spans="1:7" ht="12" customHeight="1">
      <c r="A1068" s="6">
        <v>44797</v>
      </c>
      <c r="B1068" s="7">
        <v>143317631</v>
      </c>
      <c r="C1068" s="3">
        <v>5540246187995</v>
      </c>
      <c r="D1068" s="6">
        <v>44878</v>
      </c>
      <c r="E1068" s="8">
        <v>464</v>
      </c>
      <c r="F1068" s="23" t="str">
        <f>IFERROR(VLOOKUP(C1068, 'Catégorie des articles'!$A:$D, 4, FALSE), "")</f>
        <v>EMBALLAGES</v>
      </c>
      <c r="G1068">
        <f t="shared" si="16"/>
        <v>202211</v>
      </c>
    </row>
    <row r="1069" spans="1:7" ht="12" customHeight="1">
      <c r="A1069" s="9">
        <v>44797</v>
      </c>
      <c r="B1069" s="10">
        <v>143317631</v>
      </c>
      <c r="C1069" s="3">
        <v>5540246187997</v>
      </c>
      <c r="D1069" s="9">
        <v>44878</v>
      </c>
      <c r="E1069" s="11">
        <v>205</v>
      </c>
      <c r="F1069" s="23" t="str">
        <f>IFERROR(VLOOKUP(C1069, 'Catégorie des articles'!$A:$D, 4, FALSE), "")</f>
        <v>EMBALLAGES</v>
      </c>
      <c r="G1069">
        <f t="shared" si="16"/>
        <v>202211</v>
      </c>
    </row>
    <row r="1070" spans="1:7" ht="12" customHeight="1">
      <c r="A1070" s="6">
        <v>44798</v>
      </c>
      <c r="B1070" s="7">
        <v>143317638</v>
      </c>
      <c r="C1070" s="3">
        <v>5540246172539</v>
      </c>
      <c r="D1070" s="6">
        <v>44802</v>
      </c>
      <c r="E1070" s="8">
        <v>47</v>
      </c>
      <c r="F1070" s="23" t="str">
        <f>IFERROR(VLOOKUP(C1070, 'Catégorie des articles'!$A:$D, 4, FALSE), "")</f>
        <v>CREMERIE</v>
      </c>
      <c r="G1070">
        <f t="shared" si="16"/>
        <v>202208</v>
      </c>
    </row>
    <row r="1071" spans="1:7" ht="12" customHeight="1">
      <c r="A1071" s="9">
        <v>44798</v>
      </c>
      <c r="B1071" s="10">
        <v>143317638</v>
      </c>
      <c r="C1071" s="3">
        <v>5540246172669</v>
      </c>
      <c r="D1071" s="9">
        <v>44802</v>
      </c>
      <c r="E1071" s="11">
        <v>279</v>
      </c>
      <c r="F1071" s="23" t="str">
        <f>IFERROR(VLOOKUP(C1071, 'Catégorie des articles'!$A:$D, 4, FALSE), "")</f>
        <v>CREMERIE</v>
      </c>
      <c r="G1071">
        <f t="shared" si="16"/>
        <v>202208</v>
      </c>
    </row>
    <row r="1072" spans="1:7" ht="12" customHeight="1">
      <c r="A1072" s="6">
        <v>44798</v>
      </c>
      <c r="B1072" s="7">
        <v>143317638</v>
      </c>
      <c r="C1072" s="3">
        <v>5540246176699</v>
      </c>
      <c r="D1072" s="6">
        <v>44802</v>
      </c>
      <c r="E1072" s="8">
        <v>4176</v>
      </c>
      <c r="F1072" s="23" t="str">
        <f>IFERROR(VLOOKUP(C1072, 'Catégorie des articles'!$A:$D, 4, FALSE), "")</f>
        <v>CREMERIE</v>
      </c>
      <c r="G1072">
        <f t="shared" si="16"/>
        <v>202208</v>
      </c>
    </row>
    <row r="1073" spans="1:7" ht="12" customHeight="1">
      <c r="A1073" s="9">
        <v>44798</v>
      </c>
      <c r="B1073" s="10">
        <v>143317638</v>
      </c>
      <c r="C1073" s="3">
        <v>5540246188175</v>
      </c>
      <c r="D1073" s="9">
        <v>44802</v>
      </c>
      <c r="E1073" s="11">
        <v>70</v>
      </c>
      <c r="F1073" s="23" t="str">
        <f>IFERROR(VLOOKUP(C1073, 'Catégorie des articles'!$A:$D, 4, FALSE), "")</f>
        <v>CREMERIE</v>
      </c>
      <c r="G1073">
        <f t="shared" si="16"/>
        <v>202208</v>
      </c>
    </row>
    <row r="1074" spans="1:7" ht="12" customHeight="1">
      <c r="A1074" s="6">
        <v>44798</v>
      </c>
      <c r="B1074" s="7">
        <v>143317638</v>
      </c>
      <c r="C1074" s="3">
        <v>5540246192102</v>
      </c>
      <c r="D1074" s="6">
        <v>44802</v>
      </c>
      <c r="E1074" s="8">
        <v>4009</v>
      </c>
      <c r="F1074" s="23" t="str">
        <f>IFERROR(VLOOKUP(C1074, 'Catégorie des articles'!$A:$D, 4, FALSE), "")</f>
        <v>CREMERIE</v>
      </c>
      <c r="G1074">
        <f t="shared" si="16"/>
        <v>202208</v>
      </c>
    </row>
    <row r="1075" spans="1:7" ht="12" customHeight="1">
      <c r="A1075" s="9">
        <v>44798</v>
      </c>
      <c r="B1075" s="10">
        <v>143317639</v>
      </c>
      <c r="C1075" s="3">
        <v>5540246187987</v>
      </c>
      <c r="D1075" s="9">
        <v>44802</v>
      </c>
      <c r="E1075" s="11">
        <v>1114</v>
      </c>
      <c r="F1075" s="23" t="str">
        <f>IFERROR(VLOOKUP(C1075, 'Catégorie des articles'!$A:$D, 4, FALSE), "")</f>
        <v>CREMERIE</v>
      </c>
      <c r="G1075">
        <f t="shared" si="16"/>
        <v>202208</v>
      </c>
    </row>
    <row r="1076" spans="1:7" ht="12" customHeight="1">
      <c r="A1076" s="6">
        <v>44798</v>
      </c>
      <c r="B1076" s="7">
        <v>143317642</v>
      </c>
      <c r="C1076" s="3">
        <v>5540246173472</v>
      </c>
      <c r="D1076" s="6">
        <v>44805</v>
      </c>
      <c r="E1076" s="8">
        <v>279</v>
      </c>
      <c r="F1076" s="23" t="str">
        <f>IFERROR(VLOOKUP(C1076, 'Catégorie des articles'!$A:$D, 4, FALSE), "")</f>
        <v>CREMERIE</v>
      </c>
      <c r="G1076">
        <f t="shared" si="16"/>
        <v>202209</v>
      </c>
    </row>
    <row r="1077" spans="1:7" ht="12" customHeight="1">
      <c r="A1077" s="9">
        <v>44798</v>
      </c>
      <c r="B1077" s="10">
        <v>143317642</v>
      </c>
      <c r="C1077" s="3">
        <v>5540246175047</v>
      </c>
      <c r="D1077" s="9">
        <v>44805</v>
      </c>
      <c r="E1077" s="11">
        <v>279</v>
      </c>
      <c r="F1077" s="23" t="str">
        <f>IFERROR(VLOOKUP(C1077, 'Catégorie des articles'!$A:$D, 4, FALSE), "")</f>
        <v>CREMERIE</v>
      </c>
      <c r="G1077">
        <f t="shared" si="16"/>
        <v>202209</v>
      </c>
    </row>
    <row r="1078" spans="1:7" ht="12" customHeight="1">
      <c r="A1078" s="6">
        <v>44798</v>
      </c>
      <c r="B1078" s="7">
        <v>143317642</v>
      </c>
      <c r="C1078" s="3">
        <v>5540246175049</v>
      </c>
      <c r="D1078" s="6">
        <v>44805</v>
      </c>
      <c r="E1078" s="8">
        <v>557</v>
      </c>
      <c r="F1078" s="23" t="str">
        <f>IFERROR(VLOOKUP(C1078, 'Catégorie des articles'!$A:$D, 4, FALSE), "")</f>
        <v>CREMERIE</v>
      </c>
      <c r="G1078">
        <f t="shared" si="16"/>
        <v>202209</v>
      </c>
    </row>
    <row r="1079" spans="1:7" ht="12" customHeight="1">
      <c r="A1079" s="9">
        <v>44798</v>
      </c>
      <c r="B1079" s="10">
        <v>143317642</v>
      </c>
      <c r="C1079" s="3">
        <v>5540246175050</v>
      </c>
      <c r="D1079" s="9">
        <v>44805</v>
      </c>
      <c r="E1079" s="11">
        <v>557</v>
      </c>
      <c r="F1079" s="23" t="str">
        <f>IFERROR(VLOOKUP(C1079, 'Catégorie des articles'!$A:$D, 4, FALSE), "")</f>
        <v>CREMERIE</v>
      </c>
      <c r="G1079">
        <f t="shared" si="16"/>
        <v>202209</v>
      </c>
    </row>
    <row r="1080" spans="1:7" ht="12" customHeight="1">
      <c r="A1080" s="6">
        <v>44798</v>
      </c>
      <c r="B1080" s="7">
        <v>143317642</v>
      </c>
      <c r="C1080" s="3">
        <v>5540246190743</v>
      </c>
      <c r="D1080" s="6">
        <v>44805</v>
      </c>
      <c r="E1080" s="8">
        <v>279</v>
      </c>
      <c r="F1080" s="23" t="str">
        <f>IFERROR(VLOOKUP(C1080, 'Catégorie des articles'!$A:$D, 4, FALSE), "")</f>
        <v>CREMERIE</v>
      </c>
      <c r="G1080">
        <f t="shared" si="16"/>
        <v>202209</v>
      </c>
    </row>
    <row r="1081" spans="1:7" ht="12" customHeight="1">
      <c r="A1081" s="9">
        <v>44801</v>
      </c>
      <c r="B1081" s="10">
        <v>143327658</v>
      </c>
      <c r="C1081" s="3">
        <v>5540246172978</v>
      </c>
      <c r="D1081" s="9">
        <v>44803</v>
      </c>
      <c r="E1081" s="11">
        <v>836</v>
      </c>
      <c r="F1081" s="23" t="str">
        <f>IFERROR(VLOOKUP(C1081, 'Catégorie des articles'!$A:$D, 4, FALSE), "")</f>
        <v>CREMERIE</v>
      </c>
      <c r="G1081">
        <f t="shared" si="16"/>
        <v>202208</v>
      </c>
    </row>
    <row r="1082" spans="1:7" ht="12" customHeight="1">
      <c r="A1082" s="6">
        <v>44801</v>
      </c>
      <c r="B1082" s="7">
        <v>143327658</v>
      </c>
      <c r="C1082" s="3">
        <v>5540246174174</v>
      </c>
      <c r="D1082" s="6">
        <v>44803</v>
      </c>
      <c r="E1082" s="8">
        <v>232</v>
      </c>
      <c r="F1082" s="23" t="str">
        <f>IFERROR(VLOOKUP(C1082, 'Catégorie des articles'!$A:$D, 4, FALSE), "")</f>
        <v>CREMERIE</v>
      </c>
      <c r="G1082">
        <f t="shared" si="16"/>
        <v>202208</v>
      </c>
    </row>
    <row r="1083" spans="1:7" ht="12" customHeight="1">
      <c r="A1083" s="6">
        <v>44801</v>
      </c>
      <c r="B1083" s="7">
        <v>143327658</v>
      </c>
      <c r="C1083" s="3">
        <v>5540246176699</v>
      </c>
      <c r="D1083" s="6">
        <v>44803</v>
      </c>
      <c r="E1083" s="8">
        <v>6264</v>
      </c>
      <c r="F1083" s="23" t="str">
        <f>IFERROR(VLOOKUP(C1083, 'Catégorie des articles'!$A:$D, 4, FALSE), "")</f>
        <v>CREMERIE</v>
      </c>
      <c r="G1083">
        <f t="shared" si="16"/>
        <v>202208</v>
      </c>
    </row>
    <row r="1084" spans="1:7" ht="12" customHeight="1">
      <c r="A1084" s="9">
        <v>44801</v>
      </c>
      <c r="B1084" s="10">
        <v>143327660</v>
      </c>
      <c r="C1084" s="3">
        <v>5540246176295</v>
      </c>
      <c r="D1084" s="9">
        <v>44803</v>
      </c>
      <c r="E1084" s="11">
        <v>4455</v>
      </c>
      <c r="F1084" s="23" t="str">
        <f>IFERROR(VLOOKUP(C1084, 'Catégorie des articles'!$A:$D, 4, FALSE), "")</f>
        <v>CREMERIE</v>
      </c>
      <c r="G1084">
        <f t="shared" si="16"/>
        <v>202208</v>
      </c>
    </row>
    <row r="1085" spans="1:7" ht="12" customHeight="1">
      <c r="A1085" s="6">
        <v>44801</v>
      </c>
      <c r="B1085" s="7">
        <v>143327660</v>
      </c>
      <c r="C1085" s="3">
        <v>5540246188200</v>
      </c>
      <c r="D1085" s="6">
        <v>44803</v>
      </c>
      <c r="E1085" s="8">
        <v>1485</v>
      </c>
      <c r="F1085" s="23" t="str">
        <f>IFERROR(VLOOKUP(C1085, 'Catégorie des articles'!$A:$D, 4, FALSE), "")</f>
        <v>CREMERIE</v>
      </c>
      <c r="G1085">
        <f t="shared" si="16"/>
        <v>202208</v>
      </c>
    </row>
    <row r="1086" spans="1:7" ht="12" customHeight="1">
      <c r="A1086" s="6">
        <v>44801</v>
      </c>
      <c r="B1086" s="7">
        <v>143327661</v>
      </c>
      <c r="C1086" s="3">
        <v>5540246194632</v>
      </c>
      <c r="D1086" s="6">
        <v>44801</v>
      </c>
      <c r="E1086" s="8">
        <v>335</v>
      </c>
      <c r="F1086" s="23" t="str">
        <f>IFERROR(VLOOKUP(C1086, 'Catégorie des articles'!$A:$D, 4, FALSE), "")</f>
        <v>BOULANGERIE</v>
      </c>
      <c r="G1086">
        <f t="shared" si="16"/>
        <v>202208</v>
      </c>
    </row>
    <row r="1087" spans="1:7" ht="12" customHeight="1">
      <c r="A1087" s="9">
        <v>44801</v>
      </c>
      <c r="B1087" s="10">
        <v>143327671</v>
      </c>
      <c r="C1087" s="3">
        <v>5540246194632</v>
      </c>
      <c r="D1087" s="9">
        <v>44810</v>
      </c>
      <c r="E1087" s="11">
        <v>1337</v>
      </c>
      <c r="F1087" s="23" t="str">
        <f>IFERROR(VLOOKUP(C1087, 'Catégorie des articles'!$A:$D, 4, FALSE), "")</f>
        <v>BOULANGERIE</v>
      </c>
      <c r="G1087">
        <f t="shared" si="16"/>
        <v>202209</v>
      </c>
    </row>
    <row r="1088" spans="1:7" ht="12" customHeight="1">
      <c r="A1088" s="6">
        <v>44801</v>
      </c>
      <c r="B1088" s="7">
        <v>143327673</v>
      </c>
      <c r="C1088" s="3">
        <v>5540246184036</v>
      </c>
      <c r="D1088" s="6">
        <v>44812</v>
      </c>
      <c r="E1088" s="8">
        <v>130</v>
      </c>
      <c r="F1088" s="23" t="str">
        <f>IFERROR(VLOOKUP(C1088, 'Catégorie des articles'!$A:$D, 4, FALSE), "")</f>
        <v>BOULANGERIE</v>
      </c>
      <c r="G1088">
        <f t="shared" si="16"/>
        <v>202209</v>
      </c>
    </row>
    <row r="1089" spans="1:7" ht="12" customHeight="1">
      <c r="A1089" s="9">
        <v>44801</v>
      </c>
      <c r="B1089" s="10">
        <v>143327673</v>
      </c>
      <c r="C1089" s="3">
        <v>5540246191596</v>
      </c>
      <c r="D1089" s="9">
        <v>44812</v>
      </c>
      <c r="E1089" s="11">
        <v>75</v>
      </c>
      <c r="F1089" s="23" t="str">
        <f>IFERROR(VLOOKUP(C1089, 'Catégorie des articles'!$A:$D, 4, FALSE), "")</f>
        <v>BOULANGERIE</v>
      </c>
      <c r="G1089">
        <f t="shared" si="16"/>
        <v>202209</v>
      </c>
    </row>
    <row r="1090" spans="1:7" ht="12" customHeight="1">
      <c r="A1090" s="6">
        <v>44801</v>
      </c>
      <c r="B1090" s="7">
        <v>143327674</v>
      </c>
      <c r="C1090" s="3">
        <v>5540246171759</v>
      </c>
      <c r="D1090" s="6">
        <v>44809</v>
      </c>
      <c r="E1090" s="8">
        <v>3759</v>
      </c>
      <c r="F1090" s="23" t="str">
        <f>IFERROR(VLOOKUP(C1090, 'Catégorie des articles'!$A:$D, 4, FALSE), "")</f>
        <v>MIX LEGUMES</v>
      </c>
      <c r="G1090">
        <f t="shared" si="16"/>
        <v>202209</v>
      </c>
    </row>
    <row r="1091" spans="1:7" ht="12" customHeight="1">
      <c r="A1091" s="9">
        <v>44801</v>
      </c>
      <c r="B1091" s="10">
        <v>143327674</v>
      </c>
      <c r="C1091" s="3">
        <v>5540246177133</v>
      </c>
      <c r="D1091" s="9">
        <v>44809</v>
      </c>
      <c r="E1091" s="11">
        <v>6125</v>
      </c>
      <c r="F1091" s="23" t="str">
        <f>IFERROR(VLOOKUP(C1091, 'Catégorie des articles'!$A:$D, 4, FALSE), "")</f>
        <v>MIX LEGUMES</v>
      </c>
      <c r="G1091">
        <f t="shared" ref="G1091:G1154" si="17">YEAR(D1091)*100 + MONTH(D1091)</f>
        <v>202209</v>
      </c>
    </row>
    <row r="1092" spans="1:7" ht="12" customHeight="1">
      <c r="A1092" s="6">
        <v>44801</v>
      </c>
      <c r="B1092" s="7">
        <v>143327674</v>
      </c>
      <c r="C1092" s="3">
        <v>5540246192148</v>
      </c>
      <c r="D1092" s="6">
        <v>44809</v>
      </c>
      <c r="E1092" s="8">
        <v>26448</v>
      </c>
      <c r="F1092" s="23" t="str">
        <f>IFERROR(VLOOKUP(C1092, 'Catégorie des articles'!$A:$D, 4, FALSE), "")</f>
        <v>MIX LEGUMES</v>
      </c>
      <c r="G1092">
        <f t="shared" si="17"/>
        <v>202209</v>
      </c>
    </row>
    <row r="1093" spans="1:7" ht="12" customHeight="1">
      <c r="A1093" s="6">
        <v>44801</v>
      </c>
      <c r="B1093" s="7">
        <v>143327687</v>
      </c>
      <c r="C1093" s="3">
        <v>5540246183587</v>
      </c>
      <c r="D1093" s="6">
        <v>44808</v>
      </c>
      <c r="E1093" s="8">
        <v>502</v>
      </c>
      <c r="F1093" s="23" t="str">
        <f>IFERROR(VLOOKUP(C1093, 'Catégorie des articles'!$A:$D, 4, FALSE), "")</f>
        <v>MIX LEGUMES</v>
      </c>
      <c r="G1093">
        <f t="shared" si="17"/>
        <v>202209</v>
      </c>
    </row>
    <row r="1094" spans="1:7" ht="12" customHeight="1">
      <c r="A1094" s="6">
        <v>44802</v>
      </c>
      <c r="B1094" s="7">
        <v>143327691</v>
      </c>
      <c r="C1094" s="3">
        <v>5540246176295</v>
      </c>
      <c r="D1094" s="6">
        <v>44804</v>
      </c>
      <c r="E1094" s="8">
        <v>7424</v>
      </c>
      <c r="F1094" s="23" t="str">
        <f>IFERROR(VLOOKUP(C1094, 'Catégorie des articles'!$A:$D, 4, FALSE), "")</f>
        <v>CREMERIE</v>
      </c>
      <c r="G1094">
        <f t="shared" si="17"/>
        <v>202208</v>
      </c>
    </row>
    <row r="1095" spans="1:7" ht="12" customHeight="1">
      <c r="A1095" s="6">
        <v>44802</v>
      </c>
      <c r="B1095" s="7">
        <v>143327691</v>
      </c>
      <c r="C1095" s="3">
        <v>5540246187987</v>
      </c>
      <c r="D1095" s="6">
        <v>44804</v>
      </c>
      <c r="E1095" s="8">
        <v>3341</v>
      </c>
      <c r="F1095" s="23" t="str">
        <f>IFERROR(VLOOKUP(C1095, 'Catégorie des articles'!$A:$D, 4, FALSE), "")</f>
        <v>CREMERIE</v>
      </c>
      <c r="G1095">
        <f t="shared" si="17"/>
        <v>202208</v>
      </c>
    </row>
    <row r="1096" spans="1:7" ht="12" customHeight="1">
      <c r="A1096" s="9">
        <v>44802</v>
      </c>
      <c r="B1096" s="10">
        <v>143327691</v>
      </c>
      <c r="C1096" s="3">
        <v>5540246188200</v>
      </c>
      <c r="D1096" s="9">
        <v>44804</v>
      </c>
      <c r="E1096" s="11">
        <v>1485</v>
      </c>
      <c r="F1096" s="23" t="str">
        <f>IFERROR(VLOOKUP(C1096, 'Catégorie des articles'!$A:$D, 4, FALSE), "")</f>
        <v>CREMERIE</v>
      </c>
      <c r="G1096">
        <f t="shared" si="17"/>
        <v>202208</v>
      </c>
    </row>
    <row r="1097" spans="1:7" ht="12" customHeight="1">
      <c r="A1097" s="9">
        <v>44802</v>
      </c>
      <c r="B1097" s="10">
        <v>143327693</v>
      </c>
      <c r="C1097" s="3">
        <v>5540246174174</v>
      </c>
      <c r="D1097" s="9">
        <v>44804</v>
      </c>
      <c r="E1097" s="11">
        <v>232</v>
      </c>
      <c r="F1097" s="23" t="str">
        <f>IFERROR(VLOOKUP(C1097, 'Catégorie des articles'!$A:$D, 4, FALSE), "")</f>
        <v>CREMERIE</v>
      </c>
      <c r="G1097">
        <f t="shared" si="17"/>
        <v>202208</v>
      </c>
    </row>
    <row r="1098" spans="1:7" ht="12" customHeight="1">
      <c r="A1098" s="9">
        <v>44802</v>
      </c>
      <c r="B1098" s="10">
        <v>143327698</v>
      </c>
      <c r="C1098" s="3">
        <v>5540246195241</v>
      </c>
      <c r="D1098" s="9">
        <v>44803</v>
      </c>
      <c r="E1098" s="11">
        <v>743</v>
      </c>
      <c r="F1098" s="23" t="str">
        <f>IFERROR(VLOOKUP(C1098, 'Catégorie des articles'!$A:$D, 4, FALSE), "")</f>
        <v>MIX LEGUMES</v>
      </c>
      <c r="G1098">
        <f t="shared" si="17"/>
        <v>202208</v>
      </c>
    </row>
    <row r="1099" spans="1:7" ht="12" customHeight="1">
      <c r="A1099" s="6">
        <v>44802</v>
      </c>
      <c r="B1099" s="7">
        <v>143327698</v>
      </c>
      <c r="C1099" s="3">
        <v>5540246195242</v>
      </c>
      <c r="D1099" s="6">
        <v>44803</v>
      </c>
      <c r="E1099" s="8">
        <v>743</v>
      </c>
      <c r="F1099" s="23" t="str">
        <f>IFERROR(VLOOKUP(C1099, 'Catégorie des articles'!$A:$D, 4, FALSE), "")</f>
        <v>MIX LEGUMES</v>
      </c>
      <c r="G1099">
        <f t="shared" si="17"/>
        <v>202208</v>
      </c>
    </row>
    <row r="1100" spans="1:7" ht="12" customHeight="1">
      <c r="A1100" s="9">
        <v>44802</v>
      </c>
      <c r="B1100" s="10">
        <v>143327702</v>
      </c>
      <c r="C1100" s="3">
        <v>5540246181061</v>
      </c>
      <c r="D1100" s="9">
        <v>44816</v>
      </c>
      <c r="E1100" s="11">
        <v>2205</v>
      </c>
      <c r="F1100" s="23" t="str">
        <f>IFERROR(VLOOKUP(C1100, 'Catégorie des articles'!$A:$D, 4, FALSE), "")</f>
        <v>VOLAILLE</v>
      </c>
      <c r="G1100">
        <f t="shared" si="17"/>
        <v>202209</v>
      </c>
    </row>
    <row r="1101" spans="1:7" ht="12" customHeight="1">
      <c r="A1101" s="6">
        <v>44802</v>
      </c>
      <c r="B1101" s="7">
        <v>143327702</v>
      </c>
      <c r="C1101" s="3">
        <v>5540246183547</v>
      </c>
      <c r="D1101" s="6">
        <v>44816</v>
      </c>
      <c r="E1101" s="8">
        <v>5568</v>
      </c>
      <c r="F1101" s="23" t="str">
        <f>IFERROR(VLOOKUP(C1101, 'Catégorie des articles'!$A:$D, 4, FALSE), "")</f>
        <v>VOLAILLE</v>
      </c>
      <c r="G1101">
        <f t="shared" si="17"/>
        <v>202209</v>
      </c>
    </row>
    <row r="1102" spans="1:7" ht="12" customHeight="1">
      <c r="A1102" s="9">
        <v>44802</v>
      </c>
      <c r="B1102" s="10">
        <v>143327702</v>
      </c>
      <c r="C1102" s="3">
        <v>5540246185278</v>
      </c>
      <c r="D1102" s="9">
        <v>44816</v>
      </c>
      <c r="E1102" s="11">
        <v>1120</v>
      </c>
      <c r="F1102" s="23" t="str">
        <f>IFERROR(VLOOKUP(C1102, 'Catégorie des articles'!$A:$D, 4, FALSE), "")</f>
        <v>VOLAILLE</v>
      </c>
      <c r="G1102">
        <f t="shared" si="17"/>
        <v>202209</v>
      </c>
    </row>
    <row r="1103" spans="1:7" ht="12" customHeight="1">
      <c r="A1103" s="6">
        <v>44802</v>
      </c>
      <c r="B1103" s="7">
        <v>143327703</v>
      </c>
      <c r="C1103" s="3">
        <v>5540246173906</v>
      </c>
      <c r="D1103" s="6">
        <v>44815</v>
      </c>
      <c r="E1103" s="8">
        <v>1634</v>
      </c>
      <c r="F1103" s="23" t="str">
        <f>IFERROR(VLOOKUP(C1103, 'Catégorie des articles'!$A:$D, 4, FALSE), "")</f>
        <v>VOLAILLE</v>
      </c>
      <c r="G1103">
        <f t="shared" si="17"/>
        <v>202209</v>
      </c>
    </row>
    <row r="1104" spans="1:7" ht="12" customHeight="1">
      <c r="A1104" s="9">
        <v>44802</v>
      </c>
      <c r="B1104" s="10">
        <v>143327703</v>
      </c>
      <c r="C1104" s="3">
        <v>5540246181016</v>
      </c>
      <c r="D1104" s="9">
        <v>44815</v>
      </c>
      <c r="E1104" s="11">
        <v>5346</v>
      </c>
      <c r="F1104" s="23" t="str">
        <f>IFERROR(VLOOKUP(C1104, 'Catégorie des articles'!$A:$D, 4, FALSE), "")</f>
        <v>VOLAILLE</v>
      </c>
      <c r="G1104">
        <f t="shared" si="17"/>
        <v>202209</v>
      </c>
    </row>
    <row r="1105" spans="1:7" ht="12" customHeight="1">
      <c r="A1105" s="9">
        <v>44802</v>
      </c>
      <c r="B1105" s="10">
        <v>143327712</v>
      </c>
      <c r="C1105" s="3">
        <v>5540246195250</v>
      </c>
      <c r="D1105" s="9">
        <v>44805</v>
      </c>
      <c r="E1105" s="11">
        <v>335</v>
      </c>
      <c r="F1105" s="23" t="str">
        <f>IFERROR(VLOOKUP(C1105, 'Catégorie des articles'!$A:$D, 4, FALSE), "")</f>
        <v>BOULANGERIE</v>
      </c>
      <c r="G1105">
        <f t="shared" si="17"/>
        <v>202209</v>
      </c>
    </row>
    <row r="1106" spans="1:7" ht="12" customHeight="1">
      <c r="A1106" s="6">
        <v>44803</v>
      </c>
      <c r="B1106" s="7">
        <v>143327718</v>
      </c>
      <c r="C1106" s="3">
        <v>5540246176294</v>
      </c>
      <c r="D1106" s="6">
        <v>44805</v>
      </c>
      <c r="E1106" s="8">
        <v>1485</v>
      </c>
      <c r="F1106" s="23" t="str">
        <f>IFERROR(VLOOKUP(C1106, 'Catégorie des articles'!$A:$D, 4, FALSE), "")</f>
        <v>CREMERIE</v>
      </c>
      <c r="G1106">
        <f t="shared" si="17"/>
        <v>202209</v>
      </c>
    </row>
    <row r="1107" spans="1:7" ht="12" customHeight="1">
      <c r="A1107" s="9">
        <v>44803</v>
      </c>
      <c r="B1107" s="10">
        <v>143327718</v>
      </c>
      <c r="C1107" s="3">
        <v>5540246176295</v>
      </c>
      <c r="D1107" s="9">
        <v>44805</v>
      </c>
      <c r="E1107" s="11">
        <v>7424</v>
      </c>
      <c r="F1107" s="23" t="str">
        <f>IFERROR(VLOOKUP(C1107, 'Catégorie des articles'!$A:$D, 4, FALSE), "")</f>
        <v>CREMERIE</v>
      </c>
      <c r="G1107">
        <f t="shared" si="17"/>
        <v>202209</v>
      </c>
    </row>
    <row r="1108" spans="1:7" ht="12" customHeight="1">
      <c r="A1108" s="9">
        <v>44803</v>
      </c>
      <c r="B1108" s="10">
        <v>143327718</v>
      </c>
      <c r="C1108" s="3">
        <v>5540246187987</v>
      </c>
      <c r="D1108" s="9">
        <v>44805</v>
      </c>
      <c r="E1108" s="11">
        <v>4455</v>
      </c>
      <c r="F1108" s="23" t="str">
        <f>IFERROR(VLOOKUP(C1108, 'Catégorie des articles'!$A:$D, 4, FALSE), "")</f>
        <v>CREMERIE</v>
      </c>
      <c r="G1108">
        <f t="shared" si="17"/>
        <v>202209</v>
      </c>
    </row>
    <row r="1109" spans="1:7" ht="12" customHeight="1">
      <c r="A1109" s="6">
        <v>44803</v>
      </c>
      <c r="B1109" s="7">
        <v>143327718</v>
      </c>
      <c r="C1109" s="3">
        <v>5540246188200</v>
      </c>
      <c r="D1109" s="6">
        <v>44805</v>
      </c>
      <c r="E1109" s="8">
        <v>1485</v>
      </c>
      <c r="F1109" s="23" t="str">
        <f>IFERROR(VLOOKUP(C1109, 'Catégorie des articles'!$A:$D, 4, FALSE), "")</f>
        <v>CREMERIE</v>
      </c>
      <c r="G1109">
        <f t="shared" si="17"/>
        <v>202209</v>
      </c>
    </row>
    <row r="1110" spans="1:7" ht="12" customHeight="1">
      <c r="A1110" s="6">
        <v>44803</v>
      </c>
      <c r="B1110" s="7">
        <v>143327720</v>
      </c>
      <c r="C1110" s="3">
        <v>5540246172669</v>
      </c>
      <c r="D1110" s="6">
        <v>44805</v>
      </c>
      <c r="E1110" s="8">
        <v>279</v>
      </c>
      <c r="F1110" s="23" t="str">
        <f>IFERROR(VLOOKUP(C1110, 'Catégorie des articles'!$A:$D, 4, FALSE), "")</f>
        <v>CREMERIE</v>
      </c>
      <c r="G1110">
        <f t="shared" si="17"/>
        <v>202209</v>
      </c>
    </row>
    <row r="1111" spans="1:7" ht="12" customHeight="1">
      <c r="A1111" s="9">
        <v>44803</v>
      </c>
      <c r="B1111" s="10">
        <v>143327720</v>
      </c>
      <c r="C1111" s="3">
        <v>5540246172978</v>
      </c>
      <c r="D1111" s="9">
        <v>44805</v>
      </c>
      <c r="E1111" s="11">
        <v>1671</v>
      </c>
      <c r="F1111" s="23" t="str">
        <f>IFERROR(VLOOKUP(C1111, 'Catégorie des articles'!$A:$D, 4, FALSE), "")</f>
        <v>CREMERIE</v>
      </c>
      <c r="G1111">
        <f t="shared" si="17"/>
        <v>202209</v>
      </c>
    </row>
    <row r="1112" spans="1:7" ht="12" customHeight="1">
      <c r="A1112" s="6">
        <v>44803</v>
      </c>
      <c r="B1112" s="7">
        <v>143327720</v>
      </c>
      <c r="C1112" s="3">
        <v>5540246174174</v>
      </c>
      <c r="D1112" s="6">
        <v>44805</v>
      </c>
      <c r="E1112" s="8">
        <v>464</v>
      </c>
      <c r="F1112" s="23" t="str">
        <f>IFERROR(VLOOKUP(C1112, 'Catégorie des articles'!$A:$D, 4, FALSE), "")</f>
        <v>CREMERIE</v>
      </c>
      <c r="G1112">
        <f t="shared" si="17"/>
        <v>202209</v>
      </c>
    </row>
    <row r="1113" spans="1:7" ht="12" customHeight="1">
      <c r="A1113" s="6">
        <v>44803</v>
      </c>
      <c r="B1113" s="7">
        <v>143327720</v>
      </c>
      <c r="C1113" s="3">
        <v>5540246176699</v>
      </c>
      <c r="D1113" s="6">
        <v>44805</v>
      </c>
      <c r="E1113" s="8">
        <v>8352</v>
      </c>
      <c r="F1113" s="23" t="str">
        <f>IFERROR(VLOOKUP(C1113, 'Catégorie des articles'!$A:$D, 4, FALSE), "")</f>
        <v>CREMERIE</v>
      </c>
      <c r="G1113">
        <f t="shared" si="17"/>
        <v>202209</v>
      </c>
    </row>
    <row r="1114" spans="1:7" ht="12" customHeight="1">
      <c r="A1114" s="6">
        <v>44803</v>
      </c>
      <c r="B1114" s="7">
        <v>143327720</v>
      </c>
      <c r="C1114" s="3">
        <v>5540246192102</v>
      </c>
      <c r="D1114" s="6">
        <v>44805</v>
      </c>
      <c r="E1114" s="8">
        <v>4009</v>
      </c>
      <c r="F1114" s="23" t="str">
        <f>IFERROR(VLOOKUP(C1114, 'Catégorie des articles'!$A:$D, 4, FALSE), "")</f>
        <v>CREMERIE</v>
      </c>
      <c r="G1114">
        <f t="shared" si="17"/>
        <v>202209</v>
      </c>
    </row>
    <row r="1115" spans="1:7" ht="12" customHeight="1">
      <c r="A1115" s="9">
        <v>44803</v>
      </c>
      <c r="B1115" s="10">
        <v>143327723</v>
      </c>
      <c r="C1115" s="3">
        <v>5540246174095</v>
      </c>
      <c r="D1115" s="9">
        <v>44809</v>
      </c>
      <c r="E1115" s="11">
        <v>70</v>
      </c>
      <c r="F1115" s="23" t="str">
        <f>IFERROR(VLOOKUP(C1115, 'Catégorie des articles'!$A:$D, 4, FALSE), "")</f>
        <v>CREMERIE</v>
      </c>
      <c r="G1115">
        <f t="shared" si="17"/>
        <v>202209</v>
      </c>
    </row>
    <row r="1116" spans="1:7" ht="12" customHeight="1">
      <c r="A1116" s="6">
        <v>44803</v>
      </c>
      <c r="B1116" s="7">
        <v>143327723</v>
      </c>
      <c r="C1116" s="3">
        <v>5540246175047</v>
      </c>
      <c r="D1116" s="6">
        <v>44809</v>
      </c>
      <c r="E1116" s="8">
        <v>418</v>
      </c>
      <c r="F1116" s="23" t="str">
        <f>IFERROR(VLOOKUP(C1116, 'Catégorie des articles'!$A:$D, 4, FALSE), "")</f>
        <v>CREMERIE</v>
      </c>
      <c r="G1116">
        <f t="shared" si="17"/>
        <v>202209</v>
      </c>
    </row>
    <row r="1117" spans="1:7" ht="12" customHeight="1">
      <c r="A1117" s="9">
        <v>44803</v>
      </c>
      <c r="B1117" s="10">
        <v>143327723</v>
      </c>
      <c r="C1117" s="3">
        <v>5540246175049</v>
      </c>
      <c r="D1117" s="9">
        <v>44809</v>
      </c>
      <c r="E1117" s="11">
        <v>836</v>
      </c>
      <c r="F1117" s="23" t="str">
        <f>IFERROR(VLOOKUP(C1117, 'Catégorie des articles'!$A:$D, 4, FALSE), "")</f>
        <v>CREMERIE</v>
      </c>
      <c r="G1117">
        <f t="shared" si="17"/>
        <v>202209</v>
      </c>
    </row>
    <row r="1118" spans="1:7" ht="12" customHeight="1">
      <c r="A1118" s="6">
        <v>44803</v>
      </c>
      <c r="B1118" s="7">
        <v>143327723</v>
      </c>
      <c r="C1118" s="3">
        <v>5540246175050</v>
      </c>
      <c r="D1118" s="6">
        <v>44809</v>
      </c>
      <c r="E1118" s="8">
        <v>836</v>
      </c>
      <c r="F1118" s="23" t="str">
        <f>IFERROR(VLOOKUP(C1118, 'Catégorie des articles'!$A:$D, 4, FALSE), "")</f>
        <v>CREMERIE</v>
      </c>
      <c r="G1118">
        <f t="shared" si="17"/>
        <v>202209</v>
      </c>
    </row>
    <row r="1119" spans="1:7" ht="12" customHeight="1">
      <c r="A1119" s="9">
        <v>44803</v>
      </c>
      <c r="B1119" s="10">
        <v>143327727</v>
      </c>
      <c r="C1119" s="3">
        <v>5540246194632</v>
      </c>
      <c r="D1119" s="9">
        <v>44804</v>
      </c>
      <c r="E1119" s="11">
        <v>335</v>
      </c>
      <c r="F1119" s="23" t="str">
        <f>IFERROR(VLOOKUP(C1119, 'Catégorie des articles'!$A:$D, 4, FALSE), "")</f>
        <v>BOULANGERIE</v>
      </c>
      <c r="G1119">
        <f t="shared" si="17"/>
        <v>202208</v>
      </c>
    </row>
    <row r="1120" spans="1:7" ht="12" customHeight="1">
      <c r="A1120" s="6">
        <v>44803</v>
      </c>
      <c r="B1120" s="7">
        <v>143327728</v>
      </c>
      <c r="C1120" s="3">
        <v>5540246170256</v>
      </c>
      <c r="D1120" s="6">
        <v>44810</v>
      </c>
      <c r="E1120" s="8">
        <v>706</v>
      </c>
      <c r="F1120" s="23" t="str">
        <f>IFERROR(VLOOKUP(C1120, 'Catégorie des articles'!$A:$D, 4, FALSE), "")</f>
        <v>BOULANGERIE</v>
      </c>
      <c r="G1120">
        <f t="shared" si="17"/>
        <v>202209</v>
      </c>
    </row>
    <row r="1121" spans="1:7" ht="12" customHeight="1">
      <c r="A1121" s="9">
        <v>44803</v>
      </c>
      <c r="B1121" s="10">
        <v>143327728</v>
      </c>
      <c r="C1121" s="3">
        <v>5540246171888</v>
      </c>
      <c r="D1121" s="9">
        <v>44810</v>
      </c>
      <c r="E1121" s="11">
        <v>1170</v>
      </c>
      <c r="F1121" s="23" t="str">
        <f>IFERROR(VLOOKUP(C1121, 'Catégorie des articles'!$A:$D, 4, FALSE), "")</f>
        <v>BOULANGERIE</v>
      </c>
      <c r="G1121">
        <f t="shared" si="17"/>
        <v>202209</v>
      </c>
    </row>
    <row r="1122" spans="1:7" ht="12" customHeight="1">
      <c r="A1122" s="9">
        <v>44803</v>
      </c>
      <c r="B1122" s="10">
        <v>143327736</v>
      </c>
      <c r="C1122" s="3">
        <v>5540246182684</v>
      </c>
      <c r="D1122" s="9">
        <v>44812</v>
      </c>
      <c r="E1122" s="11">
        <v>93</v>
      </c>
      <c r="F1122" s="23" t="str">
        <f>IFERROR(VLOOKUP(C1122, 'Catégorie des articles'!$A:$D, 4, FALSE), "")</f>
        <v>BOULANGERIE</v>
      </c>
      <c r="G1122">
        <f t="shared" si="17"/>
        <v>202209</v>
      </c>
    </row>
    <row r="1123" spans="1:7" ht="12" customHeight="1">
      <c r="A1123" s="6">
        <v>44803</v>
      </c>
      <c r="B1123" s="7">
        <v>143327736</v>
      </c>
      <c r="C1123" s="3">
        <v>5540246183844</v>
      </c>
      <c r="D1123" s="6">
        <v>44812</v>
      </c>
      <c r="E1123" s="8">
        <v>93</v>
      </c>
      <c r="F1123" s="23" t="str">
        <f>IFERROR(VLOOKUP(C1123, 'Catégorie des articles'!$A:$D, 4, FALSE), "")</f>
        <v>BOULANGERIE</v>
      </c>
      <c r="G1123">
        <f t="shared" si="17"/>
        <v>202209</v>
      </c>
    </row>
    <row r="1124" spans="1:7" ht="12" customHeight="1">
      <c r="A1124" s="6">
        <v>44804</v>
      </c>
      <c r="B1124" s="7">
        <v>143327747</v>
      </c>
      <c r="C1124" s="3">
        <v>5540246188200</v>
      </c>
      <c r="D1124" s="6">
        <v>44808</v>
      </c>
      <c r="E1124" s="8">
        <v>2228</v>
      </c>
      <c r="F1124" s="23" t="str">
        <f>IFERROR(VLOOKUP(C1124, 'Catégorie des articles'!$A:$D, 4, FALSE), "")</f>
        <v>CREMERIE</v>
      </c>
      <c r="G1124">
        <f t="shared" si="17"/>
        <v>202209</v>
      </c>
    </row>
    <row r="1125" spans="1:7" ht="12" customHeight="1">
      <c r="A1125" s="9">
        <v>44804</v>
      </c>
      <c r="B1125" s="10">
        <v>143327748</v>
      </c>
      <c r="C1125" s="3">
        <v>5540246174174</v>
      </c>
      <c r="D1125" s="9">
        <v>44808</v>
      </c>
      <c r="E1125" s="11">
        <v>348</v>
      </c>
      <c r="F1125" s="23" t="str">
        <f>IFERROR(VLOOKUP(C1125, 'Catégorie des articles'!$A:$D, 4, FALSE), "")</f>
        <v>CREMERIE</v>
      </c>
      <c r="G1125">
        <f t="shared" si="17"/>
        <v>202209</v>
      </c>
    </row>
    <row r="1126" spans="1:7" ht="12" customHeight="1">
      <c r="A1126" s="9">
        <v>44804</v>
      </c>
      <c r="B1126" s="10">
        <v>143327748</v>
      </c>
      <c r="C1126" s="3">
        <v>5540246176699</v>
      </c>
      <c r="D1126" s="9">
        <v>44808</v>
      </c>
      <c r="E1126" s="11">
        <v>6264</v>
      </c>
      <c r="F1126" s="23" t="str">
        <f>IFERROR(VLOOKUP(C1126, 'Catégorie des articles'!$A:$D, 4, FALSE), "")</f>
        <v>CREMERIE</v>
      </c>
      <c r="G1126">
        <f t="shared" si="17"/>
        <v>202209</v>
      </c>
    </row>
    <row r="1127" spans="1:7" ht="12" customHeight="1">
      <c r="A1127" s="9">
        <v>44804</v>
      </c>
      <c r="B1127" s="10">
        <v>143327748</v>
      </c>
      <c r="C1127" s="3">
        <v>5540246188175</v>
      </c>
      <c r="D1127" s="9">
        <v>44808</v>
      </c>
      <c r="E1127" s="11">
        <v>93</v>
      </c>
      <c r="F1127" s="23" t="str">
        <f>IFERROR(VLOOKUP(C1127, 'Catégorie des articles'!$A:$D, 4, FALSE), "")</f>
        <v>CREMERIE</v>
      </c>
      <c r="G1127">
        <f t="shared" si="17"/>
        <v>202209</v>
      </c>
    </row>
    <row r="1128" spans="1:7" ht="12" customHeight="1">
      <c r="A1128" s="6">
        <v>44804</v>
      </c>
      <c r="B1128" s="7">
        <v>143327751</v>
      </c>
      <c r="C1128" s="3">
        <v>5540246194632</v>
      </c>
      <c r="D1128" s="6">
        <v>44808</v>
      </c>
      <c r="E1128" s="8">
        <v>502</v>
      </c>
      <c r="F1128" s="23" t="str">
        <f>IFERROR(VLOOKUP(C1128, 'Catégorie des articles'!$A:$D, 4, FALSE), "")</f>
        <v>BOULANGERIE</v>
      </c>
      <c r="G1128">
        <f t="shared" si="17"/>
        <v>202209</v>
      </c>
    </row>
    <row r="1129" spans="1:7" ht="12" customHeight="1">
      <c r="A1129" s="9">
        <v>44804</v>
      </c>
      <c r="B1129" s="10">
        <v>143327755</v>
      </c>
      <c r="C1129" s="3">
        <v>5540246194632</v>
      </c>
      <c r="D1129" s="9">
        <v>44812</v>
      </c>
      <c r="E1129" s="11">
        <v>1420</v>
      </c>
      <c r="F1129" s="23" t="str">
        <f>IFERROR(VLOOKUP(C1129, 'Catégorie des articles'!$A:$D, 4, FALSE), "")</f>
        <v>BOULANGERIE</v>
      </c>
      <c r="G1129">
        <f t="shared" si="17"/>
        <v>202209</v>
      </c>
    </row>
    <row r="1130" spans="1:7" ht="12" customHeight="1">
      <c r="A1130" s="6">
        <v>44804</v>
      </c>
      <c r="B1130" s="7">
        <v>143327755</v>
      </c>
      <c r="C1130" s="3">
        <v>5540246195250</v>
      </c>
      <c r="D1130" s="6">
        <v>44812</v>
      </c>
      <c r="E1130" s="8">
        <v>335</v>
      </c>
      <c r="F1130" s="23" t="str">
        <f>IFERROR(VLOOKUP(C1130, 'Catégorie des articles'!$A:$D, 4, FALSE), "")</f>
        <v>BOULANGERIE</v>
      </c>
      <c r="G1130">
        <f t="shared" si="17"/>
        <v>202209</v>
      </c>
    </row>
    <row r="1131" spans="1:7" ht="12" customHeight="1">
      <c r="A1131" s="6">
        <v>44804</v>
      </c>
      <c r="B1131" s="7">
        <v>143327756</v>
      </c>
      <c r="C1131" s="3">
        <v>5540246171759</v>
      </c>
      <c r="D1131" s="6">
        <v>44811</v>
      </c>
      <c r="E1131" s="8">
        <v>3759</v>
      </c>
      <c r="F1131" s="23" t="str">
        <f>IFERROR(VLOOKUP(C1131, 'Catégorie des articles'!$A:$D, 4, FALSE), "")</f>
        <v>MIX LEGUMES</v>
      </c>
      <c r="G1131">
        <f t="shared" si="17"/>
        <v>202209</v>
      </c>
    </row>
    <row r="1132" spans="1:7" ht="12" customHeight="1">
      <c r="A1132" s="9">
        <v>44804</v>
      </c>
      <c r="B1132" s="10">
        <v>143327756</v>
      </c>
      <c r="C1132" s="3">
        <v>5540246177133</v>
      </c>
      <c r="D1132" s="9">
        <v>44811</v>
      </c>
      <c r="E1132" s="11">
        <v>4455</v>
      </c>
      <c r="F1132" s="23" t="str">
        <f>IFERROR(VLOOKUP(C1132, 'Catégorie des articles'!$A:$D, 4, FALSE), "")</f>
        <v>MIX LEGUMES</v>
      </c>
      <c r="G1132">
        <f t="shared" si="17"/>
        <v>202209</v>
      </c>
    </row>
    <row r="1133" spans="1:7" ht="12" customHeight="1">
      <c r="A1133" s="6">
        <v>44804</v>
      </c>
      <c r="B1133" s="7">
        <v>143327756</v>
      </c>
      <c r="C1133" s="3">
        <v>5540246192148</v>
      </c>
      <c r="D1133" s="6">
        <v>44811</v>
      </c>
      <c r="E1133" s="8">
        <v>15312</v>
      </c>
      <c r="F1133" s="23" t="str">
        <f>IFERROR(VLOOKUP(C1133, 'Catégorie des articles'!$A:$D, 4, FALSE), "")</f>
        <v>MIX LEGUMES</v>
      </c>
      <c r="G1133">
        <f t="shared" si="17"/>
        <v>202209</v>
      </c>
    </row>
    <row r="1134" spans="1:7" ht="12" customHeight="1">
      <c r="A1134" s="9">
        <v>44804</v>
      </c>
      <c r="B1134" s="10">
        <v>143327757</v>
      </c>
      <c r="C1134" s="3">
        <v>5540246183130</v>
      </c>
      <c r="D1134" s="9">
        <v>44812</v>
      </c>
      <c r="E1134" s="11">
        <v>1692</v>
      </c>
      <c r="F1134" s="23" t="str">
        <f>IFERROR(VLOOKUP(C1134, 'Catégorie des articles'!$A:$D, 4, FALSE), "")</f>
        <v>MIX LEGUMES</v>
      </c>
      <c r="G1134">
        <f t="shared" si="17"/>
        <v>202209</v>
      </c>
    </row>
    <row r="1135" spans="1:7" ht="12" customHeight="1">
      <c r="A1135" s="6">
        <v>44804</v>
      </c>
      <c r="B1135" s="7">
        <v>143327757</v>
      </c>
      <c r="C1135" s="3">
        <v>5540246183537</v>
      </c>
      <c r="D1135" s="6">
        <v>44812</v>
      </c>
      <c r="E1135" s="8">
        <v>961</v>
      </c>
      <c r="F1135" s="23" t="str">
        <f>IFERROR(VLOOKUP(C1135, 'Catégorie des articles'!$A:$D, 4, FALSE), "")</f>
        <v>MIX LEGUMES</v>
      </c>
      <c r="G1135">
        <f t="shared" si="17"/>
        <v>202209</v>
      </c>
    </row>
    <row r="1136" spans="1:7" ht="12" customHeight="1">
      <c r="A1136" s="9">
        <v>44804</v>
      </c>
      <c r="B1136" s="10">
        <v>143327757</v>
      </c>
      <c r="C1136" s="3">
        <v>5540246183541</v>
      </c>
      <c r="D1136" s="9">
        <v>44812</v>
      </c>
      <c r="E1136" s="11">
        <v>1044</v>
      </c>
      <c r="F1136" s="23" t="str">
        <f>IFERROR(VLOOKUP(C1136, 'Catégorie des articles'!$A:$D, 4, FALSE), "")</f>
        <v>MIX LEGUMES</v>
      </c>
      <c r="G1136">
        <f t="shared" si="17"/>
        <v>202209</v>
      </c>
    </row>
    <row r="1137" spans="1:7" ht="12" customHeight="1">
      <c r="A1137" s="6">
        <v>44804</v>
      </c>
      <c r="B1137" s="7">
        <v>143327757</v>
      </c>
      <c r="C1137" s="3">
        <v>5540246192571</v>
      </c>
      <c r="D1137" s="6">
        <v>44812</v>
      </c>
      <c r="E1137" s="8">
        <v>669</v>
      </c>
      <c r="F1137" s="23" t="str">
        <f>IFERROR(VLOOKUP(C1137, 'Catégorie des articles'!$A:$D, 4, FALSE), "")</f>
        <v>MIX LEGUMES</v>
      </c>
      <c r="G1137">
        <f t="shared" si="17"/>
        <v>202209</v>
      </c>
    </row>
    <row r="1138" spans="1:7" ht="12" customHeight="1">
      <c r="A1138" s="6">
        <v>44804</v>
      </c>
      <c r="B1138" s="7">
        <v>143327759</v>
      </c>
      <c r="C1138" s="3">
        <v>5540246183558</v>
      </c>
      <c r="D1138" s="6">
        <v>44811</v>
      </c>
      <c r="E1138" s="8">
        <v>5197</v>
      </c>
      <c r="F1138" s="23" t="str">
        <f>IFERROR(VLOOKUP(C1138, 'Catégorie des articles'!$A:$D, 4, FALSE), "")</f>
        <v>MIX LEGUMES</v>
      </c>
      <c r="G1138">
        <f t="shared" si="17"/>
        <v>202209</v>
      </c>
    </row>
    <row r="1139" spans="1:7" ht="12" customHeight="1">
      <c r="A1139" s="9">
        <v>44804</v>
      </c>
      <c r="B1139" s="10">
        <v>143327759</v>
      </c>
      <c r="C1139" s="3">
        <v>5540246183560</v>
      </c>
      <c r="D1139" s="9">
        <v>44811</v>
      </c>
      <c r="E1139" s="11">
        <v>223</v>
      </c>
      <c r="F1139" s="23" t="str">
        <f>IFERROR(VLOOKUP(C1139, 'Catégorie des articles'!$A:$D, 4, FALSE), "")</f>
        <v>MIX LEGUMES</v>
      </c>
      <c r="G1139">
        <f t="shared" si="17"/>
        <v>202209</v>
      </c>
    </row>
    <row r="1140" spans="1:7" ht="12" customHeight="1">
      <c r="A1140" s="6">
        <v>44804</v>
      </c>
      <c r="B1140" s="7">
        <v>143327759</v>
      </c>
      <c r="C1140" s="3">
        <v>5540246192209</v>
      </c>
      <c r="D1140" s="6">
        <v>44811</v>
      </c>
      <c r="E1140" s="8">
        <v>1114</v>
      </c>
      <c r="F1140" s="23" t="str">
        <f>IFERROR(VLOOKUP(C1140, 'Catégorie des articles'!$A:$D, 4, FALSE), "")</f>
        <v>MIX LEGUMES</v>
      </c>
      <c r="G1140">
        <f t="shared" si="17"/>
        <v>202209</v>
      </c>
    </row>
    <row r="1141" spans="1:7" ht="12" customHeight="1">
      <c r="A1141" s="9">
        <v>44804</v>
      </c>
      <c r="B1141" s="10">
        <v>143327759</v>
      </c>
      <c r="C1141" s="3">
        <v>5540246192462</v>
      </c>
      <c r="D1141" s="9">
        <v>44811</v>
      </c>
      <c r="E1141" s="11">
        <v>1114</v>
      </c>
      <c r="F1141" s="23" t="str">
        <f>IFERROR(VLOOKUP(C1141, 'Catégorie des articles'!$A:$D, 4, FALSE), "")</f>
        <v>MIX LEGUMES</v>
      </c>
      <c r="G1141">
        <f t="shared" si="17"/>
        <v>202209</v>
      </c>
    </row>
    <row r="1142" spans="1:7" ht="12" customHeight="1">
      <c r="A1142" s="9">
        <v>44804</v>
      </c>
      <c r="B1142" s="10">
        <v>143327763</v>
      </c>
      <c r="C1142" s="3">
        <v>5540246173906</v>
      </c>
      <c r="D1142" s="9">
        <v>44805</v>
      </c>
      <c r="E1142" s="11">
        <v>817</v>
      </c>
      <c r="F1142" s="23" t="str">
        <f>IFERROR(VLOOKUP(C1142, 'Catégorie des articles'!$A:$D, 4, FALSE), "")</f>
        <v>VOLAILLE</v>
      </c>
      <c r="G1142">
        <f t="shared" si="17"/>
        <v>202209</v>
      </c>
    </row>
    <row r="1143" spans="1:7" ht="12" customHeight="1">
      <c r="A1143" s="6">
        <v>44805</v>
      </c>
      <c r="B1143" s="7">
        <v>143327779</v>
      </c>
      <c r="C1143" s="3">
        <v>5540246171933</v>
      </c>
      <c r="D1143" s="6">
        <v>44809</v>
      </c>
      <c r="E1143" s="8">
        <v>557</v>
      </c>
      <c r="F1143" s="23" t="str">
        <f>IFERROR(VLOOKUP(C1143, 'Catégorie des articles'!$A:$D, 4, FALSE), "")</f>
        <v>CREMERIE</v>
      </c>
      <c r="G1143">
        <f t="shared" si="17"/>
        <v>202209</v>
      </c>
    </row>
    <row r="1144" spans="1:7" ht="12" customHeight="1">
      <c r="A1144" s="6">
        <v>44805</v>
      </c>
      <c r="B1144" s="7">
        <v>143327779</v>
      </c>
      <c r="C1144" s="3">
        <v>5540246187987</v>
      </c>
      <c r="D1144" s="6">
        <v>44809</v>
      </c>
      <c r="E1144" s="8">
        <v>1114</v>
      </c>
      <c r="F1144" s="23" t="str">
        <f>IFERROR(VLOOKUP(C1144, 'Catégorie des articles'!$A:$D, 4, FALSE), "")</f>
        <v>CREMERIE</v>
      </c>
      <c r="G1144">
        <f t="shared" si="17"/>
        <v>202209</v>
      </c>
    </row>
    <row r="1145" spans="1:7" ht="12" customHeight="1">
      <c r="A1145" s="9">
        <v>44805</v>
      </c>
      <c r="B1145" s="10">
        <v>143327780</v>
      </c>
      <c r="C1145" s="3">
        <v>5540246174174</v>
      </c>
      <c r="D1145" s="9">
        <v>44809</v>
      </c>
      <c r="E1145" s="11">
        <v>464</v>
      </c>
      <c r="F1145" s="23" t="str">
        <f>IFERROR(VLOOKUP(C1145, 'Catégorie des articles'!$A:$D, 4, FALSE), "")</f>
        <v>CREMERIE</v>
      </c>
      <c r="G1145">
        <f t="shared" si="17"/>
        <v>202209</v>
      </c>
    </row>
    <row r="1146" spans="1:7" ht="12" customHeight="1">
      <c r="A1146" s="9">
        <v>44805</v>
      </c>
      <c r="B1146" s="10">
        <v>143327780</v>
      </c>
      <c r="C1146" s="3">
        <v>5540246176699</v>
      </c>
      <c r="D1146" s="9">
        <v>44809</v>
      </c>
      <c r="E1146" s="11">
        <v>6264</v>
      </c>
      <c r="F1146" s="23" t="str">
        <f>IFERROR(VLOOKUP(C1146, 'Catégorie des articles'!$A:$D, 4, FALSE), "")</f>
        <v>CREMERIE</v>
      </c>
      <c r="G1146">
        <f t="shared" si="17"/>
        <v>202209</v>
      </c>
    </row>
    <row r="1147" spans="1:7" ht="12" customHeight="1">
      <c r="A1147" s="6">
        <v>44805</v>
      </c>
      <c r="B1147" s="7">
        <v>143327782</v>
      </c>
      <c r="C1147" s="3">
        <v>5540246175047</v>
      </c>
      <c r="D1147" s="6">
        <v>44812</v>
      </c>
      <c r="E1147" s="8">
        <v>557</v>
      </c>
      <c r="F1147" s="23" t="str">
        <f>IFERROR(VLOOKUP(C1147, 'Catégorie des articles'!$A:$D, 4, FALSE), "")</f>
        <v>CREMERIE</v>
      </c>
      <c r="G1147">
        <f t="shared" si="17"/>
        <v>202209</v>
      </c>
    </row>
    <row r="1148" spans="1:7" ht="12" customHeight="1">
      <c r="A1148" s="9">
        <v>44805</v>
      </c>
      <c r="B1148" s="10">
        <v>143327782</v>
      </c>
      <c r="C1148" s="3">
        <v>5540246175049</v>
      </c>
      <c r="D1148" s="9">
        <v>44812</v>
      </c>
      <c r="E1148" s="11">
        <v>836</v>
      </c>
      <c r="F1148" s="23" t="str">
        <f>IFERROR(VLOOKUP(C1148, 'Catégorie des articles'!$A:$D, 4, FALSE), "")</f>
        <v>CREMERIE</v>
      </c>
      <c r="G1148">
        <f t="shared" si="17"/>
        <v>202209</v>
      </c>
    </row>
    <row r="1149" spans="1:7" ht="12" customHeight="1">
      <c r="A1149" s="6">
        <v>44805</v>
      </c>
      <c r="B1149" s="7">
        <v>143327782</v>
      </c>
      <c r="C1149" s="3">
        <v>5540246175050</v>
      </c>
      <c r="D1149" s="6">
        <v>44812</v>
      </c>
      <c r="E1149" s="8">
        <v>836</v>
      </c>
      <c r="F1149" s="23" t="str">
        <f>IFERROR(VLOOKUP(C1149, 'Catégorie des articles'!$A:$D, 4, FALSE), "")</f>
        <v>CREMERIE</v>
      </c>
      <c r="G1149">
        <f t="shared" si="17"/>
        <v>202209</v>
      </c>
    </row>
    <row r="1150" spans="1:7" ht="12" customHeight="1">
      <c r="A1150" s="6">
        <v>44805</v>
      </c>
      <c r="B1150" s="7">
        <v>143327784</v>
      </c>
      <c r="C1150" s="3">
        <v>5540246185429</v>
      </c>
      <c r="D1150" s="6">
        <v>44810</v>
      </c>
      <c r="E1150" s="8">
        <v>140</v>
      </c>
      <c r="F1150" s="23" t="str">
        <f>IFERROR(VLOOKUP(C1150, 'Catégorie des articles'!$A:$D, 4, FALSE), "")</f>
        <v>CREMERIE</v>
      </c>
      <c r="G1150">
        <f t="shared" si="17"/>
        <v>202209</v>
      </c>
    </row>
    <row r="1151" spans="1:7" ht="12" customHeight="1">
      <c r="A1151" s="9">
        <v>44805</v>
      </c>
      <c r="B1151" s="10">
        <v>143327784</v>
      </c>
      <c r="C1151" s="3">
        <v>5540246185562</v>
      </c>
      <c r="D1151" s="9">
        <v>44810</v>
      </c>
      <c r="E1151" s="11">
        <v>140</v>
      </c>
      <c r="F1151" s="23" t="str">
        <f>IFERROR(VLOOKUP(C1151, 'Catégorie des articles'!$A:$D, 4, FALSE), "")</f>
        <v>CREMERIE</v>
      </c>
      <c r="G1151">
        <f t="shared" si="17"/>
        <v>202209</v>
      </c>
    </row>
    <row r="1152" spans="1:7" ht="12" customHeight="1">
      <c r="A1152" s="6">
        <v>44805</v>
      </c>
      <c r="B1152" s="7">
        <v>143327784</v>
      </c>
      <c r="C1152" s="3">
        <v>5540246186325</v>
      </c>
      <c r="D1152" s="6">
        <v>44810</v>
      </c>
      <c r="E1152" s="8">
        <v>140</v>
      </c>
      <c r="F1152" s="23" t="str">
        <f>IFERROR(VLOOKUP(C1152, 'Catégorie des articles'!$A:$D, 4, FALSE), "")</f>
        <v>CREMERIE</v>
      </c>
      <c r="G1152">
        <f t="shared" si="17"/>
        <v>202209</v>
      </c>
    </row>
    <row r="1153" spans="1:7" ht="12" customHeight="1">
      <c r="A1153" s="9">
        <v>44805</v>
      </c>
      <c r="B1153" s="10">
        <v>143327798</v>
      </c>
      <c r="C1153" s="3">
        <v>5540246195242</v>
      </c>
      <c r="D1153" s="9">
        <v>44815</v>
      </c>
      <c r="E1153" s="11">
        <v>743</v>
      </c>
      <c r="F1153" s="23" t="str">
        <f>IFERROR(VLOOKUP(C1153, 'Catégorie des articles'!$A:$D, 4, FALSE), "")</f>
        <v>MIX LEGUMES</v>
      </c>
      <c r="G1153">
        <f t="shared" si="17"/>
        <v>202209</v>
      </c>
    </row>
    <row r="1154" spans="1:7" ht="12" customHeight="1">
      <c r="A1154" s="9">
        <v>44805</v>
      </c>
      <c r="B1154" s="10">
        <v>143327801</v>
      </c>
      <c r="C1154" s="3">
        <v>5540246193316</v>
      </c>
      <c r="D1154" s="9">
        <v>44815</v>
      </c>
      <c r="E1154" s="11">
        <v>335</v>
      </c>
      <c r="F1154" s="23" t="str">
        <f>IFERROR(VLOOKUP(C1154, 'Catégorie des articles'!$A:$D, 4, FALSE), "")</f>
        <v>BOULANGERIE</v>
      </c>
      <c r="G1154">
        <f t="shared" si="17"/>
        <v>202209</v>
      </c>
    </row>
    <row r="1155" spans="1:7" ht="12" customHeight="1">
      <c r="A1155" s="6">
        <v>44805</v>
      </c>
      <c r="B1155" s="7">
        <v>143327802</v>
      </c>
      <c r="C1155" s="3">
        <v>5540246180522</v>
      </c>
      <c r="D1155" s="6">
        <v>44816</v>
      </c>
      <c r="E1155" s="8">
        <v>891</v>
      </c>
      <c r="F1155" s="23" t="str">
        <f>IFERROR(VLOOKUP(C1155, 'Catégorie des articles'!$A:$D, 4, FALSE), "")</f>
        <v>BOULANGERIE</v>
      </c>
      <c r="G1155">
        <f t="shared" ref="G1155:G1218" si="18">YEAR(D1155)*100 + MONTH(D1155)</f>
        <v>202209</v>
      </c>
    </row>
    <row r="1156" spans="1:7" ht="12" customHeight="1">
      <c r="A1156" s="6">
        <v>44805</v>
      </c>
      <c r="B1156" s="7">
        <v>143327823</v>
      </c>
      <c r="C1156" s="3">
        <v>5540246195241</v>
      </c>
      <c r="D1156" s="6">
        <v>44818</v>
      </c>
      <c r="E1156" s="8">
        <v>464</v>
      </c>
      <c r="F1156" s="23" t="str">
        <f>IFERROR(VLOOKUP(C1156, 'Catégorie des articles'!$A:$D, 4, FALSE), "")</f>
        <v>MIX LEGUMES</v>
      </c>
      <c r="G1156">
        <f t="shared" si="18"/>
        <v>202209</v>
      </c>
    </row>
    <row r="1157" spans="1:7" ht="12" customHeight="1">
      <c r="A1157" s="9">
        <v>44808</v>
      </c>
      <c r="B1157" s="10">
        <v>143337830</v>
      </c>
      <c r="C1157" s="3">
        <v>5540246172539</v>
      </c>
      <c r="D1157" s="9">
        <v>44810</v>
      </c>
      <c r="E1157" s="11">
        <v>24</v>
      </c>
      <c r="F1157" s="23" t="str">
        <f>IFERROR(VLOOKUP(C1157, 'Catégorie des articles'!$A:$D, 4, FALSE), "")</f>
        <v>CREMERIE</v>
      </c>
      <c r="G1157">
        <f t="shared" si="18"/>
        <v>202209</v>
      </c>
    </row>
    <row r="1158" spans="1:7" ht="12" customHeight="1">
      <c r="A1158" s="6">
        <v>44808</v>
      </c>
      <c r="B1158" s="7">
        <v>143337830</v>
      </c>
      <c r="C1158" s="3">
        <v>5540246172978</v>
      </c>
      <c r="D1158" s="6">
        <v>44810</v>
      </c>
      <c r="E1158" s="8">
        <v>2506</v>
      </c>
      <c r="F1158" s="23" t="str">
        <f>IFERROR(VLOOKUP(C1158, 'Catégorie des articles'!$A:$D, 4, FALSE), "")</f>
        <v>CREMERIE</v>
      </c>
      <c r="G1158">
        <f t="shared" si="18"/>
        <v>202209</v>
      </c>
    </row>
    <row r="1159" spans="1:7" ht="12" customHeight="1">
      <c r="A1159" s="9">
        <v>44808</v>
      </c>
      <c r="B1159" s="10">
        <v>143337830</v>
      </c>
      <c r="C1159" s="3">
        <v>5540246188175</v>
      </c>
      <c r="D1159" s="9">
        <v>44810</v>
      </c>
      <c r="E1159" s="11">
        <v>232</v>
      </c>
      <c r="F1159" s="23" t="str">
        <f>IFERROR(VLOOKUP(C1159, 'Catégorie des articles'!$A:$D, 4, FALSE), "")</f>
        <v>CREMERIE</v>
      </c>
      <c r="G1159">
        <f t="shared" si="18"/>
        <v>202209</v>
      </c>
    </row>
    <row r="1160" spans="1:7" ht="12" customHeight="1">
      <c r="A1160" s="9">
        <v>44808</v>
      </c>
      <c r="B1160" s="10">
        <v>143337831</v>
      </c>
      <c r="C1160" s="3">
        <v>5540246187987</v>
      </c>
      <c r="D1160" s="9">
        <v>44810</v>
      </c>
      <c r="E1160" s="11">
        <v>1671</v>
      </c>
      <c r="F1160" s="23" t="str">
        <f>IFERROR(VLOOKUP(C1160, 'Catégorie des articles'!$A:$D, 4, FALSE), "")</f>
        <v>CREMERIE</v>
      </c>
      <c r="G1160">
        <f t="shared" si="18"/>
        <v>202209</v>
      </c>
    </row>
    <row r="1161" spans="1:7" ht="12" customHeight="1">
      <c r="A1161" s="6">
        <v>44808</v>
      </c>
      <c r="B1161" s="7">
        <v>143337831</v>
      </c>
      <c r="C1161" s="3">
        <v>5540246188200</v>
      </c>
      <c r="D1161" s="6">
        <v>44810</v>
      </c>
      <c r="E1161" s="8">
        <v>743</v>
      </c>
      <c r="F1161" s="23" t="str">
        <f>IFERROR(VLOOKUP(C1161, 'Catégorie des articles'!$A:$D, 4, FALSE), "")</f>
        <v>CREMERIE</v>
      </c>
      <c r="G1161">
        <f t="shared" si="18"/>
        <v>202209</v>
      </c>
    </row>
    <row r="1162" spans="1:7" ht="12" customHeight="1">
      <c r="A1162" s="9">
        <v>44808</v>
      </c>
      <c r="B1162" s="10">
        <v>143337850</v>
      </c>
      <c r="C1162" s="3">
        <v>5540246194467</v>
      </c>
      <c r="D1162" s="9">
        <v>44812</v>
      </c>
      <c r="E1162" s="11">
        <v>17818</v>
      </c>
      <c r="F1162" s="23" t="str">
        <f>IFERROR(VLOOKUP(C1162, 'Catégorie des articles'!$A:$D, 4, FALSE), "")</f>
        <v>BOULANGERIE</v>
      </c>
      <c r="G1162">
        <f t="shared" si="18"/>
        <v>202209</v>
      </c>
    </row>
    <row r="1163" spans="1:7" ht="12" customHeight="1">
      <c r="A1163" s="6">
        <v>44808</v>
      </c>
      <c r="B1163" s="7">
        <v>143337851</v>
      </c>
      <c r="C1163" s="3">
        <v>5540246182684</v>
      </c>
      <c r="D1163" s="6">
        <v>44816</v>
      </c>
      <c r="E1163" s="8">
        <v>93</v>
      </c>
      <c r="F1163" s="23" t="str">
        <f>IFERROR(VLOOKUP(C1163, 'Catégorie des articles'!$A:$D, 4, FALSE), "")</f>
        <v>BOULANGERIE</v>
      </c>
      <c r="G1163">
        <f t="shared" si="18"/>
        <v>202209</v>
      </c>
    </row>
    <row r="1164" spans="1:7" ht="12" customHeight="1">
      <c r="A1164" s="9">
        <v>44808</v>
      </c>
      <c r="B1164" s="10">
        <v>143337851</v>
      </c>
      <c r="C1164" s="3">
        <v>5540246183844</v>
      </c>
      <c r="D1164" s="9">
        <v>44816</v>
      </c>
      <c r="E1164" s="11">
        <v>279</v>
      </c>
      <c r="F1164" s="23" t="str">
        <f>IFERROR(VLOOKUP(C1164, 'Catégorie des articles'!$A:$D, 4, FALSE), "")</f>
        <v>BOULANGERIE</v>
      </c>
      <c r="G1164">
        <f t="shared" si="18"/>
        <v>202209</v>
      </c>
    </row>
    <row r="1165" spans="1:7" ht="12" customHeight="1">
      <c r="A1165" s="6">
        <v>44808</v>
      </c>
      <c r="B1165" s="7">
        <v>143337851</v>
      </c>
      <c r="C1165" s="3">
        <v>5540246194467</v>
      </c>
      <c r="D1165" s="6">
        <v>44816</v>
      </c>
      <c r="E1165" s="8">
        <v>17818</v>
      </c>
      <c r="F1165" s="23" t="str">
        <f>IFERROR(VLOOKUP(C1165, 'Catégorie des articles'!$A:$D, 4, FALSE), "")</f>
        <v>BOULANGERIE</v>
      </c>
      <c r="G1165">
        <f t="shared" si="18"/>
        <v>202209</v>
      </c>
    </row>
    <row r="1166" spans="1:7" ht="12" customHeight="1">
      <c r="A1166" s="6">
        <v>44808</v>
      </c>
      <c r="B1166" s="7">
        <v>143337856</v>
      </c>
      <c r="C1166" s="3">
        <v>5540246170256</v>
      </c>
      <c r="D1166" s="6">
        <v>44817</v>
      </c>
      <c r="E1166" s="8">
        <v>3174</v>
      </c>
      <c r="F1166" s="23" t="str">
        <f>IFERROR(VLOOKUP(C1166, 'Catégorie des articles'!$A:$D, 4, FALSE), "")</f>
        <v>BOULANGERIE</v>
      </c>
      <c r="G1166">
        <f t="shared" si="18"/>
        <v>202209</v>
      </c>
    </row>
    <row r="1167" spans="1:7" ht="12" customHeight="1">
      <c r="A1167" s="9">
        <v>44808</v>
      </c>
      <c r="B1167" s="10">
        <v>143337856</v>
      </c>
      <c r="C1167" s="3">
        <v>5540246171888</v>
      </c>
      <c r="D1167" s="9">
        <v>44817</v>
      </c>
      <c r="E1167" s="11">
        <v>520</v>
      </c>
      <c r="F1167" s="23" t="str">
        <f>IFERROR(VLOOKUP(C1167, 'Catégorie des articles'!$A:$D, 4, FALSE), "")</f>
        <v>BOULANGERIE</v>
      </c>
      <c r="G1167">
        <f t="shared" si="18"/>
        <v>202209</v>
      </c>
    </row>
    <row r="1168" spans="1:7" ht="12" customHeight="1">
      <c r="A1168" s="6">
        <v>44808</v>
      </c>
      <c r="B1168" s="7">
        <v>143337872</v>
      </c>
      <c r="C1168" s="3">
        <v>5540246194632</v>
      </c>
      <c r="D1168" s="6">
        <v>44815</v>
      </c>
      <c r="E1168" s="8">
        <v>1420</v>
      </c>
      <c r="F1168" s="23" t="str">
        <f>IFERROR(VLOOKUP(C1168, 'Catégorie des articles'!$A:$D, 4, FALSE), "")</f>
        <v>BOULANGERIE</v>
      </c>
      <c r="G1168">
        <f t="shared" si="18"/>
        <v>202209</v>
      </c>
    </row>
    <row r="1169" spans="1:7" ht="12" customHeight="1">
      <c r="A1169" s="6">
        <v>44808</v>
      </c>
      <c r="B1169" s="7">
        <v>143337873</v>
      </c>
      <c r="C1169" s="3">
        <v>5540246171759</v>
      </c>
      <c r="D1169" s="6">
        <v>44815</v>
      </c>
      <c r="E1169" s="8">
        <v>3759</v>
      </c>
      <c r="F1169" s="23" t="str">
        <f>IFERROR(VLOOKUP(C1169, 'Catégorie des articles'!$A:$D, 4, FALSE), "")</f>
        <v>MIX LEGUMES</v>
      </c>
      <c r="G1169">
        <f t="shared" si="18"/>
        <v>202209</v>
      </c>
    </row>
    <row r="1170" spans="1:7" ht="12" customHeight="1">
      <c r="A1170" s="9">
        <v>44808</v>
      </c>
      <c r="B1170" s="10">
        <v>143337873</v>
      </c>
      <c r="C1170" s="3">
        <v>5540246177133</v>
      </c>
      <c r="D1170" s="9">
        <v>44815</v>
      </c>
      <c r="E1170" s="11">
        <v>3898</v>
      </c>
      <c r="F1170" s="23" t="str">
        <f>IFERROR(VLOOKUP(C1170, 'Catégorie des articles'!$A:$D, 4, FALSE), "")</f>
        <v>MIX LEGUMES</v>
      </c>
      <c r="G1170">
        <f t="shared" si="18"/>
        <v>202209</v>
      </c>
    </row>
    <row r="1171" spans="1:7" ht="12" customHeight="1">
      <c r="A1171" s="6">
        <v>44808</v>
      </c>
      <c r="B1171" s="7">
        <v>143337873</v>
      </c>
      <c r="C1171" s="3">
        <v>5540246192148</v>
      </c>
      <c r="D1171" s="6">
        <v>44815</v>
      </c>
      <c r="E1171" s="8">
        <v>11136</v>
      </c>
      <c r="F1171" s="23" t="str">
        <f>IFERROR(VLOOKUP(C1171, 'Catégorie des articles'!$A:$D, 4, FALSE), "")</f>
        <v>MIX LEGUMES</v>
      </c>
      <c r="G1171">
        <f t="shared" si="18"/>
        <v>202209</v>
      </c>
    </row>
    <row r="1172" spans="1:7" ht="12" customHeight="1">
      <c r="A1172" s="6">
        <v>44809</v>
      </c>
      <c r="B1172" s="7">
        <v>143337886</v>
      </c>
      <c r="C1172" s="3">
        <v>5540246171933</v>
      </c>
      <c r="D1172" s="6">
        <v>44811</v>
      </c>
      <c r="E1172" s="8">
        <v>836</v>
      </c>
      <c r="F1172" s="23" t="str">
        <f>IFERROR(VLOOKUP(C1172, 'Catégorie des articles'!$A:$D, 4, FALSE), "")</f>
        <v>CREMERIE</v>
      </c>
      <c r="G1172">
        <f t="shared" si="18"/>
        <v>202209</v>
      </c>
    </row>
    <row r="1173" spans="1:7" ht="12" customHeight="1">
      <c r="A1173" s="9">
        <v>44809</v>
      </c>
      <c r="B1173" s="10">
        <v>143337886</v>
      </c>
      <c r="C1173" s="3">
        <v>5540246187987</v>
      </c>
      <c r="D1173" s="9">
        <v>44811</v>
      </c>
      <c r="E1173" s="11">
        <v>1671</v>
      </c>
      <c r="F1173" s="23" t="str">
        <f>IFERROR(VLOOKUP(C1173, 'Catégorie des articles'!$A:$D, 4, FALSE), "")</f>
        <v>CREMERIE</v>
      </c>
      <c r="G1173">
        <f t="shared" si="18"/>
        <v>202209</v>
      </c>
    </row>
    <row r="1174" spans="1:7" ht="12" customHeight="1">
      <c r="A1174" s="6">
        <v>44809</v>
      </c>
      <c r="B1174" s="7">
        <v>143337886</v>
      </c>
      <c r="C1174" s="3">
        <v>5540246188200</v>
      </c>
      <c r="D1174" s="6">
        <v>44811</v>
      </c>
      <c r="E1174" s="8">
        <v>1485</v>
      </c>
      <c r="F1174" s="23" t="str">
        <f>IFERROR(VLOOKUP(C1174, 'Catégorie des articles'!$A:$D, 4, FALSE), "")</f>
        <v>CREMERIE</v>
      </c>
      <c r="G1174">
        <f t="shared" si="18"/>
        <v>202209</v>
      </c>
    </row>
    <row r="1175" spans="1:7" ht="12" customHeight="1">
      <c r="A1175" s="6">
        <v>44809</v>
      </c>
      <c r="B1175" s="7">
        <v>143337915</v>
      </c>
      <c r="C1175" s="3">
        <v>5540246190727</v>
      </c>
      <c r="D1175" s="6">
        <v>44830</v>
      </c>
      <c r="E1175" s="8">
        <v>877</v>
      </c>
      <c r="F1175" s="23" t="str">
        <f>IFERROR(VLOOKUP(C1175, 'Catégorie des articles'!$A:$D, 4, FALSE), "")</f>
        <v>BOULANGERIE</v>
      </c>
      <c r="G1175">
        <f t="shared" si="18"/>
        <v>202209</v>
      </c>
    </row>
    <row r="1176" spans="1:7" ht="12" customHeight="1">
      <c r="A1176" s="6">
        <v>44809</v>
      </c>
      <c r="B1176" s="7">
        <v>143337920</v>
      </c>
      <c r="C1176" s="3">
        <v>5540246194632</v>
      </c>
      <c r="D1176" s="6">
        <v>44819</v>
      </c>
      <c r="E1176" s="8">
        <v>1504</v>
      </c>
      <c r="F1176" s="23" t="str">
        <f>IFERROR(VLOOKUP(C1176, 'Catégorie des articles'!$A:$D, 4, FALSE), "")</f>
        <v>BOULANGERIE</v>
      </c>
      <c r="G1176">
        <f t="shared" si="18"/>
        <v>202209</v>
      </c>
    </row>
    <row r="1177" spans="1:7" ht="12" customHeight="1">
      <c r="A1177" s="9">
        <v>44809</v>
      </c>
      <c r="B1177" s="10">
        <v>143337920</v>
      </c>
      <c r="C1177" s="3">
        <v>5540246195250</v>
      </c>
      <c r="D1177" s="9">
        <v>44819</v>
      </c>
      <c r="E1177" s="11">
        <v>335</v>
      </c>
      <c r="F1177" s="23" t="str">
        <f>IFERROR(VLOOKUP(C1177, 'Catégorie des articles'!$A:$D, 4, FALSE), "")</f>
        <v>BOULANGERIE</v>
      </c>
      <c r="G1177">
        <f t="shared" si="18"/>
        <v>202209</v>
      </c>
    </row>
    <row r="1178" spans="1:7" ht="12" customHeight="1">
      <c r="A1178" s="9">
        <v>44809</v>
      </c>
      <c r="B1178" s="10">
        <v>143337926</v>
      </c>
      <c r="C1178" s="3">
        <v>5540246181061</v>
      </c>
      <c r="D1178" s="9">
        <v>44823</v>
      </c>
      <c r="E1178" s="11">
        <v>804</v>
      </c>
      <c r="F1178" s="23" t="str">
        <f>IFERROR(VLOOKUP(C1178, 'Catégorie des articles'!$A:$D, 4, FALSE), "")</f>
        <v>VOLAILLE</v>
      </c>
      <c r="G1178">
        <f t="shared" si="18"/>
        <v>202209</v>
      </c>
    </row>
    <row r="1179" spans="1:7" ht="12" customHeight="1">
      <c r="A1179" s="6">
        <v>44809</v>
      </c>
      <c r="B1179" s="7">
        <v>143337926</v>
      </c>
      <c r="C1179" s="3">
        <v>5540246183547</v>
      </c>
      <c r="D1179" s="6">
        <v>44823</v>
      </c>
      <c r="E1179" s="8">
        <v>6844</v>
      </c>
      <c r="F1179" s="23" t="str">
        <f>IFERROR(VLOOKUP(C1179, 'Catégorie des articles'!$A:$D, 4, FALSE), "")</f>
        <v>VOLAILLE</v>
      </c>
      <c r="G1179">
        <f t="shared" si="18"/>
        <v>202209</v>
      </c>
    </row>
    <row r="1180" spans="1:7" ht="12" customHeight="1">
      <c r="A1180" s="9">
        <v>44809</v>
      </c>
      <c r="B1180" s="10">
        <v>143337926</v>
      </c>
      <c r="C1180" s="3">
        <v>5540246185278</v>
      </c>
      <c r="D1180" s="9">
        <v>44823</v>
      </c>
      <c r="E1180" s="11">
        <v>374</v>
      </c>
      <c r="F1180" s="23" t="str">
        <f>IFERROR(VLOOKUP(C1180, 'Catégorie des articles'!$A:$D, 4, FALSE), "")</f>
        <v>VOLAILLE</v>
      </c>
      <c r="G1180">
        <f t="shared" si="18"/>
        <v>202209</v>
      </c>
    </row>
    <row r="1181" spans="1:7" ht="12" customHeight="1">
      <c r="A1181" s="9">
        <v>44810</v>
      </c>
      <c r="B1181" s="10">
        <v>143337929</v>
      </c>
      <c r="C1181" s="3">
        <v>5540246172978</v>
      </c>
      <c r="D1181" s="9">
        <v>44812</v>
      </c>
      <c r="E1181" s="11">
        <v>836</v>
      </c>
      <c r="F1181" s="23" t="str">
        <f>IFERROR(VLOOKUP(C1181, 'Catégorie des articles'!$A:$D, 4, FALSE), "")</f>
        <v>CREMERIE</v>
      </c>
      <c r="G1181">
        <f t="shared" si="18"/>
        <v>202209</v>
      </c>
    </row>
    <row r="1182" spans="1:7" ht="12" customHeight="1">
      <c r="A1182" s="9">
        <v>44810</v>
      </c>
      <c r="B1182" s="10">
        <v>143337929</v>
      </c>
      <c r="C1182" s="3">
        <v>5540246176699</v>
      </c>
      <c r="D1182" s="9">
        <v>44812</v>
      </c>
      <c r="E1182" s="11">
        <v>2088</v>
      </c>
      <c r="F1182" s="23" t="str">
        <f>IFERROR(VLOOKUP(C1182, 'Catégorie des articles'!$A:$D, 4, FALSE), "")</f>
        <v>CREMERIE</v>
      </c>
      <c r="G1182">
        <f t="shared" si="18"/>
        <v>202209</v>
      </c>
    </row>
    <row r="1183" spans="1:7" ht="12" customHeight="1">
      <c r="A1183" s="6">
        <v>44810</v>
      </c>
      <c r="B1183" s="7">
        <v>143337929</v>
      </c>
      <c r="C1183" s="3">
        <v>5540246188175</v>
      </c>
      <c r="D1183" s="6">
        <v>44812</v>
      </c>
      <c r="E1183" s="8">
        <v>279</v>
      </c>
      <c r="F1183" s="23" t="str">
        <f>IFERROR(VLOOKUP(C1183, 'Catégorie des articles'!$A:$D, 4, FALSE), "")</f>
        <v>CREMERIE</v>
      </c>
      <c r="G1183">
        <f t="shared" si="18"/>
        <v>202209</v>
      </c>
    </row>
    <row r="1184" spans="1:7" ht="12" customHeight="1">
      <c r="A1184" s="6">
        <v>44810</v>
      </c>
      <c r="B1184" s="7">
        <v>143337931</v>
      </c>
      <c r="C1184" s="3">
        <v>5540246176295</v>
      </c>
      <c r="D1184" s="6">
        <v>44812</v>
      </c>
      <c r="E1184" s="8">
        <v>5940</v>
      </c>
      <c r="F1184" s="23" t="str">
        <f>IFERROR(VLOOKUP(C1184, 'Catégorie des articles'!$A:$D, 4, FALSE), "")</f>
        <v>CREMERIE</v>
      </c>
      <c r="G1184">
        <f t="shared" si="18"/>
        <v>202209</v>
      </c>
    </row>
    <row r="1185" spans="1:7" ht="12" customHeight="1">
      <c r="A1185" s="6">
        <v>44811</v>
      </c>
      <c r="B1185" s="7">
        <v>143337954</v>
      </c>
      <c r="C1185" s="3">
        <v>5540246176699</v>
      </c>
      <c r="D1185" s="6">
        <v>44815</v>
      </c>
      <c r="E1185" s="8">
        <v>2088</v>
      </c>
      <c r="F1185" s="23" t="str">
        <f>IFERROR(VLOOKUP(C1185, 'Catégorie des articles'!$A:$D, 4, FALSE), "")</f>
        <v>CREMERIE</v>
      </c>
      <c r="G1185">
        <f t="shared" si="18"/>
        <v>202209</v>
      </c>
    </row>
    <row r="1186" spans="1:7" ht="12" customHeight="1">
      <c r="A1186" s="9">
        <v>44811</v>
      </c>
      <c r="B1186" s="10">
        <v>143337954</v>
      </c>
      <c r="C1186" s="3">
        <v>5540246188175</v>
      </c>
      <c r="D1186" s="9">
        <v>44815</v>
      </c>
      <c r="E1186" s="11">
        <v>232</v>
      </c>
      <c r="F1186" s="23" t="str">
        <f>IFERROR(VLOOKUP(C1186, 'Catégorie des articles'!$A:$D, 4, FALSE), "")</f>
        <v>CREMERIE</v>
      </c>
      <c r="G1186">
        <f t="shared" si="18"/>
        <v>202209</v>
      </c>
    </row>
    <row r="1187" spans="1:7" ht="12" customHeight="1">
      <c r="A1187" s="6">
        <v>44811</v>
      </c>
      <c r="B1187" s="7">
        <v>143337955</v>
      </c>
      <c r="C1187" s="3">
        <v>5540246171933</v>
      </c>
      <c r="D1187" s="6">
        <v>44815</v>
      </c>
      <c r="E1187" s="8">
        <v>557</v>
      </c>
      <c r="F1187" s="23" t="str">
        <f>IFERROR(VLOOKUP(C1187, 'Catégorie des articles'!$A:$D, 4, FALSE), "")</f>
        <v>CREMERIE</v>
      </c>
      <c r="G1187">
        <f t="shared" si="18"/>
        <v>202209</v>
      </c>
    </row>
    <row r="1188" spans="1:7" ht="12" customHeight="1">
      <c r="A1188" s="6">
        <v>44811</v>
      </c>
      <c r="B1188" s="7">
        <v>143337955</v>
      </c>
      <c r="C1188" s="3">
        <v>5540246176295</v>
      </c>
      <c r="D1188" s="6">
        <v>44815</v>
      </c>
      <c r="E1188" s="8">
        <v>4455</v>
      </c>
      <c r="F1188" s="23" t="str">
        <f>IFERROR(VLOOKUP(C1188, 'Catégorie des articles'!$A:$D, 4, FALSE), "")</f>
        <v>CREMERIE</v>
      </c>
      <c r="G1188">
        <f t="shared" si="18"/>
        <v>202209</v>
      </c>
    </row>
    <row r="1189" spans="1:7" ht="12" customHeight="1">
      <c r="A1189" s="6">
        <v>44811</v>
      </c>
      <c r="B1189" s="7">
        <v>143337955</v>
      </c>
      <c r="C1189" s="3">
        <v>5540246187987</v>
      </c>
      <c r="D1189" s="6">
        <v>44815</v>
      </c>
      <c r="E1189" s="8">
        <v>4455</v>
      </c>
      <c r="F1189" s="23" t="str">
        <f>IFERROR(VLOOKUP(C1189, 'Catégorie des articles'!$A:$D, 4, FALSE), "")</f>
        <v>CREMERIE</v>
      </c>
      <c r="G1189">
        <f t="shared" si="18"/>
        <v>202209</v>
      </c>
    </row>
    <row r="1190" spans="1:7" ht="12" customHeight="1">
      <c r="A1190" s="6">
        <v>44811</v>
      </c>
      <c r="B1190" s="7">
        <v>143337959</v>
      </c>
      <c r="C1190" s="3">
        <v>5540246188224</v>
      </c>
      <c r="D1190" s="6">
        <v>44824</v>
      </c>
      <c r="E1190" s="8">
        <v>1207</v>
      </c>
      <c r="F1190" s="23" t="str">
        <f>IFERROR(VLOOKUP(C1190, 'Catégorie des articles'!$A:$D, 4, FALSE), "")</f>
        <v>VOLAILLE</v>
      </c>
      <c r="G1190">
        <f t="shared" si="18"/>
        <v>202209</v>
      </c>
    </row>
    <row r="1191" spans="1:7" ht="12" customHeight="1">
      <c r="A1191" s="9">
        <v>44811</v>
      </c>
      <c r="B1191" s="10">
        <v>143337964</v>
      </c>
      <c r="C1191" s="3">
        <v>5540246183844</v>
      </c>
      <c r="D1191" s="9">
        <v>44824</v>
      </c>
      <c r="E1191" s="11">
        <v>47</v>
      </c>
      <c r="F1191" s="23" t="str">
        <f>IFERROR(VLOOKUP(C1191, 'Catégorie des articles'!$A:$D, 4, FALSE), "")</f>
        <v>BOULANGERIE</v>
      </c>
      <c r="G1191">
        <f t="shared" si="18"/>
        <v>202209</v>
      </c>
    </row>
    <row r="1192" spans="1:7" ht="12" customHeight="1">
      <c r="A1192" s="6">
        <v>44811</v>
      </c>
      <c r="B1192" s="7">
        <v>143337964</v>
      </c>
      <c r="C1192" s="3">
        <v>5540246194467</v>
      </c>
      <c r="D1192" s="6">
        <v>44824</v>
      </c>
      <c r="E1192" s="8">
        <v>28509</v>
      </c>
      <c r="F1192" s="23" t="str">
        <f>IFERROR(VLOOKUP(C1192, 'Catégorie des articles'!$A:$D, 4, FALSE), "")</f>
        <v>BOULANGERIE</v>
      </c>
      <c r="G1192">
        <f t="shared" si="18"/>
        <v>202209</v>
      </c>
    </row>
    <row r="1193" spans="1:7" ht="12" customHeight="1">
      <c r="A1193" s="6">
        <v>44812</v>
      </c>
      <c r="B1193" s="7">
        <v>143337991</v>
      </c>
      <c r="C1193" s="3">
        <v>5540246171933</v>
      </c>
      <c r="D1193" s="6">
        <v>44816</v>
      </c>
      <c r="E1193" s="8">
        <v>557</v>
      </c>
      <c r="F1193" s="23" t="str">
        <f>IFERROR(VLOOKUP(C1193, 'Catégorie des articles'!$A:$D, 4, FALSE), "")</f>
        <v>CREMERIE</v>
      </c>
      <c r="G1193">
        <f t="shared" si="18"/>
        <v>202209</v>
      </c>
    </row>
    <row r="1194" spans="1:7" ht="12" customHeight="1">
      <c r="A1194" s="6">
        <v>44812</v>
      </c>
      <c r="B1194" s="7">
        <v>143337995</v>
      </c>
      <c r="C1194" s="3">
        <v>5540246183130</v>
      </c>
      <c r="D1194" s="6">
        <v>44816</v>
      </c>
      <c r="E1194" s="8">
        <v>1128</v>
      </c>
      <c r="F1194" s="23" t="str">
        <f>IFERROR(VLOOKUP(C1194, 'Catégorie des articles'!$A:$D, 4, FALSE), "")</f>
        <v>MIX LEGUMES</v>
      </c>
      <c r="G1194">
        <f t="shared" si="18"/>
        <v>202209</v>
      </c>
    </row>
    <row r="1195" spans="1:7" ht="12" customHeight="1">
      <c r="A1195" s="9">
        <v>44812</v>
      </c>
      <c r="B1195" s="10">
        <v>143337996</v>
      </c>
      <c r="C1195" s="3">
        <v>5540246185429</v>
      </c>
      <c r="D1195" s="9">
        <v>44817</v>
      </c>
      <c r="E1195" s="11">
        <v>168</v>
      </c>
      <c r="F1195" s="23" t="str">
        <f>IFERROR(VLOOKUP(C1195, 'Catégorie des articles'!$A:$D, 4, FALSE), "")</f>
        <v>CREMERIE</v>
      </c>
      <c r="G1195">
        <f t="shared" si="18"/>
        <v>202209</v>
      </c>
    </row>
    <row r="1196" spans="1:7" ht="12" customHeight="1">
      <c r="A1196" s="6">
        <v>44812</v>
      </c>
      <c r="B1196" s="7">
        <v>143337996</v>
      </c>
      <c r="C1196" s="3">
        <v>5540246186325</v>
      </c>
      <c r="D1196" s="6">
        <v>44817</v>
      </c>
      <c r="E1196" s="8">
        <v>140</v>
      </c>
      <c r="F1196" s="23" t="str">
        <f>IFERROR(VLOOKUP(C1196, 'Catégorie des articles'!$A:$D, 4, FALSE), "")</f>
        <v>CREMERIE</v>
      </c>
      <c r="G1196">
        <f t="shared" si="18"/>
        <v>202209</v>
      </c>
    </row>
    <row r="1197" spans="1:7" ht="12" customHeight="1">
      <c r="A1197" s="9">
        <v>44812</v>
      </c>
      <c r="B1197" s="10">
        <v>143337997</v>
      </c>
      <c r="C1197" s="3">
        <v>5540246174095</v>
      </c>
      <c r="D1197" s="9">
        <v>44819</v>
      </c>
      <c r="E1197" s="11">
        <v>70</v>
      </c>
      <c r="F1197" s="23" t="str">
        <f>IFERROR(VLOOKUP(C1197, 'Catégorie des articles'!$A:$D, 4, FALSE), "")</f>
        <v>CREMERIE</v>
      </c>
      <c r="G1197">
        <f t="shared" si="18"/>
        <v>202209</v>
      </c>
    </row>
    <row r="1198" spans="1:7" ht="12" customHeight="1">
      <c r="A1198" s="6">
        <v>44812</v>
      </c>
      <c r="B1198" s="7">
        <v>143337997</v>
      </c>
      <c r="C1198" s="3">
        <v>5540246175049</v>
      </c>
      <c r="D1198" s="6">
        <v>44819</v>
      </c>
      <c r="E1198" s="8">
        <v>418</v>
      </c>
      <c r="F1198" s="23" t="str">
        <f>IFERROR(VLOOKUP(C1198, 'Catégorie des articles'!$A:$D, 4, FALSE), "")</f>
        <v>CREMERIE</v>
      </c>
      <c r="G1198">
        <f t="shared" si="18"/>
        <v>202209</v>
      </c>
    </row>
    <row r="1199" spans="1:7" ht="12" customHeight="1">
      <c r="A1199" s="6">
        <v>44812</v>
      </c>
      <c r="B1199" s="7">
        <v>143338003</v>
      </c>
      <c r="C1199" s="3">
        <v>5540246173906</v>
      </c>
      <c r="D1199" s="6">
        <v>44823</v>
      </c>
      <c r="E1199" s="8">
        <v>817</v>
      </c>
      <c r="F1199" s="23" t="str">
        <f>IFERROR(VLOOKUP(C1199, 'Catégorie des articles'!$A:$D, 4, FALSE), "")</f>
        <v>VOLAILLE</v>
      </c>
      <c r="G1199">
        <f t="shared" si="18"/>
        <v>202209</v>
      </c>
    </row>
    <row r="1200" spans="1:7" ht="12" customHeight="1">
      <c r="A1200" s="9">
        <v>44812</v>
      </c>
      <c r="B1200" s="10">
        <v>143338003</v>
      </c>
      <c r="C1200" s="3">
        <v>5540246181016</v>
      </c>
      <c r="D1200" s="9">
        <v>44823</v>
      </c>
      <c r="E1200" s="11">
        <v>3564</v>
      </c>
      <c r="F1200" s="23" t="str">
        <f>IFERROR(VLOOKUP(C1200, 'Catégorie des articles'!$A:$D, 4, FALSE), "")</f>
        <v>VOLAILLE</v>
      </c>
      <c r="G1200">
        <f t="shared" si="18"/>
        <v>202209</v>
      </c>
    </row>
    <row r="1201" spans="1:7" ht="12" customHeight="1">
      <c r="A1201" s="6">
        <v>44815</v>
      </c>
      <c r="B1201" s="7">
        <v>143348010</v>
      </c>
      <c r="C1201" s="3">
        <v>5540246171933</v>
      </c>
      <c r="D1201" s="6">
        <v>44817</v>
      </c>
      <c r="E1201" s="8">
        <v>1114</v>
      </c>
      <c r="F1201" s="23" t="str">
        <f>IFERROR(VLOOKUP(C1201, 'Catégorie des articles'!$A:$D, 4, FALSE), "")</f>
        <v>CREMERIE</v>
      </c>
      <c r="G1201">
        <f t="shared" si="18"/>
        <v>202209</v>
      </c>
    </row>
    <row r="1202" spans="1:7" ht="12" customHeight="1">
      <c r="A1202" s="9">
        <v>44815</v>
      </c>
      <c r="B1202" s="10">
        <v>143348010</v>
      </c>
      <c r="C1202" s="3">
        <v>5540246176294</v>
      </c>
      <c r="D1202" s="9">
        <v>44817</v>
      </c>
      <c r="E1202" s="11">
        <v>743</v>
      </c>
      <c r="F1202" s="23" t="str">
        <f>IFERROR(VLOOKUP(C1202, 'Catégorie des articles'!$A:$D, 4, FALSE), "")</f>
        <v>CREMERIE</v>
      </c>
      <c r="G1202">
        <f t="shared" si="18"/>
        <v>202209</v>
      </c>
    </row>
    <row r="1203" spans="1:7" ht="12" customHeight="1">
      <c r="A1203" s="6">
        <v>44815</v>
      </c>
      <c r="B1203" s="7">
        <v>143348010</v>
      </c>
      <c r="C1203" s="3">
        <v>5540246176295</v>
      </c>
      <c r="D1203" s="6">
        <v>44817</v>
      </c>
      <c r="E1203" s="8">
        <v>7424</v>
      </c>
      <c r="F1203" s="23" t="str">
        <f>IFERROR(VLOOKUP(C1203, 'Catégorie des articles'!$A:$D, 4, FALSE), "")</f>
        <v>CREMERIE</v>
      </c>
      <c r="G1203">
        <f t="shared" si="18"/>
        <v>202209</v>
      </c>
    </row>
    <row r="1204" spans="1:7" ht="12" customHeight="1">
      <c r="A1204" s="9">
        <v>44815</v>
      </c>
      <c r="B1204" s="10">
        <v>143348010</v>
      </c>
      <c r="C1204" s="3">
        <v>5540246187987</v>
      </c>
      <c r="D1204" s="9">
        <v>44817</v>
      </c>
      <c r="E1204" s="11">
        <v>2228</v>
      </c>
      <c r="F1204" s="23" t="str">
        <f>IFERROR(VLOOKUP(C1204, 'Catégorie des articles'!$A:$D, 4, FALSE), "")</f>
        <v>CREMERIE</v>
      </c>
      <c r="G1204">
        <f t="shared" si="18"/>
        <v>202209</v>
      </c>
    </row>
    <row r="1205" spans="1:7" ht="12" customHeight="1">
      <c r="A1205" s="6">
        <v>44815</v>
      </c>
      <c r="B1205" s="7">
        <v>143348010</v>
      </c>
      <c r="C1205" s="3">
        <v>5540246188200</v>
      </c>
      <c r="D1205" s="6">
        <v>44817</v>
      </c>
      <c r="E1205" s="8">
        <v>1485</v>
      </c>
      <c r="F1205" s="23" t="str">
        <f>IFERROR(VLOOKUP(C1205, 'Catégorie des articles'!$A:$D, 4, FALSE), "")</f>
        <v>CREMERIE</v>
      </c>
      <c r="G1205">
        <f t="shared" si="18"/>
        <v>202209</v>
      </c>
    </row>
    <row r="1206" spans="1:7" ht="12" customHeight="1">
      <c r="A1206" s="9">
        <v>44815</v>
      </c>
      <c r="B1206" s="10">
        <v>143348014</v>
      </c>
      <c r="C1206" s="3">
        <v>5540246177376</v>
      </c>
      <c r="D1206" s="9">
        <v>44832</v>
      </c>
      <c r="E1206" s="11">
        <v>1420</v>
      </c>
      <c r="F1206" s="23" t="str">
        <f>IFERROR(VLOOKUP(C1206, 'Catégorie des articles'!$A:$D, 4, FALSE), "")</f>
        <v>BOULANGERIE</v>
      </c>
      <c r="G1206">
        <f t="shared" si="18"/>
        <v>202209</v>
      </c>
    </row>
    <row r="1207" spans="1:7" ht="12" customHeight="1">
      <c r="A1207" s="6">
        <v>44815</v>
      </c>
      <c r="B1207" s="7">
        <v>143348022</v>
      </c>
      <c r="C1207" s="3">
        <v>5540246194632</v>
      </c>
      <c r="D1207" s="6">
        <v>44823</v>
      </c>
      <c r="E1207" s="8">
        <v>2172</v>
      </c>
      <c r="F1207" s="23" t="str">
        <f>IFERROR(VLOOKUP(C1207, 'Catégorie des articles'!$A:$D, 4, FALSE), "")</f>
        <v>BOULANGERIE</v>
      </c>
      <c r="G1207">
        <f t="shared" si="18"/>
        <v>202209</v>
      </c>
    </row>
    <row r="1208" spans="1:7" ht="12" customHeight="1">
      <c r="A1208" s="9">
        <v>44815</v>
      </c>
      <c r="B1208" s="10">
        <v>143348023</v>
      </c>
      <c r="C1208" s="3">
        <v>5540246184036</v>
      </c>
      <c r="D1208" s="9">
        <v>44824</v>
      </c>
      <c r="E1208" s="11">
        <v>130</v>
      </c>
      <c r="F1208" s="23" t="str">
        <f>IFERROR(VLOOKUP(C1208, 'Catégorie des articles'!$A:$D, 4, FALSE), "")</f>
        <v>BOULANGERIE</v>
      </c>
      <c r="G1208">
        <f t="shared" si="18"/>
        <v>202209</v>
      </c>
    </row>
    <row r="1209" spans="1:7" ht="12" customHeight="1">
      <c r="A1209" s="6">
        <v>44815</v>
      </c>
      <c r="B1209" s="7">
        <v>143348023</v>
      </c>
      <c r="C1209" s="3">
        <v>5540246191596</v>
      </c>
      <c r="D1209" s="6">
        <v>44824</v>
      </c>
      <c r="E1209" s="8">
        <v>149</v>
      </c>
      <c r="F1209" s="23" t="str">
        <f>IFERROR(VLOOKUP(C1209, 'Catégorie des articles'!$A:$D, 4, FALSE), "")</f>
        <v>BOULANGERIE</v>
      </c>
      <c r="G1209">
        <f t="shared" si="18"/>
        <v>202209</v>
      </c>
    </row>
    <row r="1210" spans="1:7" ht="12" customHeight="1">
      <c r="A1210" s="9">
        <v>44815</v>
      </c>
      <c r="B1210" s="10">
        <v>143348031</v>
      </c>
      <c r="C1210" s="3">
        <v>5540246171759</v>
      </c>
      <c r="D1210" s="9">
        <v>44822</v>
      </c>
      <c r="E1210" s="11">
        <v>2506</v>
      </c>
      <c r="F1210" s="23" t="str">
        <f>IFERROR(VLOOKUP(C1210, 'Catégorie des articles'!$A:$D, 4, FALSE), "")</f>
        <v>MIX LEGUMES</v>
      </c>
      <c r="G1210">
        <f t="shared" si="18"/>
        <v>202209</v>
      </c>
    </row>
    <row r="1211" spans="1:7" ht="12" customHeight="1">
      <c r="A1211" s="6">
        <v>44815</v>
      </c>
      <c r="B1211" s="7">
        <v>143348031</v>
      </c>
      <c r="C1211" s="3">
        <v>5540246177133</v>
      </c>
      <c r="D1211" s="6">
        <v>44822</v>
      </c>
      <c r="E1211" s="8">
        <v>5568</v>
      </c>
      <c r="F1211" s="23" t="str">
        <f>IFERROR(VLOOKUP(C1211, 'Catégorie des articles'!$A:$D, 4, FALSE), "")</f>
        <v>MIX LEGUMES</v>
      </c>
      <c r="G1211">
        <f t="shared" si="18"/>
        <v>202209</v>
      </c>
    </row>
    <row r="1212" spans="1:7" ht="12" customHeight="1">
      <c r="A1212" s="9">
        <v>44815</v>
      </c>
      <c r="B1212" s="10">
        <v>143348031</v>
      </c>
      <c r="C1212" s="3">
        <v>5540246192148</v>
      </c>
      <c r="D1212" s="9">
        <v>44822</v>
      </c>
      <c r="E1212" s="11">
        <v>26448</v>
      </c>
      <c r="F1212" s="23" t="str">
        <f>IFERROR(VLOOKUP(C1212, 'Catégorie des articles'!$A:$D, 4, FALSE), "")</f>
        <v>MIX LEGUMES</v>
      </c>
      <c r="G1212">
        <f t="shared" si="18"/>
        <v>202209</v>
      </c>
    </row>
    <row r="1213" spans="1:7" ht="12" customHeight="1">
      <c r="A1213" s="9">
        <v>44815</v>
      </c>
      <c r="B1213" s="10">
        <v>143348032</v>
      </c>
      <c r="C1213" s="3">
        <v>5540246183587</v>
      </c>
      <c r="D1213" s="9">
        <v>44825</v>
      </c>
      <c r="E1213" s="11">
        <v>502</v>
      </c>
      <c r="F1213" s="23" t="str">
        <f>IFERROR(VLOOKUP(C1213, 'Catégorie des articles'!$A:$D, 4, FALSE), "")</f>
        <v>MIX LEGUMES</v>
      </c>
      <c r="G1213">
        <f t="shared" si="18"/>
        <v>202209</v>
      </c>
    </row>
    <row r="1214" spans="1:7" ht="12" customHeight="1">
      <c r="A1214" s="6">
        <v>44815</v>
      </c>
      <c r="B1214" s="7">
        <v>143348037</v>
      </c>
      <c r="C1214" s="3">
        <v>5540246170256</v>
      </c>
      <c r="D1214" s="6">
        <v>44824</v>
      </c>
      <c r="E1214" s="8">
        <v>2822</v>
      </c>
      <c r="F1214" s="23" t="str">
        <f>IFERROR(VLOOKUP(C1214, 'Catégorie des articles'!$A:$D, 4, FALSE), "")</f>
        <v>BOULANGERIE</v>
      </c>
      <c r="G1214">
        <f t="shared" si="18"/>
        <v>202209</v>
      </c>
    </row>
    <row r="1215" spans="1:7" ht="12" customHeight="1">
      <c r="A1215" s="9">
        <v>44815</v>
      </c>
      <c r="B1215" s="10">
        <v>143348037</v>
      </c>
      <c r="C1215" s="3">
        <v>5540246171888</v>
      </c>
      <c r="D1215" s="9">
        <v>44824</v>
      </c>
      <c r="E1215" s="11">
        <v>780</v>
      </c>
      <c r="F1215" s="23" t="str">
        <f>IFERROR(VLOOKUP(C1215, 'Catégorie des articles'!$A:$D, 4, FALSE), "")</f>
        <v>BOULANGERIE</v>
      </c>
      <c r="G1215">
        <f t="shared" si="18"/>
        <v>202209</v>
      </c>
    </row>
    <row r="1216" spans="1:7" ht="12" customHeight="1">
      <c r="A1216" s="6">
        <v>44815</v>
      </c>
      <c r="B1216" s="7">
        <v>143348038</v>
      </c>
      <c r="C1216" s="3">
        <v>5540246193316</v>
      </c>
      <c r="D1216" s="6">
        <v>44824</v>
      </c>
      <c r="E1216" s="8">
        <v>335</v>
      </c>
      <c r="F1216" s="23" t="str">
        <f>IFERROR(VLOOKUP(C1216, 'Catégorie des articles'!$A:$D, 4, FALSE), "")</f>
        <v>BOULANGERIE</v>
      </c>
      <c r="G1216">
        <f t="shared" si="18"/>
        <v>202209</v>
      </c>
    </row>
    <row r="1217" spans="1:7" ht="12" customHeight="1">
      <c r="A1217" s="9">
        <v>44815</v>
      </c>
      <c r="B1217" s="10">
        <v>143348039</v>
      </c>
      <c r="C1217" s="3">
        <v>5540246180522</v>
      </c>
      <c r="D1217" s="9">
        <v>44830</v>
      </c>
      <c r="E1217" s="11">
        <v>891</v>
      </c>
      <c r="F1217" s="23" t="str">
        <f>IFERROR(VLOOKUP(C1217, 'Catégorie des articles'!$A:$D, 4, FALSE), "")</f>
        <v>BOULANGERIE</v>
      </c>
      <c r="G1217">
        <f t="shared" si="18"/>
        <v>202209</v>
      </c>
    </row>
    <row r="1218" spans="1:7" ht="12" customHeight="1">
      <c r="A1218" s="6">
        <v>44816</v>
      </c>
      <c r="B1218" s="7">
        <v>143348065</v>
      </c>
      <c r="C1218" s="3">
        <v>5540246172978</v>
      </c>
      <c r="D1218" s="6">
        <v>44818</v>
      </c>
      <c r="E1218" s="8">
        <v>1671</v>
      </c>
      <c r="F1218" s="23" t="str">
        <f>IFERROR(VLOOKUP(C1218, 'Catégorie des articles'!$A:$D, 4, FALSE), "")</f>
        <v>CREMERIE</v>
      </c>
      <c r="G1218">
        <f t="shared" si="18"/>
        <v>202209</v>
      </c>
    </row>
    <row r="1219" spans="1:7" ht="12" customHeight="1">
      <c r="A1219" s="6">
        <v>44816</v>
      </c>
      <c r="B1219" s="7">
        <v>143348065</v>
      </c>
      <c r="C1219" s="3">
        <v>5540246176699</v>
      </c>
      <c r="D1219" s="6">
        <v>44818</v>
      </c>
      <c r="E1219" s="8">
        <v>4176</v>
      </c>
      <c r="F1219" s="23" t="str">
        <f>IFERROR(VLOOKUP(C1219, 'Catégorie des articles'!$A:$D, 4, FALSE), "")</f>
        <v>CREMERIE</v>
      </c>
      <c r="G1219">
        <f t="shared" ref="G1219:G1282" si="19">YEAR(D1219)*100 + MONTH(D1219)</f>
        <v>202209</v>
      </c>
    </row>
    <row r="1220" spans="1:7" ht="12" customHeight="1">
      <c r="A1220" s="9">
        <v>44816</v>
      </c>
      <c r="B1220" s="10">
        <v>143348065</v>
      </c>
      <c r="C1220" s="3">
        <v>5540246188175</v>
      </c>
      <c r="D1220" s="9">
        <v>44818</v>
      </c>
      <c r="E1220" s="11">
        <v>232</v>
      </c>
      <c r="F1220" s="23" t="str">
        <f>IFERROR(VLOOKUP(C1220, 'Catégorie des articles'!$A:$D, 4, FALSE), "")</f>
        <v>CREMERIE</v>
      </c>
      <c r="G1220">
        <f t="shared" si="19"/>
        <v>202209</v>
      </c>
    </row>
    <row r="1221" spans="1:7" ht="12" customHeight="1">
      <c r="A1221" s="6">
        <v>44816</v>
      </c>
      <c r="B1221" s="7">
        <v>143348067</v>
      </c>
      <c r="C1221" s="3">
        <v>5540246171933</v>
      </c>
      <c r="D1221" s="6">
        <v>44818</v>
      </c>
      <c r="E1221" s="8">
        <v>1114</v>
      </c>
      <c r="F1221" s="23" t="str">
        <f>IFERROR(VLOOKUP(C1221, 'Catégorie des articles'!$A:$D, 4, FALSE), "")</f>
        <v>CREMERIE</v>
      </c>
      <c r="G1221">
        <f t="shared" si="19"/>
        <v>202209</v>
      </c>
    </row>
    <row r="1222" spans="1:7" ht="12" customHeight="1">
      <c r="A1222" s="6">
        <v>44816</v>
      </c>
      <c r="B1222" s="7">
        <v>143348067</v>
      </c>
      <c r="C1222" s="3">
        <v>5540246176295</v>
      </c>
      <c r="D1222" s="6">
        <v>44818</v>
      </c>
      <c r="E1222" s="8">
        <v>7424</v>
      </c>
      <c r="F1222" s="23" t="str">
        <f>IFERROR(VLOOKUP(C1222, 'Catégorie des articles'!$A:$D, 4, FALSE), "")</f>
        <v>CREMERIE</v>
      </c>
      <c r="G1222">
        <f t="shared" si="19"/>
        <v>202209</v>
      </c>
    </row>
    <row r="1223" spans="1:7" ht="12" customHeight="1">
      <c r="A1223" s="6">
        <v>44816</v>
      </c>
      <c r="B1223" s="7">
        <v>143348067</v>
      </c>
      <c r="C1223" s="3">
        <v>5540246187987</v>
      </c>
      <c r="D1223" s="6">
        <v>44818</v>
      </c>
      <c r="E1223" s="8">
        <v>2228</v>
      </c>
      <c r="F1223" s="23" t="str">
        <f>IFERROR(VLOOKUP(C1223, 'Catégorie des articles'!$A:$D, 4, FALSE), "")</f>
        <v>CREMERIE</v>
      </c>
      <c r="G1223">
        <f t="shared" si="19"/>
        <v>202209</v>
      </c>
    </row>
    <row r="1224" spans="1:7" ht="12" customHeight="1">
      <c r="A1224" s="6">
        <v>44816</v>
      </c>
      <c r="B1224" s="7">
        <v>143348080</v>
      </c>
      <c r="C1224" s="3">
        <v>5540246195539</v>
      </c>
      <c r="D1224" s="6">
        <v>44819</v>
      </c>
      <c r="E1224" s="8">
        <v>418</v>
      </c>
      <c r="F1224" s="23" t="str">
        <f>IFERROR(VLOOKUP(C1224, 'Catégorie des articles'!$A:$D, 4, FALSE), "")</f>
        <v>CREMERIE</v>
      </c>
      <c r="G1224">
        <f t="shared" si="19"/>
        <v>202209</v>
      </c>
    </row>
    <row r="1225" spans="1:7" ht="12" customHeight="1">
      <c r="A1225" s="9">
        <v>44817</v>
      </c>
      <c r="B1225" s="10">
        <v>143348104</v>
      </c>
      <c r="C1225" s="3">
        <v>5540246171933</v>
      </c>
      <c r="D1225" s="9">
        <v>44819</v>
      </c>
      <c r="E1225" s="11">
        <v>836</v>
      </c>
      <c r="F1225" s="23" t="str">
        <f>IFERROR(VLOOKUP(C1225, 'Catégorie des articles'!$A:$D, 4, FALSE), "")</f>
        <v>CREMERIE</v>
      </c>
      <c r="G1225">
        <f t="shared" si="19"/>
        <v>202209</v>
      </c>
    </row>
    <row r="1226" spans="1:7" ht="12" customHeight="1">
      <c r="A1226" s="6">
        <v>44817</v>
      </c>
      <c r="B1226" s="7">
        <v>143348104</v>
      </c>
      <c r="C1226" s="3">
        <v>5540246176295</v>
      </c>
      <c r="D1226" s="6">
        <v>44819</v>
      </c>
      <c r="E1226" s="8">
        <v>11136</v>
      </c>
      <c r="F1226" s="23" t="str">
        <f>IFERROR(VLOOKUP(C1226, 'Catégorie des articles'!$A:$D, 4, FALSE), "")</f>
        <v>CREMERIE</v>
      </c>
      <c r="G1226">
        <f t="shared" si="19"/>
        <v>202209</v>
      </c>
    </row>
    <row r="1227" spans="1:7" ht="12" customHeight="1">
      <c r="A1227" s="9">
        <v>44817</v>
      </c>
      <c r="B1227" s="10">
        <v>143348104</v>
      </c>
      <c r="C1227" s="3">
        <v>5540246187987</v>
      </c>
      <c r="D1227" s="9">
        <v>44819</v>
      </c>
      <c r="E1227" s="11">
        <v>4455</v>
      </c>
      <c r="F1227" s="23" t="str">
        <f>IFERROR(VLOOKUP(C1227, 'Catégorie des articles'!$A:$D, 4, FALSE), "")</f>
        <v>CREMERIE</v>
      </c>
      <c r="G1227">
        <f t="shared" si="19"/>
        <v>202209</v>
      </c>
    </row>
    <row r="1228" spans="1:7" ht="12" customHeight="1">
      <c r="A1228" s="6">
        <v>44817</v>
      </c>
      <c r="B1228" s="7">
        <v>143348104</v>
      </c>
      <c r="C1228" s="3">
        <v>5540246188200</v>
      </c>
      <c r="D1228" s="6">
        <v>44819</v>
      </c>
      <c r="E1228" s="8">
        <v>1485</v>
      </c>
      <c r="F1228" s="23" t="str">
        <f>IFERROR(VLOOKUP(C1228, 'Catégorie des articles'!$A:$D, 4, FALSE), "")</f>
        <v>CREMERIE</v>
      </c>
      <c r="G1228">
        <f t="shared" si="19"/>
        <v>202209</v>
      </c>
    </row>
    <row r="1229" spans="1:7" ht="12" customHeight="1">
      <c r="A1229" s="9">
        <v>44817</v>
      </c>
      <c r="B1229" s="10">
        <v>143348105</v>
      </c>
      <c r="C1229" s="3">
        <v>5540246172539</v>
      </c>
      <c r="D1229" s="9">
        <v>44819</v>
      </c>
      <c r="E1229" s="11">
        <v>47</v>
      </c>
      <c r="F1229" s="23" t="str">
        <f>IFERROR(VLOOKUP(C1229, 'Catégorie des articles'!$A:$D, 4, FALSE), "")</f>
        <v>CREMERIE</v>
      </c>
      <c r="G1229">
        <f t="shared" si="19"/>
        <v>202209</v>
      </c>
    </row>
    <row r="1230" spans="1:7" ht="12" customHeight="1">
      <c r="A1230" s="6">
        <v>44817</v>
      </c>
      <c r="B1230" s="7">
        <v>143348105</v>
      </c>
      <c r="C1230" s="3">
        <v>5540246172669</v>
      </c>
      <c r="D1230" s="6">
        <v>44819</v>
      </c>
      <c r="E1230" s="8">
        <v>279</v>
      </c>
      <c r="F1230" s="23" t="str">
        <f>IFERROR(VLOOKUP(C1230, 'Catégorie des articles'!$A:$D, 4, FALSE), "")</f>
        <v>CREMERIE</v>
      </c>
      <c r="G1230">
        <f t="shared" si="19"/>
        <v>202209</v>
      </c>
    </row>
    <row r="1231" spans="1:7" ht="12" customHeight="1">
      <c r="A1231" s="9">
        <v>44817</v>
      </c>
      <c r="B1231" s="10">
        <v>143348105</v>
      </c>
      <c r="C1231" s="3">
        <v>5540246172978</v>
      </c>
      <c r="D1231" s="9">
        <v>44819</v>
      </c>
      <c r="E1231" s="11">
        <v>1671</v>
      </c>
      <c r="F1231" s="23" t="str">
        <f>IFERROR(VLOOKUP(C1231, 'Catégorie des articles'!$A:$D, 4, FALSE), "")</f>
        <v>CREMERIE</v>
      </c>
      <c r="G1231">
        <f t="shared" si="19"/>
        <v>202209</v>
      </c>
    </row>
    <row r="1232" spans="1:7" ht="12" customHeight="1">
      <c r="A1232" s="9">
        <v>44817</v>
      </c>
      <c r="B1232" s="10">
        <v>143348105</v>
      </c>
      <c r="C1232" s="3">
        <v>5540246174174</v>
      </c>
      <c r="D1232" s="9">
        <v>44819</v>
      </c>
      <c r="E1232" s="11">
        <v>464</v>
      </c>
      <c r="F1232" s="23" t="str">
        <f>IFERROR(VLOOKUP(C1232, 'Catégorie des articles'!$A:$D, 4, FALSE), "")</f>
        <v>CREMERIE</v>
      </c>
      <c r="G1232">
        <f t="shared" si="19"/>
        <v>202209</v>
      </c>
    </row>
    <row r="1233" spans="1:7" ht="12" customHeight="1">
      <c r="A1233" s="6">
        <v>44817</v>
      </c>
      <c r="B1233" s="7">
        <v>143348107</v>
      </c>
      <c r="C1233" s="3">
        <v>5540246174095</v>
      </c>
      <c r="D1233" s="6">
        <v>44824</v>
      </c>
      <c r="E1233" s="8">
        <v>140</v>
      </c>
      <c r="F1233" s="23" t="str">
        <f>IFERROR(VLOOKUP(C1233, 'Catégorie des articles'!$A:$D, 4, FALSE), "")</f>
        <v>CREMERIE</v>
      </c>
      <c r="G1233">
        <f t="shared" si="19"/>
        <v>202209</v>
      </c>
    </row>
    <row r="1234" spans="1:7" ht="12" customHeight="1">
      <c r="A1234" s="9">
        <v>44817</v>
      </c>
      <c r="B1234" s="10">
        <v>143348107</v>
      </c>
      <c r="C1234" s="3">
        <v>5540246175049</v>
      </c>
      <c r="D1234" s="9">
        <v>44824</v>
      </c>
      <c r="E1234" s="11">
        <v>418</v>
      </c>
      <c r="F1234" s="23" t="str">
        <f>IFERROR(VLOOKUP(C1234, 'Catégorie des articles'!$A:$D, 4, FALSE), "")</f>
        <v>CREMERIE</v>
      </c>
      <c r="G1234">
        <f t="shared" si="19"/>
        <v>202209</v>
      </c>
    </row>
    <row r="1235" spans="1:7" ht="12" customHeight="1">
      <c r="A1235" s="6">
        <v>44817</v>
      </c>
      <c r="B1235" s="7">
        <v>143348107</v>
      </c>
      <c r="C1235" s="3">
        <v>5540246175050</v>
      </c>
      <c r="D1235" s="6">
        <v>44824</v>
      </c>
      <c r="E1235" s="8">
        <v>279</v>
      </c>
      <c r="F1235" s="23" t="str">
        <f>IFERROR(VLOOKUP(C1235, 'Catégorie des articles'!$A:$D, 4, FALSE), "")</f>
        <v>CREMERIE</v>
      </c>
      <c r="G1235">
        <f t="shared" si="19"/>
        <v>202209</v>
      </c>
    </row>
    <row r="1236" spans="1:7" ht="12" customHeight="1">
      <c r="A1236" s="9">
        <v>44817</v>
      </c>
      <c r="B1236" s="10">
        <v>143348107</v>
      </c>
      <c r="C1236" s="3">
        <v>5540246190743</v>
      </c>
      <c r="D1236" s="9">
        <v>44824</v>
      </c>
      <c r="E1236" s="11">
        <v>279</v>
      </c>
      <c r="F1236" s="23" t="str">
        <f>IFERROR(VLOOKUP(C1236, 'Catégorie des articles'!$A:$D, 4, FALSE), "")</f>
        <v>CREMERIE</v>
      </c>
      <c r="G1236">
        <f t="shared" si="19"/>
        <v>202209</v>
      </c>
    </row>
    <row r="1237" spans="1:7" ht="12" customHeight="1">
      <c r="A1237" s="6">
        <v>44817</v>
      </c>
      <c r="B1237" s="7">
        <v>143348110</v>
      </c>
      <c r="C1237" s="3">
        <v>5540246176294</v>
      </c>
      <c r="D1237" s="6">
        <v>44818</v>
      </c>
      <c r="E1237" s="8">
        <v>1485</v>
      </c>
      <c r="F1237" s="23" t="str">
        <f>IFERROR(VLOOKUP(C1237, 'Catégorie des articles'!$A:$D, 4, FALSE), "")</f>
        <v>CREMERIE</v>
      </c>
      <c r="G1237">
        <f t="shared" si="19"/>
        <v>202209</v>
      </c>
    </row>
    <row r="1238" spans="1:7" ht="12" customHeight="1">
      <c r="A1238" s="9">
        <v>44818</v>
      </c>
      <c r="B1238" s="10">
        <v>143348122</v>
      </c>
      <c r="C1238" s="3">
        <v>5540246171933</v>
      </c>
      <c r="D1238" s="9">
        <v>44822</v>
      </c>
      <c r="E1238" s="11">
        <v>557</v>
      </c>
      <c r="F1238" s="23" t="str">
        <f>IFERROR(VLOOKUP(C1238, 'Catégorie des articles'!$A:$D, 4, FALSE), "")</f>
        <v>CREMERIE</v>
      </c>
      <c r="G1238">
        <f t="shared" si="19"/>
        <v>202209</v>
      </c>
    </row>
    <row r="1239" spans="1:7" ht="12" customHeight="1">
      <c r="A1239" s="6">
        <v>44818</v>
      </c>
      <c r="B1239" s="7">
        <v>143348122</v>
      </c>
      <c r="C1239" s="3">
        <v>5540246187987</v>
      </c>
      <c r="D1239" s="6">
        <v>44822</v>
      </c>
      <c r="E1239" s="8">
        <v>1671</v>
      </c>
      <c r="F1239" s="23" t="str">
        <f>IFERROR(VLOOKUP(C1239, 'Catégorie des articles'!$A:$D, 4, FALSE), "")</f>
        <v>CREMERIE</v>
      </c>
      <c r="G1239">
        <f t="shared" si="19"/>
        <v>202209</v>
      </c>
    </row>
    <row r="1240" spans="1:7" ht="12" customHeight="1">
      <c r="A1240" s="9">
        <v>44818</v>
      </c>
      <c r="B1240" s="10">
        <v>143348122</v>
      </c>
      <c r="C1240" s="3">
        <v>5540246188200</v>
      </c>
      <c r="D1240" s="9">
        <v>44822</v>
      </c>
      <c r="E1240" s="11">
        <v>1485</v>
      </c>
      <c r="F1240" s="23" t="str">
        <f>IFERROR(VLOOKUP(C1240, 'Catégorie des articles'!$A:$D, 4, FALSE), "")</f>
        <v>CREMERIE</v>
      </c>
      <c r="G1240">
        <f t="shared" si="19"/>
        <v>202209</v>
      </c>
    </row>
    <row r="1241" spans="1:7" ht="12" customHeight="1">
      <c r="A1241" s="6">
        <v>44818</v>
      </c>
      <c r="B1241" s="7">
        <v>143348124</v>
      </c>
      <c r="C1241" s="3">
        <v>5540246176699</v>
      </c>
      <c r="D1241" s="6">
        <v>44822</v>
      </c>
      <c r="E1241" s="8">
        <v>2088</v>
      </c>
      <c r="F1241" s="23" t="str">
        <f>IFERROR(VLOOKUP(C1241, 'Catégorie des articles'!$A:$D, 4, FALSE), "")</f>
        <v>CREMERIE</v>
      </c>
      <c r="G1241">
        <f t="shared" si="19"/>
        <v>202209</v>
      </c>
    </row>
    <row r="1242" spans="1:7" ht="12" customHeight="1">
      <c r="A1242" s="9">
        <v>44818</v>
      </c>
      <c r="B1242" s="10">
        <v>143348124</v>
      </c>
      <c r="C1242" s="3">
        <v>5540246192102</v>
      </c>
      <c r="D1242" s="9">
        <v>44822</v>
      </c>
      <c r="E1242" s="11">
        <v>4009</v>
      </c>
      <c r="F1242" s="23" t="str">
        <f>IFERROR(VLOOKUP(C1242, 'Catégorie des articles'!$A:$D, 4, FALSE), "")</f>
        <v>CREMERIE</v>
      </c>
      <c r="G1242">
        <f t="shared" si="19"/>
        <v>202209</v>
      </c>
    </row>
    <row r="1243" spans="1:7" ht="12" customHeight="1">
      <c r="A1243" s="9">
        <v>44818</v>
      </c>
      <c r="B1243" s="10">
        <v>143348129</v>
      </c>
      <c r="C1243" s="3">
        <v>5540246185429</v>
      </c>
      <c r="D1243" s="9">
        <v>44824</v>
      </c>
      <c r="E1243" s="11">
        <v>140</v>
      </c>
      <c r="F1243" s="23" t="str">
        <f>IFERROR(VLOOKUP(C1243, 'Catégorie des articles'!$A:$D, 4, FALSE), "")</f>
        <v>CREMERIE</v>
      </c>
      <c r="G1243">
        <f t="shared" si="19"/>
        <v>202209</v>
      </c>
    </row>
    <row r="1244" spans="1:7" ht="12" customHeight="1">
      <c r="A1244" s="6">
        <v>44818</v>
      </c>
      <c r="B1244" s="7">
        <v>143348129</v>
      </c>
      <c r="C1244" s="3">
        <v>5540246186325</v>
      </c>
      <c r="D1244" s="6">
        <v>44824</v>
      </c>
      <c r="E1244" s="8">
        <v>140</v>
      </c>
      <c r="F1244" s="23" t="str">
        <f>IFERROR(VLOOKUP(C1244, 'Catégorie des articles'!$A:$D, 4, FALSE), "")</f>
        <v>CREMERIE</v>
      </c>
      <c r="G1244">
        <f t="shared" si="19"/>
        <v>202209</v>
      </c>
    </row>
    <row r="1245" spans="1:7" ht="12" customHeight="1">
      <c r="A1245" s="9">
        <v>44818</v>
      </c>
      <c r="B1245" s="10">
        <v>143348133</v>
      </c>
      <c r="C1245" s="3">
        <v>5540246173906</v>
      </c>
      <c r="D1245" s="9">
        <v>44830</v>
      </c>
      <c r="E1245" s="11">
        <v>1634</v>
      </c>
      <c r="F1245" s="23" t="str">
        <f>IFERROR(VLOOKUP(C1245, 'Catégorie des articles'!$A:$D, 4, FALSE), "")</f>
        <v>VOLAILLE</v>
      </c>
      <c r="G1245">
        <f t="shared" si="19"/>
        <v>202209</v>
      </c>
    </row>
    <row r="1246" spans="1:7" ht="12" customHeight="1">
      <c r="A1246" s="6">
        <v>44818</v>
      </c>
      <c r="B1246" s="7">
        <v>143348133</v>
      </c>
      <c r="C1246" s="3">
        <v>5540246181016</v>
      </c>
      <c r="D1246" s="6">
        <v>44830</v>
      </c>
      <c r="E1246" s="8">
        <v>7128</v>
      </c>
      <c r="F1246" s="23" t="str">
        <f>IFERROR(VLOOKUP(C1246, 'Catégorie des articles'!$A:$D, 4, FALSE), "")</f>
        <v>VOLAILLE</v>
      </c>
      <c r="G1246">
        <f t="shared" si="19"/>
        <v>202209</v>
      </c>
    </row>
    <row r="1247" spans="1:7" ht="12" customHeight="1">
      <c r="A1247" s="6">
        <v>44818</v>
      </c>
      <c r="B1247" s="7">
        <v>143348138</v>
      </c>
      <c r="C1247" s="3">
        <v>5540246194632</v>
      </c>
      <c r="D1247" s="6">
        <v>44829</v>
      </c>
      <c r="E1247" s="8">
        <v>1337</v>
      </c>
      <c r="F1247" s="23" t="str">
        <f>IFERROR(VLOOKUP(C1247, 'Catégorie des articles'!$A:$D, 4, FALSE), "")</f>
        <v>BOULANGERIE</v>
      </c>
      <c r="G1247">
        <f t="shared" si="19"/>
        <v>202209</v>
      </c>
    </row>
    <row r="1248" spans="1:7" ht="12" customHeight="1">
      <c r="A1248" s="9">
        <v>44818</v>
      </c>
      <c r="B1248" s="10">
        <v>143348138</v>
      </c>
      <c r="C1248" s="3">
        <v>5540246195250</v>
      </c>
      <c r="D1248" s="9">
        <v>44829</v>
      </c>
      <c r="E1248" s="11">
        <v>84</v>
      </c>
      <c r="F1248" s="23" t="str">
        <f>IFERROR(VLOOKUP(C1248, 'Catégorie des articles'!$A:$D, 4, FALSE), "")</f>
        <v>BOULANGERIE</v>
      </c>
      <c r="G1248">
        <f t="shared" si="19"/>
        <v>202209</v>
      </c>
    </row>
    <row r="1249" spans="1:7" ht="12" customHeight="1">
      <c r="A1249" s="9">
        <v>44818</v>
      </c>
      <c r="B1249" s="10">
        <v>143348139</v>
      </c>
      <c r="C1249" s="3">
        <v>5540246171759</v>
      </c>
      <c r="D1249" s="9">
        <v>44826</v>
      </c>
      <c r="E1249" s="11">
        <v>5012</v>
      </c>
      <c r="F1249" s="23" t="str">
        <f>IFERROR(VLOOKUP(C1249, 'Catégorie des articles'!$A:$D, 4, FALSE), "")</f>
        <v>MIX LEGUMES</v>
      </c>
      <c r="G1249">
        <f t="shared" si="19"/>
        <v>202209</v>
      </c>
    </row>
    <row r="1250" spans="1:7" ht="12" customHeight="1">
      <c r="A1250" s="6">
        <v>44818</v>
      </c>
      <c r="B1250" s="7">
        <v>143348139</v>
      </c>
      <c r="C1250" s="3">
        <v>5540246177133</v>
      </c>
      <c r="D1250" s="6">
        <v>44826</v>
      </c>
      <c r="E1250" s="8">
        <v>4455</v>
      </c>
      <c r="F1250" s="23" t="str">
        <f>IFERROR(VLOOKUP(C1250, 'Catégorie des articles'!$A:$D, 4, FALSE), "")</f>
        <v>MIX LEGUMES</v>
      </c>
      <c r="G1250">
        <f t="shared" si="19"/>
        <v>202209</v>
      </c>
    </row>
    <row r="1251" spans="1:7" ht="12" customHeight="1">
      <c r="A1251" s="9">
        <v>44818</v>
      </c>
      <c r="B1251" s="10">
        <v>143348139</v>
      </c>
      <c r="C1251" s="3">
        <v>5540246192148</v>
      </c>
      <c r="D1251" s="9">
        <v>44826</v>
      </c>
      <c r="E1251" s="11">
        <v>19488</v>
      </c>
      <c r="F1251" s="23" t="str">
        <f>IFERROR(VLOOKUP(C1251, 'Catégorie des articles'!$A:$D, 4, FALSE), "")</f>
        <v>MIX LEGUMES</v>
      </c>
      <c r="G1251">
        <f t="shared" si="19"/>
        <v>202209</v>
      </c>
    </row>
    <row r="1252" spans="1:7" ht="12" customHeight="1">
      <c r="A1252" s="6">
        <v>44819</v>
      </c>
      <c r="B1252" s="7">
        <v>143348147</v>
      </c>
      <c r="C1252" s="3">
        <v>5540246195241</v>
      </c>
      <c r="D1252" s="6">
        <v>44822</v>
      </c>
      <c r="E1252" s="8">
        <v>325</v>
      </c>
      <c r="F1252" s="23" t="str">
        <f>IFERROR(VLOOKUP(C1252, 'Catégorie des articles'!$A:$D, 4, FALSE), "")</f>
        <v>MIX LEGUMES</v>
      </c>
      <c r="G1252">
        <f t="shared" si="19"/>
        <v>202209</v>
      </c>
    </row>
    <row r="1253" spans="1:7" ht="12" customHeight="1">
      <c r="A1253" s="6">
        <v>44819</v>
      </c>
      <c r="B1253" s="7">
        <v>143348149</v>
      </c>
      <c r="C1253" s="3">
        <v>5540246176699</v>
      </c>
      <c r="D1253" s="6">
        <v>44823</v>
      </c>
      <c r="E1253" s="8">
        <v>2088</v>
      </c>
      <c r="F1253" s="23" t="str">
        <f>IFERROR(VLOOKUP(C1253, 'Catégorie des articles'!$A:$D, 4, FALSE), "")</f>
        <v>CREMERIE</v>
      </c>
      <c r="G1253">
        <f t="shared" si="19"/>
        <v>202209</v>
      </c>
    </row>
    <row r="1254" spans="1:7" ht="12" customHeight="1">
      <c r="A1254" s="9">
        <v>44819</v>
      </c>
      <c r="B1254" s="10">
        <v>143348170</v>
      </c>
      <c r="C1254" s="3">
        <v>5540246191594</v>
      </c>
      <c r="D1254" s="9">
        <v>44824</v>
      </c>
      <c r="E1254" s="11">
        <v>1504</v>
      </c>
      <c r="F1254" s="23" t="str">
        <f>IFERROR(VLOOKUP(C1254, 'Catégorie des articles'!$A:$D, 4, FALSE), "")</f>
        <v>CREMERIE</v>
      </c>
      <c r="G1254">
        <f t="shared" si="19"/>
        <v>202209</v>
      </c>
    </row>
    <row r="1255" spans="1:7" ht="12" customHeight="1">
      <c r="A1255" s="6">
        <v>44822</v>
      </c>
      <c r="B1255" s="7">
        <v>143358173</v>
      </c>
      <c r="C1255" s="3">
        <v>5540246176294</v>
      </c>
      <c r="D1255" s="6">
        <v>44824</v>
      </c>
      <c r="E1255" s="8">
        <v>372</v>
      </c>
      <c r="F1255" s="23" t="str">
        <f>IFERROR(VLOOKUP(C1255, 'Catégorie des articles'!$A:$D, 4, FALSE), "")</f>
        <v>CREMERIE</v>
      </c>
      <c r="G1255">
        <f t="shared" si="19"/>
        <v>202209</v>
      </c>
    </row>
    <row r="1256" spans="1:7" ht="12" customHeight="1">
      <c r="A1256" s="9">
        <v>44822</v>
      </c>
      <c r="B1256" s="10">
        <v>143358173</v>
      </c>
      <c r="C1256" s="3">
        <v>5540246176295</v>
      </c>
      <c r="D1256" s="9">
        <v>44824</v>
      </c>
      <c r="E1256" s="11">
        <v>4455</v>
      </c>
      <c r="F1256" s="23" t="str">
        <f>IFERROR(VLOOKUP(C1256, 'Catégorie des articles'!$A:$D, 4, FALSE), "")</f>
        <v>CREMERIE</v>
      </c>
      <c r="G1256">
        <f t="shared" si="19"/>
        <v>202209</v>
      </c>
    </row>
    <row r="1257" spans="1:7" ht="12" customHeight="1">
      <c r="A1257" s="9">
        <v>44822</v>
      </c>
      <c r="B1257" s="10">
        <v>143358173</v>
      </c>
      <c r="C1257" s="3">
        <v>5540246187987</v>
      </c>
      <c r="D1257" s="9">
        <v>44824</v>
      </c>
      <c r="E1257" s="11">
        <v>2228</v>
      </c>
      <c r="F1257" s="23" t="str">
        <f>IFERROR(VLOOKUP(C1257, 'Catégorie des articles'!$A:$D, 4, FALSE), "")</f>
        <v>CREMERIE</v>
      </c>
      <c r="G1257">
        <f t="shared" si="19"/>
        <v>202209</v>
      </c>
    </row>
    <row r="1258" spans="1:7" ht="12" customHeight="1">
      <c r="A1258" s="6">
        <v>44822</v>
      </c>
      <c r="B1258" s="7">
        <v>143358173</v>
      </c>
      <c r="C1258" s="3">
        <v>5540246188200</v>
      </c>
      <c r="D1258" s="6">
        <v>44824</v>
      </c>
      <c r="E1258" s="8">
        <v>743</v>
      </c>
      <c r="F1258" s="23" t="str">
        <f>IFERROR(VLOOKUP(C1258, 'Catégorie des articles'!$A:$D, 4, FALSE), "")</f>
        <v>CREMERIE</v>
      </c>
      <c r="G1258">
        <f t="shared" si="19"/>
        <v>202209</v>
      </c>
    </row>
    <row r="1259" spans="1:7" ht="12" customHeight="1">
      <c r="A1259" s="9">
        <v>44822</v>
      </c>
      <c r="B1259" s="10">
        <v>143358174</v>
      </c>
      <c r="C1259" s="3">
        <v>5540246172539</v>
      </c>
      <c r="D1259" s="9">
        <v>44824</v>
      </c>
      <c r="E1259" s="11">
        <v>47</v>
      </c>
      <c r="F1259" s="23" t="str">
        <f>IFERROR(VLOOKUP(C1259, 'Catégorie des articles'!$A:$D, 4, FALSE), "")</f>
        <v>CREMERIE</v>
      </c>
      <c r="G1259">
        <f t="shared" si="19"/>
        <v>202209</v>
      </c>
    </row>
    <row r="1260" spans="1:7" ht="12" customHeight="1">
      <c r="A1260" s="6">
        <v>44822</v>
      </c>
      <c r="B1260" s="7">
        <v>143358174</v>
      </c>
      <c r="C1260" s="3">
        <v>5540246172669</v>
      </c>
      <c r="D1260" s="6">
        <v>44824</v>
      </c>
      <c r="E1260" s="8">
        <v>279</v>
      </c>
      <c r="F1260" s="23" t="str">
        <f>IFERROR(VLOOKUP(C1260, 'Catégorie des articles'!$A:$D, 4, FALSE), "")</f>
        <v>CREMERIE</v>
      </c>
      <c r="G1260">
        <f t="shared" si="19"/>
        <v>202209</v>
      </c>
    </row>
    <row r="1261" spans="1:7" ht="12" customHeight="1">
      <c r="A1261" s="9">
        <v>44822</v>
      </c>
      <c r="B1261" s="10">
        <v>143358174</v>
      </c>
      <c r="C1261" s="3">
        <v>5540246172978</v>
      </c>
      <c r="D1261" s="9">
        <v>44824</v>
      </c>
      <c r="E1261" s="11">
        <v>836</v>
      </c>
      <c r="F1261" s="23" t="str">
        <f>IFERROR(VLOOKUP(C1261, 'Catégorie des articles'!$A:$D, 4, FALSE), "")</f>
        <v>CREMERIE</v>
      </c>
      <c r="G1261">
        <f t="shared" si="19"/>
        <v>202209</v>
      </c>
    </row>
    <row r="1262" spans="1:7" ht="12" customHeight="1">
      <c r="A1262" s="6">
        <v>44822</v>
      </c>
      <c r="B1262" s="7">
        <v>143358174</v>
      </c>
      <c r="C1262" s="3">
        <v>5540246176699</v>
      </c>
      <c r="D1262" s="6">
        <v>44824</v>
      </c>
      <c r="E1262" s="8">
        <v>4176</v>
      </c>
      <c r="F1262" s="23" t="str">
        <f>IFERROR(VLOOKUP(C1262, 'Catégorie des articles'!$A:$D, 4, FALSE), "")</f>
        <v>CREMERIE</v>
      </c>
      <c r="G1262">
        <f t="shared" si="19"/>
        <v>202209</v>
      </c>
    </row>
    <row r="1263" spans="1:7" ht="12" customHeight="1">
      <c r="A1263" s="6">
        <v>44822</v>
      </c>
      <c r="B1263" s="7">
        <v>143358180</v>
      </c>
      <c r="C1263" s="3">
        <v>5540246195596</v>
      </c>
      <c r="D1263" s="6">
        <v>44825</v>
      </c>
      <c r="E1263" s="8">
        <v>52</v>
      </c>
      <c r="F1263" s="23" t="str">
        <f>IFERROR(VLOOKUP(C1263, 'Catégorie des articles'!$A:$D, 4, FALSE), "")</f>
        <v>BOULANGERIE</v>
      </c>
      <c r="G1263">
        <f t="shared" si="19"/>
        <v>202209</v>
      </c>
    </row>
    <row r="1264" spans="1:7" ht="12" customHeight="1">
      <c r="A1264" s="9">
        <v>44822</v>
      </c>
      <c r="B1264" s="10">
        <v>143358185</v>
      </c>
      <c r="C1264" s="3">
        <v>5540246191598</v>
      </c>
      <c r="D1264" s="9">
        <v>44825</v>
      </c>
      <c r="E1264" s="11">
        <v>1601</v>
      </c>
      <c r="F1264" s="23" t="str">
        <f>IFERROR(VLOOKUP(C1264, 'Catégorie des articles'!$A:$D, 4, FALSE), "")</f>
        <v>CREMERIE</v>
      </c>
      <c r="G1264">
        <f t="shared" si="19"/>
        <v>202209</v>
      </c>
    </row>
    <row r="1265" spans="1:7" ht="12" customHeight="1">
      <c r="A1265" s="9">
        <v>44822</v>
      </c>
      <c r="B1265" s="10">
        <v>143358189</v>
      </c>
      <c r="C1265" s="3">
        <v>5540246183130</v>
      </c>
      <c r="D1265" s="9">
        <v>44831</v>
      </c>
      <c r="E1265" s="11">
        <v>2256</v>
      </c>
      <c r="F1265" s="23" t="str">
        <f>IFERROR(VLOOKUP(C1265, 'Catégorie des articles'!$A:$D, 4, FALSE), "")</f>
        <v>MIX LEGUMES</v>
      </c>
      <c r="G1265">
        <f t="shared" si="19"/>
        <v>202209</v>
      </c>
    </row>
    <row r="1266" spans="1:7" ht="12" customHeight="1">
      <c r="A1266" s="6">
        <v>44822</v>
      </c>
      <c r="B1266" s="7">
        <v>143358189</v>
      </c>
      <c r="C1266" s="3">
        <v>5540246183538</v>
      </c>
      <c r="D1266" s="6">
        <v>44831</v>
      </c>
      <c r="E1266" s="8">
        <v>919</v>
      </c>
      <c r="F1266" s="23" t="str">
        <f>IFERROR(VLOOKUP(C1266, 'Catégorie des articles'!$A:$D, 4, FALSE), "")</f>
        <v>MIX LEGUMES</v>
      </c>
      <c r="G1266">
        <f t="shared" si="19"/>
        <v>202209</v>
      </c>
    </row>
    <row r="1267" spans="1:7" ht="12" customHeight="1">
      <c r="A1267" s="9">
        <v>44822</v>
      </c>
      <c r="B1267" s="10">
        <v>143358189</v>
      </c>
      <c r="C1267" s="3">
        <v>5540246183541</v>
      </c>
      <c r="D1267" s="9">
        <v>44831</v>
      </c>
      <c r="E1267" s="11">
        <v>1044</v>
      </c>
      <c r="F1267" s="23" t="str">
        <f>IFERROR(VLOOKUP(C1267, 'Catégorie des articles'!$A:$D, 4, FALSE), "")</f>
        <v>MIX LEGUMES</v>
      </c>
      <c r="G1267">
        <f t="shared" si="19"/>
        <v>202209</v>
      </c>
    </row>
    <row r="1268" spans="1:7" ht="12" customHeight="1">
      <c r="A1268" s="9">
        <v>44822</v>
      </c>
      <c r="B1268" s="10">
        <v>143358193</v>
      </c>
      <c r="C1268" s="3">
        <v>5540246192462</v>
      </c>
      <c r="D1268" s="9">
        <v>44838</v>
      </c>
      <c r="E1268" s="11">
        <v>2228</v>
      </c>
      <c r="F1268" s="23" t="str">
        <f>IFERROR(VLOOKUP(C1268, 'Catégorie des articles'!$A:$D, 4, FALSE), "")</f>
        <v>MIX LEGUMES</v>
      </c>
      <c r="G1268">
        <f t="shared" si="19"/>
        <v>202210</v>
      </c>
    </row>
    <row r="1269" spans="1:7" ht="12" customHeight="1">
      <c r="A1269" s="6">
        <v>44822</v>
      </c>
      <c r="B1269" s="7">
        <v>143358193</v>
      </c>
      <c r="C1269" s="3">
        <v>5540246192594</v>
      </c>
      <c r="D1269" s="6">
        <v>44838</v>
      </c>
      <c r="E1269" s="8">
        <v>743</v>
      </c>
      <c r="F1269" s="23" t="str">
        <f>IFERROR(VLOOKUP(C1269, 'Catégorie des articles'!$A:$D, 4, FALSE), "")</f>
        <v>MIX LEGUMES</v>
      </c>
      <c r="G1269">
        <f t="shared" si="19"/>
        <v>202210</v>
      </c>
    </row>
    <row r="1270" spans="1:7" ht="12" customHeight="1">
      <c r="A1270" s="9">
        <v>44822</v>
      </c>
      <c r="B1270" s="10">
        <v>143358194</v>
      </c>
      <c r="C1270" s="3">
        <v>5540246182684</v>
      </c>
      <c r="D1270" s="9">
        <v>44836</v>
      </c>
      <c r="E1270" s="11">
        <v>279</v>
      </c>
      <c r="F1270" s="23" t="str">
        <f>IFERROR(VLOOKUP(C1270, 'Catégorie des articles'!$A:$D, 4, FALSE), "")</f>
        <v>BOULANGERIE</v>
      </c>
      <c r="G1270">
        <f t="shared" si="19"/>
        <v>202210</v>
      </c>
    </row>
    <row r="1271" spans="1:7" ht="12" customHeight="1">
      <c r="A1271" s="6">
        <v>44822</v>
      </c>
      <c r="B1271" s="7">
        <v>143358194</v>
      </c>
      <c r="C1271" s="3">
        <v>5540246183844</v>
      </c>
      <c r="D1271" s="6">
        <v>44836</v>
      </c>
      <c r="E1271" s="8">
        <v>47</v>
      </c>
      <c r="F1271" s="23" t="str">
        <f>IFERROR(VLOOKUP(C1271, 'Catégorie des articles'!$A:$D, 4, FALSE), "")</f>
        <v>BOULANGERIE</v>
      </c>
      <c r="G1271">
        <f t="shared" si="19"/>
        <v>202210</v>
      </c>
    </row>
    <row r="1272" spans="1:7" ht="12" customHeight="1">
      <c r="A1272" s="6">
        <v>44823</v>
      </c>
      <c r="B1272" s="7">
        <v>143358203</v>
      </c>
      <c r="C1272" s="3">
        <v>5540246174174</v>
      </c>
      <c r="D1272" s="6">
        <v>44825</v>
      </c>
      <c r="E1272" s="8">
        <v>348</v>
      </c>
      <c r="F1272" s="23" t="str">
        <f>IFERROR(VLOOKUP(C1272, 'Catégorie des articles'!$A:$D, 4, FALSE), "")</f>
        <v>CREMERIE</v>
      </c>
      <c r="G1272">
        <f t="shared" si="19"/>
        <v>202209</v>
      </c>
    </row>
    <row r="1273" spans="1:7" ht="12" customHeight="1">
      <c r="A1273" s="6">
        <v>44823</v>
      </c>
      <c r="B1273" s="7">
        <v>143358203</v>
      </c>
      <c r="C1273" s="3">
        <v>5540246176699</v>
      </c>
      <c r="D1273" s="6">
        <v>44825</v>
      </c>
      <c r="E1273" s="8">
        <v>4176</v>
      </c>
      <c r="F1273" s="23" t="str">
        <f>IFERROR(VLOOKUP(C1273, 'Catégorie des articles'!$A:$D, 4, FALSE), "")</f>
        <v>CREMERIE</v>
      </c>
      <c r="G1273">
        <f t="shared" si="19"/>
        <v>202209</v>
      </c>
    </row>
    <row r="1274" spans="1:7" ht="12" customHeight="1">
      <c r="A1274" s="6">
        <v>44823</v>
      </c>
      <c r="B1274" s="7">
        <v>143358204</v>
      </c>
      <c r="C1274" s="3">
        <v>5540246176294</v>
      </c>
      <c r="D1274" s="6">
        <v>44825</v>
      </c>
      <c r="E1274" s="8">
        <v>1485</v>
      </c>
      <c r="F1274" s="23" t="str">
        <f>IFERROR(VLOOKUP(C1274, 'Catégorie des articles'!$A:$D, 4, FALSE), "")</f>
        <v>CREMERIE</v>
      </c>
      <c r="G1274">
        <f t="shared" si="19"/>
        <v>202209</v>
      </c>
    </row>
    <row r="1275" spans="1:7" ht="12" customHeight="1">
      <c r="A1275" s="9">
        <v>44823</v>
      </c>
      <c r="B1275" s="10">
        <v>143358204</v>
      </c>
      <c r="C1275" s="3">
        <v>5540246176295</v>
      </c>
      <c r="D1275" s="9">
        <v>44825</v>
      </c>
      <c r="E1275" s="11">
        <v>9652</v>
      </c>
      <c r="F1275" s="23" t="str">
        <f>IFERROR(VLOOKUP(C1275, 'Catégorie des articles'!$A:$D, 4, FALSE), "")</f>
        <v>CREMERIE</v>
      </c>
      <c r="G1275">
        <f t="shared" si="19"/>
        <v>202209</v>
      </c>
    </row>
    <row r="1276" spans="1:7" ht="12" customHeight="1">
      <c r="A1276" s="6">
        <v>44823</v>
      </c>
      <c r="B1276" s="7">
        <v>143358204</v>
      </c>
      <c r="C1276" s="3">
        <v>5540246187987</v>
      </c>
      <c r="D1276" s="6">
        <v>44825</v>
      </c>
      <c r="E1276" s="8">
        <v>4455</v>
      </c>
      <c r="F1276" s="23" t="str">
        <f>IFERROR(VLOOKUP(C1276, 'Catégorie des articles'!$A:$D, 4, FALSE), "")</f>
        <v>CREMERIE</v>
      </c>
      <c r="G1276">
        <f t="shared" si="19"/>
        <v>202209</v>
      </c>
    </row>
    <row r="1277" spans="1:7" ht="12" customHeight="1">
      <c r="A1277" s="9">
        <v>44823</v>
      </c>
      <c r="B1277" s="10">
        <v>143358204</v>
      </c>
      <c r="C1277" s="3">
        <v>5540246188200</v>
      </c>
      <c r="D1277" s="9">
        <v>44825</v>
      </c>
      <c r="E1277" s="11">
        <v>743</v>
      </c>
      <c r="F1277" s="23" t="str">
        <f>IFERROR(VLOOKUP(C1277, 'Catégorie des articles'!$A:$D, 4, FALSE), "")</f>
        <v>CREMERIE</v>
      </c>
      <c r="G1277">
        <f t="shared" si="19"/>
        <v>202209</v>
      </c>
    </row>
    <row r="1278" spans="1:7" ht="12" customHeight="1">
      <c r="A1278" s="6">
        <v>44823</v>
      </c>
      <c r="B1278" s="7">
        <v>143358212</v>
      </c>
      <c r="C1278" s="3">
        <v>5540246180522</v>
      </c>
      <c r="D1278" s="6">
        <v>44837</v>
      </c>
      <c r="E1278" s="8">
        <v>891</v>
      </c>
      <c r="F1278" s="23" t="str">
        <f>IFERROR(VLOOKUP(C1278, 'Catégorie des articles'!$A:$D, 4, FALSE), "")</f>
        <v>BOULANGERIE</v>
      </c>
      <c r="G1278">
        <f t="shared" si="19"/>
        <v>202210</v>
      </c>
    </row>
    <row r="1279" spans="1:7" ht="12" customHeight="1">
      <c r="A1279" s="6">
        <v>44823</v>
      </c>
      <c r="B1279" s="7">
        <v>143358214</v>
      </c>
      <c r="C1279" s="3">
        <v>5540246194632</v>
      </c>
      <c r="D1279" s="6">
        <v>44837</v>
      </c>
      <c r="E1279" s="8">
        <v>1170</v>
      </c>
      <c r="F1279" s="23" t="str">
        <f>IFERROR(VLOOKUP(C1279, 'Catégorie des articles'!$A:$D, 4, FALSE), "")</f>
        <v>BOULANGERIE</v>
      </c>
      <c r="G1279">
        <f t="shared" si="19"/>
        <v>202210</v>
      </c>
    </row>
    <row r="1280" spans="1:7" ht="12" customHeight="1">
      <c r="A1280" s="9">
        <v>44823</v>
      </c>
      <c r="B1280" s="10">
        <v>143358214</v>
      </c>
      <c r="C1280" s="3">
        <v>5540246195250</v>
      </c>
      <c r="D1280" s="9">
        <v>44837</v>
      </c>
      <c r="E1280" s="11">
        <v>168</v>
      </c>
      <c r="F1280" s="23" t="str">
        <f>IFERROR(VLOOKUP(C1280, 'Catégorie des articles'!$A:$D, 4, FALSE), "")</f>
        <v>BOULANGERIE</v>
      </c>
      <c r="G1280">
        <f t="shared" si="19"/>
        <v>202210</v>
      </c>
    </row>
    <row r="1281" spans="1:7" ht="12" customHeight="1">
      <c r="A1281" s="9">
        <v>44823</v>
      </c>
      <c r="B1281" s="10">
        <v>143358220</v>
      </c>
      <c r="C1281" s="3">
        <v>5540246192907</v>
      </c>
      <c r="D1281" s="9">
        <v>44839</v>
      </c>
      <c r="E1281" s="11">
        <v>6682</v>
      </c>
      <c r="F1281" s="23" t="str">
        <f>IFERROR(VLOOKUP(C1281, 'Catégorie des articles'!$A:$D, 4, FALSE), "")</f>
        <v>VOLAILLE</v>
      </c>
      <c r="G1281">
        <f t="shared" si="19"/>
        <v>202210</v>
      </c>
    </row>
    <row r="1282" spans="1:7" ht="12" customHeight="1">
      <c r="A1282" s="9">
        <v>44823</v>
      </c>
      <c r="B1282" s="10">
        <v>143358223</v>
      </c>
      <c r="C1282" s="3">
        <v>5540246181061</v>
      </c>
      <c r="D1282" s="9">
        <v>44830</v>
      </c>
      <c r="E1282" s="11">
        <v>5513</v>
      </c>
      <c r="F1282" s="23" t="str">
        <f>IFERROR(VLOOKUP(C1282, 'Catégorie des articles'!$A:$D, 4, FALSE), "")</f>
        <v>VOLAILLE</v>
      </c>
      <c r="G1282">
        <f t="shared" si="19"/>
        <v>202209</v>
      </c>
    </row>
    <row r="1283" spans="1:7" ht="12" customHeight="1">
      <c r="A1283" s="6">
        <v>44823</v>
      </c>
      <c r="B1283" s="7">
        <v>143358224</v>
      </c>
      <c r="C1283" s="3">
        <v>5540246188224</v>
      </c>
      <c r="D1283" s="6">
        <v>44836</v>
      </c>
      <c r="E1283" s="8">
        <v>4826</v>
      </c>
      <c r="F1283" s="23" t="str">
        <f>IFERROR(VLOOKUP(C1283, 'Catégorie des articles'!$A:$D, 4, FALSE), "")</f>
        <v>VOLAILLE</v>
      </c>
      <c r="G1283">
        <f t="shared" ref="G1283:G1346" si="20">YEAR(D1283)*100 + MONTH(D1283)</f>
        <v>202210</v>
      </c>
    </row>
    <row r="1284" spans="1:7" ht="12" customHeight="1">
      <c r="A1284" s="9">
        <v>44823</v>
      </c>
      <c r="B1284" s="10">
        <v>143358235</v>
      </c>
      <c r="C1284" s="3">
        <v>5540246195195</v>
      </c>
      <c r="D1284" s="9">
        <v>44833</v>
      </c>
      <c r="E1284" s="11">
        <v>56</v>
      </c>
      <c r="F1284" s="23" t="str">
        <f>IFERROR(VLOOKUP(C1284, 'Catégorie des articles'!$A:$D, 4, FALSE), "")</f>
        <v>EMBALLAGES</v>
      </c>
      <c r="G1284">
        <f t="shared" si="20"/>
        <v>202209</v>
      </c>
    </row>
    <row r="1285" spans="1:7" ht="12" customHeight="1">
      <c r="A1285" s="9">
        <v>44824</v>
      </c>
      <c r="B1285" s="10">
        <v>143358240</v>
      </c>
      <c r="C1285" s="3">
        <v>5540246174174</v>
      </c>
      <c r="D1285" s="9">
        <v>44826</v>
      </c>
      <c r="E1285" s="11">
        <v>232</v>
      </c>
      <c r="F1285" s="23" t="str">
        <f>IFERROR(VLOOKUP(C1285, 'Catégorie des articles'!$A:$D, 4, FALSE), "")</f>
        <v>CREMERIE</v>
      </c>
      <c r="G1285">
        <f t="shared" si="20"/>
        <v>202209</v>
      </c>
    </row>
    <row r="1286" spans="1:7" ht="12" customHeight="1">
      <c r="A1286" s="9">
        <v>44824</v>
      </c>
      <c r="B1286" s="10">
        <v>143358240</v>
      </c>
      <c r="C1286" s="3">
        <v>5540246176699</v>
      </c>
      <c r="D1286" s="9">
        <v>44826</v>
      </c>
      <c r="E1286" s="11">
        <v>8352</v>
      </c>
      <c r="F1286" s="23" t="str">
        <f>IFERROR(VLOOKUP(C1286, 'Catégorie des articles'!$A:$D, 4, FALSE), "")</f>
        <v>CREMERIE</v>
      </c>
      <c r="G1286">
        <f t="shared" si="20"/>
        <v>202209</v>
      </c>
    </row>
    <row r="1287" spans="1:7" ht="12" customHeight="1">
      <c r="A1287" s="6">
        <v>44824</v>
      </c>
      <c r="B1287" s="7">
        <v>143358241</v>
      </c>
      <c r="C1287" s="3">
        <v>5540246171933</v>
      </c>
      <c r="D1287" s="6">
        <v>44826</v>
      </c>
      <c r="E1287" s="8">
        <v>1392</v>
      </c>
      <c r="F1287" s="23" t="str">
        <f>IFERROR(VLOOKUP(C1287, 'Catégorie des articles'!$A:$D, 4, FALSE), "")</f>
        <v>CREMERIE</v>
      </c>
      <c r="G1287">
        <f t="shared" si="20"/>
        <v>202209</v>
      </c>
    </row>
    <row r="1288" spans="1:7" ht="12" customHeight="1">
      <c r="A1288" s="9">
        <v>44824</v>
      </c>
      <c r="B1288" s="10">
        <v>143358241</v>
      </c>
      <c r="C1288" s="3">
        <v>5540246176294</v>
      </c>
      <c r="D1288" s="9">
        <v>44826</v>
      </c>
      <c r="E1288" s="11">
        <v>743</v>
      </c>
      <c r="F1288" s="23" t="str">
        <f>IFERROR(VLOOKUP(C1288, 'Catégorie des articles'!$A:$D, 4, FALSE), "")</f>
        <v>CREMERIE</v>
      </c>
      <c r="G1288">
        <f t="shared" si="20"/>
        <v>202209</v>
      </c>
    </row>
    <row r="1289" spans="1:7" ht="12" customHeight="1">
      <c r="A1289" s="6">
        <v>44824</v>
      </c>
      <c r="B1289" s="7">
        <v>143358241</v>
      </c>
      <c r="C1289" s="3">
        <v>5540246176295</v>
      </c>
      <c r="D1289" s="6">
        <v>44826</v>
      </c>
      <c r="E1289" s="8">
        <v>4455</v>
      </c>
      <c r="F1289" s="23" t="str">
        <f>IFERROR(VLOOKUP(C1289, 'Catégorie des articles'!$A:$D, 4, FALSE), "")</f>
        <v>CREMERIE</v>
      </c>
      <c r="G1289">
        <f t="shared" si="20"/>
        <v>202209</v>
      </c>
    </row>
    <row r="1290" spans="1:7" ht="12" customHeight="1">
      <c r="A1290" s="9">
        <v>44824</v>
      </c>
      <c r="B1290" s="10">
        <v>143358241</v>
      </c>
      <c r="C1290" s="3">
        <v>5540246187987</v>
      </c>
      <c r="D1290" s="9">
        <v>44826</v>
      </c>
      <c r="E1290" s="11">
        <v>2228</v>
      </c>
      <c r="F1290" s="23" t="str">
        <f>IFERROR(VLOOKUP(C1290, 'Catégorie des articles'!$A:$D, 4, FALSE), "")</f>
        <v>CREMERIE</v>
      </c>
      <c r="G1290">
        <f t="shared" si="20"/>
        <v>202209</v>
      </c>
    </row>
    <row r="1291" spans="1:7" ht="12" customHeight="1">
      <c r="A1291" s="6">
        <v>44824</v>
      </c>
      <c r="B1291" s="7">
        <v>143358241</v>
      </c>
      <c r="C1291" s="3">
        <v>5540246188200</v>
      </c>
      <c r="D1291" s="6">
        <v>44826</v>
      </c>
      <c r="E1291" s="8">
        <v>1485</v>
      </c>
      <c r="F1291" s="23" t="str">
        <f>IFERROR(VLOOKUP(C1291, 'Catégorie des articles'!$A:$D, 4, FALSE), "")</f>
        <v>CREMERIE</v>
      </c>
      <c r="G1291">
        <f t="shared" si="20"/>
        <v>202209</v>
      </c>
    </row>
    <row r="1292" spans="1:7" ht="12" customHeight="1">
      <c r="A1292" s="6">
        <v>44824</v>
      </c>
      <c r="B1292" s="7">
        <v>143358248</v>
      </c>
      <c r="C1292" s="3">
        <v>5540246194632</v>
      </c>
      <c r="D1292" s="6">
        <v>44836</v>
      </c>
      <c r="E1292" s="8">
        <v>1337</v>
      </c>
      <c r="F1292" s="23" t="str">
        <f>IFERROR(VLOOKUP(C1292, 'Catégorie des articles'!$A:$D, 4, FALSE), "")</f>
        <v>BOULANGERIE</v>
      </c>
      <c r="G1292">
        <f t="shared" si="20"/>
        <v>202210</v>
      </c>
    </row>
    <row r="1293" spans="1:7" ht="12" customHeight="1">
      <c r="A1293" s="9">
        <v>44824</v>
      </c>
      <c r="B1293" s="10">
        <v>143358248</v>
      </c>
      <c r="C1293" s="3">
        <v>5540246195250</v>
      </c>
      <c r="D1293" s="9">
        <v>44836</v>
      </c>
      <c r="E1293" s="11">
        <v>84</v>
      </c>
      <c r="F1293" s="23" t="str">
        <f>IFERROR(VLOOKUP(C1293, 'Catégorie des articles'!$A:$D, 4, FALSE), "")</f>
        <v>BOULANGERIE</v>
      </c>
      <c r="G1293">
        <f t="shared" si="20"/>
        <v>202210</v>
      </c>
    </row>
    <row r="1294" spans="1:7" ht="12" customHeight="1">
      <c r="A1294" s="6">
        <v>44824</v>
      </c>
      <c r="B1294" s="7">
        <v>143358249</v>
      </c>
      <c r="C1294" s="3">
        <v>5540246170256</v>
      </c>
      <c r="D1294" s="6">
        <v>44832</v>
      </c>
      <c r="E1294" s="8">
        <v>1764</v>
      </c>
      <c r="F1294" s="23" t="str">
        <f>IFERROR(VLOOKUP(C1294, 'Catégorie des articles'!$A:$D, 4, FALSE), "")</f>
        <v>BOULANGERIE</v>
      </c>
      <c r="G1294">
        <f t="shared" si="20"/>
        <v>202209</v>
      </c>
    </row>
    <row r="1295" spans="1:7" ht="12" customHeight="1">
      <c r="A1295" s="9">
        <v>44824</v>
      </c>
      <c r="B1295" s="10">
        <v>143358249</v>
      </c>
      <c r="C1295" s="3">
        <v>5540246171888</v>
      </c>
      <c r="D1295" s="9">
        <v>44832</v>
      </c>
      <c r="E1295" s="11">
        <v>520</v>
      </c>
      <c r="F1295" s="23" t="str">
        <f>IFERROR(VLOOKUP(C1295, 'Catégorie des articles'!$A:$D, 4, FALSE), "")</f>
        <v>BOULANGERIE</v>
      </c>
      <c r="G1295">
        <f t="shared" si="20"/>
        <v>202209</v>
      </c>
    </row>
    <row r="1296" spans="1:7" ht="12" customHeight="1">
      <c r="A1296" s="9">
        <v>44824</v>
      </c>
      <c r="B1296" s="10">
        <v>143358260</v>
      </c>
      <c r="C1296" s="3">
        <v>5540246174095</v>
      </c>
      <c r="D1296" s="9">
        <v>44832</v>
      </c>
      <c r="E1296" s="11">
        <v>70</v>
      </c>
      <c r="F1296" s="23" t="str">
        <f>IFERROR(VLOOKUP(C1296, 'Catégorie des articles'!$A:$D, 4, FALSE), "")</f>
        <v>CREMERIE</v>
      </c>
      <c r="G1296">
        <f t="shared" si="20"/>
        <v>202209</v>
      </c>
    </row>
    <row r="1297" spans="1:7" ht="12" customHeight="1">
      <c r="A1297" s="6">
        <v>44824</v>
      </c>
      <c r="B1297" s="7">
        <v>143358260</v>
      </c>
      <c r="C1297" s="3">
        <v>5540246175049</v>
      </c>
      <c r="D1297" s="6">
        <v>44832</v>
      </c>
      <c r="E1297" s="8">
        <v>418</v>
      </c>
      <c r="F1297" s="23" t="str">
        <f>IFERROR(VLOOKUP(C1297, 'Catégorie des articles'!$A:$D, 4, FALSE), "")</f>
        <v>CREMERIE</v>
      </c>
      <c r="G1297">
        <f t="shared" si="20"/>
        <v>202209</v>
      </c>
    </row>
    <row r="1298" spans="1:7" ht="12" customHeight="1">
      <c r="A1298" s="9">
        <v>44824</v>
      </c>
      <c r="B1298" s="10">
        <v>143358260</v>
      </c>
      <c r="C1298" s="3">
        <v>5540246175050</v>
      </c>
      <c r="D1298" s="9">
        <v>44832</v>
      </c>
      <c r="E1298" s="11">
        <v>557</v>
      </c>
      <c r="F1298" s="23" t="str">
        <f>IFERROR(VLOOKUP(C1298, 'Catégorie des articles'!$A:$D, 4, FALSE), "")</f>
        <v>CREMERIE</v>
      </c>
      <c r="G1298">
        <f t="shared" si="20"/>
        <v>202209</v>
      </c>
    </row>
    <row r="1299" spans="1:7" ht="12" customHeight="1">
      <c r="A1299" s="6">
        <v>44824</v>
      </c>
      <c r="B1299" s="7">
        <v>143358260</v>
      </c>
      <c r="C1299" s="3">
        <v>5540246190743</v>
      </c>
      <c r="D1299" s="6">
        <v>44832</v>
      </c>
      <c r="E1299" s="8">
        <v>140</v>
      </c>
      <c r="F1299" s="23" t="str">
        <f>IFERROR(VLOOKUP(C1299, 'Catégorie des articles'!$A:$D, 4, FALSE), "")</f>
        <v>CREMERIE</v>
      </c>
      <c r="G1299">
        <f t="shared" si="20"/>
        <v>202209</v>
      </c>
    </row>
    <row r="1300" spans="1:7" ht="12" customHeight="1">
      <c r="A1300" s="9">
        <v>44824</v>
      </c>
      <c r="B1300" s="10">
        <v>143358270</v>
      </c>
      <c r="C1300" s="3">
        <v>5540246195242</v>
      </c>
      <c r="D1300" s="9">
        <v>44829</v>
      </c>
      <c r="E1300" s="11">
        <v>743</v>
      </c>
      <c r="F1300" s="23" t="str">
        <f>IFERROR(VLOOKUP(C1300, 'Catégorie des articles'!$A:$D, 4, FALSE), "")</f>
        <v>MIX LEGUMES</v>
      </c>
      <c r="G1300">
        <f t="shared" si="20"/>
        <v>202209</v>
      </c>
    </row>
    <row r="1301" spans="1:7" ht="12" customHeight="1">
      <c r="A1301" s="6">
        <v>44824</v>
      </c>
      <c r="B1301" s="7">
        <v>143358271</v>
      </c>
      <c r="C1301" s="3">
        <v>5540246195241</v>
      </c>
      <c r="D1301" s="6">
        <v>44833</v>
      </c>
      <c r="E1301" s="8">
        <v>743</v>
      </c>
      <c r="F1301" s="23" t="str">
        <f>IFERROR(VLOOKUP(C1301, 'Catégorie des articles'!$A:$D, 4, FALSE), "")</f>
        <v>MIX LEGUMES</v>
      </c>
      <c r="G1301">
        <f t="shared" si="20"/>
        <v>202209</v>
      </c>
    </row>
    <row r="1302" spans="1:7" ht="12" customHeight="1">
      <c r="A1302" s="6">
        <v>44825</v>
      </c>
      <c r="B1302" s="7">
        <v>143358274</v>
      </c>
      <c r="C1302" s="3">
        <v>5540246195653</v>
      </c>
      <c r="D1302" s="6">
        <v>44832</v>
      </c>
      <c r="E1302" s="8">
        <v>446</v>
      </c>
      <c r="F1302" s="23" t="str">
        <f>IFERROR(VLOOKUP(C1302, 'Catégorie des articles'!$A:$D, 4, FALSE), "")</f>
        <v>EMBALLAGES</v>
      </c>
      <c r="G1302">
        <f t="shared" si="20"/>
        <v>202209</v>
      </c>
    </row>
    <row r="1303" spans="1:7" ht="12" customHeight="1">
      <c r="A1303" s="9">
        <v>44825</v>
      </c>
      <c r="B1303" s="10">
        <v>143358278</v>
      </c>
      <c r="C1303" s="3">
        <v>5540246172539</v>
      </c>
      <c r="D1303" s="9">
        <v>44829</v>
      </c>
      <c r="E1303" s="11">
        <v>47</v>
      </c>
      <c r="F1303" s="23" t="str">
        <f>IFERROR(VLOOKUP(C1303, 'Catégorie des articles'!$A:$D, 4, FALSE), "")</f>
        <v>CREMERIE</v>
      </c>
      <c r="G1303">
        <f t="shared" si="20"/>
        <v>202209</v>
      </c>
    </row>
    <row r="1304" spans="1:7" ht="12" customHeight="1">
      <c r="A1304" s="6">
        <v>44825</v>
      </c>
      <c r="B1304" s="7">
        <v>143358278</v>
      </c>
      <c r="C1304" s="3">
        <v>5540246172669</v>
      </c>
      <c r="D1304" s="6">
        <v>44829</v>
      </c>
      <c r="E1304" s="8">
        <v>279</v>
      </c>
      <c r="F1304" s="23" t="str">
        <f>IFERROR(VLOOKUP(C1304, 'Catégorie des articles'!$A:$D, 4, FALSE), "")</f>
        <v>CREMERIE</v>
      </c>
      <c r="G1304">
        <f t="shared" si="20"/>
        <v>202209</v>
      </c>
    </row>
    <row r="1305" spans="1:7" ht="12" customHeight="1">
      <c r="A1305" s="9">
        <v>44825</v>
      </c>
      <c r="B1305" s="10">
        <v>143358278</v>
      </c>
      <c r="C1305" s="3">
        <v>5540246172978</v>
      </c>
      <c r="D1305" s="9">
        <v>44829</v>
      </c>
      <c r="E1305" s="11">
        <v>2506</v>
      </c>
      <c r="F1305" s="23" t="str">
        <f>IFERROR(VLOOKUP(C1305, 'Catégorie des articles'!$A:$D, 4, FALSE), "")</f>
        <v>CREMERIE</v>
      </c>
      <c r="G1305">
        <f t="shared" si="20"/>
        <v>202209</v>
      </c>
    </row>
    <row r="1306" spans="1:7" ht="12" customHeight="1">
      <c r="A1306" s="6">
        <v>44825</v>
      </c>
      <c r="B1306" s="7">
        <v>143358278</v>
      </c>
      <c r="C1306" s="3">
        <v>5540246174174</v>
      </c>
      <c r="D1306" s="6">
        <v>44829</v>
      </c>
      <c r="E1306" s="8">
        <v>464</v>
      </c>
      <c r="F1306" s="23" t="str">
        <f>IFERROR(VLOOKUP(C1306, 'Catégorie des articles'!$A:$D, 4, FALSE), "")</f>
        <v>CREMERIE</v>
      </c>
      <c r="G1306">
        <f t="shared" si="20"/>
        <v>202209</v>
      </c>
    </row>
    <row r="1307" spans="1:7" ht="12" customHeight="1">
      <c r="A1307" s="6">
        <v>44825</v>
      </c>
      <c r="B1307" s="7">
        <v>143358278</v>
      </c>
      <c r="C1307" s="3">
        <v>5540246176699</v>
      </c>
      <c r="D1307" s="6">
        <v>44829</v>
      </c>
      <c r="E1307" s="8">
        <v>12528</v>
      </c>
      <c r="F1307" s="23" t="str">
        <f>IFERROR(VLOOKUP(C1307, 'Catégorie des articles'!$A:$D, 4, FALSE), "")</f>
        <v>CREMERIE</v>
      </c>
      <c r="G1307">
        <f t="shared" si="20"/>
        <v>202209</v>
      </c>
    </row>
    <row r="1308" spans="1:7" ht="12" customHeight="1">
      <c r="A1308" s="9">
        <v>44825</v>
      </c>
      <c r="B1308" s="10">
        <v>143358278</v>
      </c>
      <c r="C1308" s="3">
        <v>5540246188175</v>
      </c>
      <c r="D1308" s="9">
        <v>44829</v>
      </c>
      <c r="E1308" s="11">
        <v>116</v>
      </c>
      <c r="F1308" s="23" t="str">
        <f>IFERROR(VLOOKUP(C1308, 'Catégorie des articles'!$A:$D, 4, FALSE), "")</f>
        <v>CREMERIE</v>
      </c>
      <c r="G1308">
        <f t="shared" si="20"/>
        <v>202209</v>
      </c>
    </row>
    <row r="1309" spans="1:7" ht="12" customHeight="1">
      <c r="A1309" s="9">
        <v>44825</v>
      </c>
      <c r="B1309" s="10">
        <v>143358278</v>
      </c>
      <c r="C1309" s="3">
        <v>5540246192102</v>
      </c>
      <c r="D1309" s="9">
        <v>44829</v>
      </c>
      <c r="E1309" s="11">
        <v>4009</v>
      </c>
      <c r="F1309" s="23" t="str">
        <f>IFERROR(VLOOKUP(C1309, 'Catégorie des articles'!$A:$D, 4, FALSE), "")</f>
        <v>CREMERIE</v>
      </c>
      <c r="G1309">
        <f t="shared" si="20"/>
        <v>202209</v>
      </c>
    </row>
    <row r="1310" spans="1:7" ht="12" customHeight="1">
      <c r="A1310" s="9">
        <v>44825</v>
      </c>
      <c r="B1310" s="10">
        <v>143358280</v>
      </c>
      <c r="C1310" s="3">
        <v>5540246176294</v>
      </c>
      <c r="D1310" s="9">
        <v>44829</v>
      </c>
      <c r="E1310" s="11">
        <v>1485</v>
      </c>
      <c r="F1310" s="23" t="str">
        <f>IFERROR(VLOOKUP(C1310, 'Catégorie des articles'!$A:$D, 4, FALSE), "")</f>
        <v>CREMERIE</v>
      </c>
      <c r="G1310">
        <f t="shared" si="20"/>
        <v>202209</v>
      </c>
    </row>
    <row r="1311" spans="1:7" ht="12" customHeight="1">
      <c r="A1311" s="6">
        <v>44825</v>
      </c>
      <c r="B1311" s="7">
        <v>143358280</v>
      </c>
      <c r="C1311" s="3">
        <v>5540246176295</v>
      </c>
      <c r="D1311" s="6">
        <v>44829</v>
      </c>
      <c r="E1311" s="8">
        <v>4455</v>
      </c>
      <c r="F1311" s="23" t="str">
        <f>IFERROR(VLOOKUP(C1311, 'Catégorie des articles'!$A:$D, 4, FALSE), "")</f>
        <v>CREMERIE</v>
      </c>
      <c r="G1311">
        <f t="shared" si="20"/>
        <v>202209</v>
      </c>
    </row>
    <row r="1312" spans="1:7" ht="12" customHeight="1">
      <c r="A1312" s="6">
        <v>44825</v>
      </c>
      <c r="B1312" s="7">
        <v>143358280</v>
      </c>
      <c r="C1312" s="3">
        <v>5540246187987</v>
      </c>
      <c r="D1312" s="6">
        <v>44829</v>
      </c>
      <c r="E1312" s="8">
        <v>6682</v>
      </c>
      <c r="F1312" s="23" t="str">
        <f>IFERROR(VLOOKUP(C1312, 'Catégorie des articles'!$A:$D, 4, FALSE), "")</f>
        <v>CREMERIE</v>
      </c>
      <c r="G1312">
        <f t="shared" si="20"/>
        <v>202209</v>
      </c>
    </row>
    <row r="1313" spans="1:7" ht="12" customHeight="1">
      <c r="A1313" s="9">
        <v>44825</v>
      </c>
      <c r="B1313" s="10">
        <v>143358280</v>
      </c>
      <c r="C1313" s="3">
        <v>5540246188200</v>
      </c>
      <c r="D1313" s="9">
        <v>44829</v>
      </c>
      <c r="E1313" s="11">
        <v>1485</v>
      </c>
      <c r="F1313" s="23" t="str">
        <f>IFERROR(VLOOKUP(C1313, 'Catégorie des articles'!$A:$D, 4, FALSE), "")</f>
        <v>CREMERIE</v>
      </c>
      <c r="G1313">
        <f t="shared" si="20"/>
        <v>202209</v>
      </c>
    </row>
    <row r="1314" spans="1:7" ht="12" customHeight="1">
      <c r="A1314" s="9">
        <v>44825</v>
      </c>
      <c r="B1314" s="10">
        <v>143358291</v>
      </c>
      <c r="C1314" s="3">
        <v>5540246171759</v>
      </c>
      <c r="D1314" s="9">
        <v>44829</v>
      </c>
      <c r="E1314" s="11">
        <v>5012</v>
      </c>
      <c r="F1314" s="23" t="str">
        <f>IFERROR(VLOOKUP(C1314, 'Catégorie des articles'!$A:$D, 4, FALSE), "")</f>
        <v>MIX LEGUMES</v>
      </c>
      <c r="G1314">
        <f t="shared" si="20"/>
        <v>202209</v>
      </c>
    </row>
    <row r="1315" spans="1:7" ht="12" customHeight="1">
      <c r="A1315" s="6">
        <v>44825</v>
      </c>
      <c r="B1315" s="7">
        <v>143358291</v>
      </c>
      <c r="C1315" s="3">
        <v>5540246177133</v>
      </c>
      <c r="D1315" s="6">
        <v>44829</v>
      </c>
      <c r="E1315" s="8">
        <v>5012</v>
      </c>
      <c r="F1315" s="23" t="str">
        <f>IFERROR(VLOOKUP(C1315, 'Catégorie des articles'!$A:$D, 4, FALSE), "")</f>
        <v>MIX LEGUMES</v>
      </c>
      <c r="G1315">
        <f t="shared" si="20"/>
        <v>202209</v>
      </c>
    </row>
    <row r="1316" spans="1:7" ht="12" customHeight="1">
      <c r="A1316" s="9">
        <v>44825</v>
      </c>
      <c r="B1316" s="10">
        <v>143358291</v>
      </c>
      <c r="C1316" s="3">
        <v>5540246192148</v>
      </c>
      <c r="D1316" s="9">
        <v>44829</v>
      </c>
      <c r="E1316" s="11">
        <v>15312</v>
      </c>
      <c r="F1316" s="23" t="str">
        <f>IFERROR(VLOOKUP(C1316, 'Catégorie des articles'!$A:$D, 4, FALSE), "")</f>
        <v>MIX LEGUMES</v>
      </c>
      <c r="G1316">
        <f t="shared" si="20"/>
        <v>202209</v>
      </c>
    </row>
    <row r="1317" spans="1:7" ht="12" customHeight="1">
      <c r="A1317" s="6">
        <v>44825</v>
      </c>
      <c r="B1317" s="7">
        <v>143358291</v>
      </c>
      <c r="C1317" s="3">
        <v>5540246192518</v>
      </c>
      <c r="D1317" s="6">
        <v>44829</v>
      </c>
      <c r="E1317" s="8">
        <v>4385</v>
      </c>
      <c r="F1317" s="23" t="str">
        <f>IFERROR(VLOOKUP(C1317, 'Catégorie des articles'!$A:$D, 4, FALSE), "")</f>
        <v>MIX LEGUMES</v>
      </c>
      <c r="G1317">
        <f t="shared" si="20"/>
        <v>202209</v>
      </c>
    </row>
    <row r="1318" spans="1:7" ht="12" customHeight="1">
      <c r="A1318" s="6">
        <v>44825</v>
      </c>
      <c r="B1318" s="7">
        <v>143358293</v>
      </c>
      <c r="C1318" s="3">
        <v>5540246177133</v>
      </c>
      <c r="D1318" s="6">
        <v>44833</v>
      </c>
      <c r="E1318" s="8">
        <v>4455</v>
      </c>
      <c r="F1318" s="23" t="str">
        <f>IFERROR(VLOOKUP(C1318, 'Catégorie des articles'!$A:$D, 4, FALSE), "")</f>
        <v>MIX LEGUMES</v>
      </c>
      <c r="G1318">
        <f t="shared" si="20"/>
        <v>202209</v>
      </c>
    </row>
    <row r="1319" spans="1:7" ht="12" customHeight="1">
      <c r="A1319" s="9">
        <v>44825</v>
      </c>
      <c r="B1319" s="10">
        <v>143358293</v>
      </c>
      <c r="C1319" s="3">
        <v>5540246192148</v>
      </c>
      <c r="D1319" s="9">
        <v>44833</v>
      </c>
      <c r="E1319" s="11">
        <v>30624</v>
      </c>
      <c r="F1319" s="23" t="str">
        <f>IFERROR(VLOOKUP(C1319, 'Catégorie des articles'!$A:$D, 4, FALSE), "")</f>
        <v>MIX LEGUMES</v>
      </c>
      <c r="G1319">
        <f t="shared" si="20"/>
        <v>202209</v>
      </c>
    </row>
    <row r="1320" spans="1:7" ht="12" customHeight="1">
      <c r="A1320" s="6">
        <v>44825</v>
      </c>
      <c r="B1320" s="7">
        <v>143358293</v>
      </c>
      <c r="C1320" s="3">
        <v>5540246192518</v>
      </c>
      <c r="D1320" s="6">
        <v>44833</v>
      </c>
      <c r="E1320" s="8">
        <v>2088</v>
      </c>
      <c r="F1320" s="23" t="str">
        <f>IFERROR(VLOOKUP(C1320, 'Catégorie des articles'!$A:$D, 4, FALSE), "")</f>
        <v>MIX LEGUMES</v>
      </c>
      <c r="G1320">
        <f t="shared" si="20"/>
        <v>202209</v>
      </c>
    </row>
    <row r="1321" spans="1:7" ht="12" customHeight="1">
      <c r="A1321" s="9">
        <v>44826</v>
      </c>
      <c r="B1321" s="10">
        <v>143358304</v>
      </c>
      <c r="C1321" s="3">
        <v>5540246176294</v>
      </c>
      <c r="D1321" s="9">
        <v>44830</v>
      </c>
      <c r="E1321" s="11">
        <v>743</v>
      </c>
      <c r="F1321" s="23" t="str">
        <f>IFERROR(VLOOKUP(C1321, 'Catégorie des articles'!$A:$D, 4, FALSE), "")</f>
        <v>CREMERIE</v>
      </c>
      <c r="G1321">
        <f t="shared" si="20"/>
        <v>202209</v>
      </c>
    </row>
    <row r="1322" spans="1:7" ht="12" customHeight="1">
      <c r="A1322" s="6">
        <v>44826</v>
      </c>
      <c r="B1322" s="7">
        <v>143358304</v>
      </c>
      <c r="C1322" s="3">
        <v>5540246176295</v>
      </c>
      <c r="D1322" s="6">
        <v>44830</v>
      </c>
      <c r="E1322" s="8">
        <v>4455</v>
      </c>
      <c r="F1322" s="23" t="str">
        <f>IFERROR(VLOOKUP(C1322, 'Catégorie des articles'!$A:$D, 4, FALSE), "")</f>
        <v>CREMERIE</v>
      </c>
      <c r="G1322">
        <f t="shared" si="20"/>
        <v>202209</v>
      </c>
    </row>
    <row r="1323" spans="1:7" ht="12" customHeight="1">
      <c r="A1323" s="6">
        <v>44826</v>
      </c>
      <c r="B1323" s="7">
        <v>143358305</v>
      </c>
      <c r="C1323" s="3">
        <v>5540246172669</v>
      </c>
      <c r="D1323" s="6">
        <v>44830</v>
      </c>
      <c r="E1323" s="8">
        <v>279</v>
      </c>
      <c r="F1323" s="23" t="str">
        <f>IFERROR(VLOOKUP(C1323, 'Catégorie des articles'!$A:$D, 4, FALSE), "")</f>
        <v>CREMERIE</v>
      </c>
      <c r="G1323">
        <f t="shared" si="20"/>
        <v>202209</v>
      </c>
    </row>
    <row r="1324" spans="1:7" ht="12" customHeight="1">
      <c r="A1324" s="6">
        <v>44826</v>
      </c>
      <c r="B1324" s="7">
        <v>143358305</v>
      </c>
      <c r="C1324" s="3">
        <v>5540246174174</v>
      </c>
      <c r="D1324" s="6">
        <v>44830</v>
      </c>
      <c r="E1324" s="8">
        <v>464</v>
      </c>
      <c r="F1324" s="23" t="str">
        <f>IFERROR(VLOOKUP(C1324, 'Catégorie des articles'!$A:$D, 4, FALSE), "")</f>
        <v>CREMERIE</v>
      </c>
      <c r="G1324">
        <f t="shared" si="20"/>
        <v>202209</v>
      </c>
    </row>
    <row r="1325" spans="1:7" ht="12" customHeight="1">
      <c r="A1325" s="9">
        <v>44826</v>
      </c>
      <c r="B1325" s="10">
        <v>143358305</v>
      </c>
      <c r="C1325" s="3">
        <v>5540246188175</v>
      </c>
      <c r="D1325" s="9">
        <v>44830</v>
      </c>
      <c r="E1325" s="11">
        <v>232</v>
      </c>
      <c r="F1325" s="23" t="str">
        <f>IFERROR(VLOOKUP(C1325, 'Catégorie des articles'!$A:$D, 4, FALSE), "")</f>
        <v>CREMERIE</v>
      </c>
      <c r="G1325">
        <f t="shared" si="20"/>
        <v>202209</v>
      </c>
    </row>
    <row r="1326" spans="1:7" ht="12" customHeight="1">
      <c r="A1326" s="9">
        <v>44826</v>
      </c>
      <c r="B1326" s="10">
        <v>143358306</v>
      </c>
      <c r="C1326" s="3">
        <v>5540246185429</v>
      </c>
      <c r="D1326" s="9">
        <v>44832</v>
      </c>
      <c r="E1326" s="11">
        <v>140</v>
      </c>
      <c r="F1326" s="23" t="str">
        <f>IFERROR(VLOOKUP(C1326, 'Catégorie des articles'!$A:$D, 4, FALSE), "")</f>
        <v>CREMERIE</v>
      </c>
      <c r="G1326">
        <f t="shared" si="20"/>
        <v>202209</v>
      </c>
    </row>
    <row r="1327" spans="1:7" ht="12" customHeight="1">
      <c r="A1327" s="6">
        <v>44826</v>
      </c>
      <c r="B1327" s="7">
        <v>143358306</v>
      </c>
      <c r="C1327" s="3">
        <v>5540246185562</v>
      </c>
      <c r="D1327" s="6">
        <v>44832</v>
      </c>
      <c r="E1327" s="8">
        <v>168</v>
      </c>
      <c r="F1327" s="23" t="str">
        <f>IFERROR(VLOOKUP(C1327, 'Catégorie des articles'!$A:$D, 4, FALSE), "")</f>
        <v>CREMERIE</v>
      </c>
      <c r="G1327">
        <f t="shared" si="20"/>
        <v>202209</v>
      </c>
    </row>
    <row r="1328" spans="1:7" ht="12" customHeight="1">
      <c r="A1328" s="9">
        <v>44826</v>
      </c>
      <c r="B1328" s="10">
        <v>143358306</v>
      </c>
      <c r="C1328" s="3">
        <v>5540246186325</v>
      </c>
      <c r="D1328" s="9">
        <v>44832</v>
      </c>
      <c r="E1328" s="11">
        <v>279</v>
      </c>
      <c r="F1328" s="23" t="str">
        <f>IFERROR(VLOOKUP(C1328, 'Catégorie des articles'!$A:$D, 4, FALSE), "")</f>
        <v>CREMERIE</v>
      </c>
      <c r="G1328">
        <f t="shared" si="20"/>
        <v>202209</v>
      </c>
    </row>
    <row r="1329" spans="1:7" ht="12" customHeight="1">
      <c r="A1329" s="6">
        <v>44826</v>
      </c>
      <c r="B1329" s="7">
        <v>143358315</v>
      </c>
      <c r="C1329" s="3">
        <v>5540246194478</v>
      </c>
      <c r="D1329" s="6">
        <v>44868</v>
      </c>
      <c r="E1329" s="8">
        <v>98</v>
      </c>
      <c r="F1329" s="23" t="str">
        <f>IFERROR(VLOOKUP(C1329, 'Catégorie des articles'!$A:$D, 4, FALSE), "")</f>
        <v>EMBALLAGES</v>
      </c>
      <c r="G1329">
        <f t="shared" si="20"/>
        <v>202211</v>
      </c>
    </row>
    <row r="1330" spans="1:7" ht="12" customHeight="1">
      <c r="A1330" s="9">
        <v>44829</v>
      </c>
      <c r="B1330" s="10">
        <v>143368339</v>
      </c>
      <c r="C1330" s="3">
        <v>5540246176294</v>
      </c>
      <c r="D1330" s="9">
        <v>44831</v>
      </c>
      <c r="E1330" s="11">
        <v>743</v>
      </c>
      <c r="F1330" s="23" t="str">
        <f>IFERROR(VLOOKUP(C1330, 'Catégorie des articles'!$A:$D, 4, FALSE), "")</f>
        <v>CREMERIE</v>
      </c>
      <c r="G1330">
        <f t="shared" si="20"/>
        <v>202209</v>
      </c>
    </row>
    <row r="1331" spans="1:7" ht="12" customHeight="1">
      <c r="A1331" s="9">
        <v>44829</v>
      </c>
      <c r="B1331" s="10">
        <v>143368339</v>
      </c>
      <c r="C1331" s="3">
        <v>5540246188200</v>
      </c>
      <c r="D1331" s="9">
        <v>44831</v>
      </c>
      <c r="E1331" s="11">
        <v>743</v>
      </c>
      <c r="F1331" s="23" t="str">
        <f>IFERROR(VLOOKUP(C1331, 'Catégorie des articles'!$A:$D, 4, FALSE), "")</f>
        <v>CREMERIE</v>
      </c>
      <c r="G1331">
        <f t="shared" si="20"/>
        <v>202209</v>
      </c>
    </row>
    <row r="1332" spans="1:7" ht="12" customHeight="1">
      <c r="A1332" s="6">
        <v>44829</v>
      </c>
      <c r="B1332" s="7">
        <v>143368342</v>
      </c>
      <c r="C1332" s="3">
        <v>5540246172978</v>
      </c>
      <c r="D1332" s="6">
        <v>44831</v>
      </c>
      <c r="E1332" s="8">
        <v>836</v>
      </c>
      <c r="F1332" s="23" t="str">
        <f>IFERROR(VLOOKUP(C1332, 'Catégorie des articles'!$A:$D, 4, FALSE), "")</f>
        <v>CREMERIE</v>
      </c>
      <c r="G1332">
        <f t="shared" si="20"/>
        <v>202209</v>
      </c>
    </row>
    <row r="1333" spans="1:7" ht="12" customHeight="1">
      <c r="A1333" s="9">
        <v>44829</v>
      </c>
      <c r="B1333" s="10">
        <v>143368355</v>
      </c>
      <c r="C1333" s="3">
        <v>5540246182684</v>
      </c>
      <c r="D1333" s="9">
        <v>44843</v>
      </c>
      <c r="E1333" s="11">
        <v>140</v>
      </c>
      <c r="F1333" s="23" t="str">
        <f>IFERROR(VLOOKUP(C1333, 'Catégorie des articles'!$A:$D, 4, FALSE), "")</f>
        <v>BOULANGERIE</v>
      </c>
      <c r="G1333">
        <f t="shared" si="20"/>
        <v>202210</v>
      </c>
    </row>
    <row r="1334" spans="1:7" ht="12" customHeight="1">
      <c r="A1334" s="9">
        <v>44829</v>
      </c>
      <c r="B1334" s="10">
        <v>143368355</v>
      </c>
      <c r="C1334" s="3">
        <v>5540246194467</v>
      </c>
      <c r="D1334" s="9">
        <v>44843</v>
      </c>
      <c r="E1334" s="11">
        <v>21382</v>
      </c>
      <c r="F1334" s="23" t="str">
        <f>IFERROR(VLOOKUP(C1334, 'Catégorie des articles'!$A:$D, 4, FALSE), "")</f>
        <v>BOULANGERIE</v>
      </c>
      <c r="G1334">
        <f t="shared" si="20"/>
        <v>202210</v>
      </c>
    </row>
    <row r="1335" spans="1:7" ht="12" customHeight="1">
      <c r="A1335" s="6">
        <v>44829</v>
      </c>
      <c r="B1335" s="7">
        <v>143368361</v>
      </c>
      <c r="C1335" s="3">
        <v>5540246194632</v>
      </c>
      <c r="D1335" s="6">
        <v>44840</v>
      </c>
      <c r="E1335" s="8">
        <v>1170</v>
      </c>
      <c r="F1335" s="23" t="str">
        <f>IFERROR(VLOOKUP(C1335, 'Catégorie des articles'!$A:$D, 4, FALSE), "")</f>
        <v>BOULANGERIE</v>
      </c>
      <c r="G1335">
        <f t="shared" si="20"/>
        <v>202210</v>
      </c>
    </row>
    <row r="1336" spans="1:7" ht="12" customHeight="1">
      <c r="A1336" s="9">
        <v>44829</v>
      </c>
      <c r="B1336" s="10">
        <v>143368362</v>
      </c>
      <c r="C1336" s="3">
        <v>5540246183130</v>
      </c>
      <c r="D1336" s="9">
        <v>44839</v>
      </c>
      <c r="E1336" s="11">
        <v>1692</v>
      </c>
      <c r="F1336" s="23" t="str">
        <f>IFERROR(VLOOKUP(C1336, 'Catégorie des articles'!$A:$D, 4, FALSE), "")</f>
        <v>MIX LEGUMES</v>
      </c>
      <c r="G1336">
        <f t="shared" si="20"/>
        <v>202210</v>
      </c>
    </row>
    <row r="1337" spans="1:7" ht="12" customHeight="1">
      <c r="A1337" s="6">
        <v>44829</v>
      </c>
      <c r="B1337" s="7">
        <v>143368362</v>
      </c>
      <c r="C1337" s="3">
        <v>5540246183455</v>
      </c>
      <c r="D1337" s="6">
        <v>44839</v>
      </c>
      <c r="E1337" s="8">
        <v>1044</v>
      </c>
      <c r="F1337" s="23" t="str">
        <f>IFERROR(VLOOKUP(C1337, 'Catégorie des articles'!$A:$D, 4, FALSE), "")</f>
        <v>MIX LEGUMES</v>
      </c>
      <c r="G1337">
        <f t="shared" si="20"/>
        <v>202210</v>
      </c>
    </row>
    <row r="1338" spans="1:7" ht="12" customHeight="1">
      <c r="A1338" s="9">
        <v>44829</v>
      </c>
      <c r="B1338" s="10">
        <v>143368362</v>
      </c>
      <c r="C1338" s="3">
        <v>5540246183537</v>
      </c>
      <c r="D1338" s="9">
        <v>44839</v>
      </c>
      <c r="E1338" s="11">
        <v>961</v>
      </c>
      <c r="F1338" s="23" t="str">
        <f>IFERROR(VLOOKUP(C1338, 'Catégorie des articles'!$A:$D, 4, FALSE), "")</f>
        <v>MIX LEGUMES</v>
      </c>
      <c r="G1338">
        <f t="shared" si="20"/>
        <v>202210</v>
      </c>
    </row>
    <row r="1339" spans="1:7" ht="12" customHeight="1">
      <c r="A1339" s="6">
        <v>44829</v>
      </c>
      <c r="B1339" s="7">
        <v>143368362</v>
      </c>
      <c r="C1339" s="3">
        <v>5540246183555</v>
      </c>
      <c r="D1339" s="6">
        <v>44839</v>
      </c>
      <c r="E1339" s="8">
        <v>543</v>
      </c>
      <c r="F1339" s="23" t="str">
        <f>IFERROR(VLOOKUP(C1339, 'Catégorie des articles'!$A:$D, 4, FALSE), "")</f>
        <v>MIX LEGUMES</v>
      </c>
      <c r="G1339">
        <f t="shared" si="20"/>
        <v>202210</v>
      </c>
    </row>
    <row r="1340" spans="1:7" ht="12" customHeight="1">
      <c r="A1340" s="6">
        <v>44830</v>
      </c>
      <c r="B1340" s="7">
        <v>143368366</v>
      </c>
      <c r="C1340" s="3">
        <v>5540246171933</v>
      </c>
      <c r="D1340" s="6">
        <v>44832</v>
      </c>
      <c r="E1340" s="8">
        <v>557</v>
      </c>
      <c r="F1340" s="23" t="str">
        <f>IFERROR(VLOOKUP(C1340, 'Catégorie des articles'!$A:$D, 4, FALSE), "")</f>
        <v>CREMERIE</v>
      </c>
      <c r="G1340">
        <f t="shared" si="20"/>
        <v>202209</v>
      </c>
    </row>
    <row r="1341" spans="1:7" ht="12" customHeight="1">
      <c r="A1341" s="6">
        <v>44830</v>
      </c>
      <c r="B1341" s="7">
        <v>143368366</v>
      </c>
      <c r="C1341" s="3">
        <v>5540246176294</v>
      </c>
      <c r="D1341" s="6">
        <v>44832</v>
      </c>
      <c r="E1341" s="8">
        <v>743</v>
      </c>
      <c r="F1341" s="23" t="str">
        <f>IFERROR(VLOOKUP(C1341, 'Catégorie des articles'!$A:$D, 4, FALSE), "")</f>
        <v>CREMERIE</v>
      </c>
      <c r="G1341">
        <f t="shared" si="20"/>
        <v>202209</v>
      </c>
    </row>
    <row r="1342" spans="1:7" ht="12" customHeight="1">
      <c r="A1342" s="9">
        <v>44830</v>
      </c>
      <c r="B1342" s="10">
        <v>143368366</v>
      </c>
      <c r="C1342" s="3">
        <v>5540246176295</v>
      </c>
      <c r="D1342" s="9">
        <v>44832</v>
      </c>
      <c r="E1342" s="11">
        <v>4455</v>
      </c>
      <c r="F1342" s="23" t="str">
        <f>IFERROR(VLOOKUP(C1342, 'Catégorie des articles'!$A:$D, 4, FALSE), "")</f>
        <v>CREMERIE</v>
      </c>
      <c r="G1342">
        <f t="shared" si="20"/>
        <v>202209</v>
      </c>
    </row>
    <row r="1343" spans="1:7" ht="12" customHeight="1">
      <c r="A1343" s="6">
        <v>44830</v>
      </c>
      <c r="B1343" s="7">
        <v>143368366</v>
      </c>
      <c r="C1343" s="3">
        <v>5540246187987</v>
      </c>
      <c r="D1343" s="6">
        <v>44832</v>
      </c>
      <c r="E1343" s="8">
        <v>6682</v>
      </c>
      <c r="F1343" s="23" t="str">
        <f>IFERROR(VLOOKUP(C1343, 'Catégorie des articles'!$A:$D, 4, FALSE), "")</f>
        <v>CREMERIE</v>
      </c>
      <c r="G1343">
        <f t="shared" si="20"/>
        <v>202209</v>
      </c>
    </row>
    <row r="1344" spans="1:7" ht="12" customHeight="1">
      <c r="A1344" s="9">
        <v>44830</v>
      </c>
      <c r="B1344" s="10">
        <v>143368366</v>
      </c>
      <c r="C1344" s="3">
        <v>5540246188200</v>
      </c>
      <c r="D1344" s="9">
        <v>44832</v>
      </c>
      <c r="E1344" s="11">
        <v>743</v>
      </c>
      <c r="F1344" s="23" t="str">
        <f>IFERROR(VLOOKUP(C1344, 'Catégorie des articles'!$A:$D, 4, FALSE), "")</f>
        <v>CREMERIE</v>
      </c>
      <c r="G1344">
        <f t="shared" si="20"/>
        <v>202209</v>
      </c>
    </row>
    <row r="1345" spans="1:7" ht="12" customHeight="1">
      <c r="A1345" s="9">
        <v>44830</v>
      </c>
      <c r="B1345" s="10">
        <v>143368370</v>
      </c>
      <c r="C1345" s="3">
        <v>5540246176699</v>
      </c>
      <c r="D1345" s="9">
        <v>44832</v>
      </c>
      <c r="E1345" s="11">
        <v>4176</v>
      </c>
      <c r="F1345" s="23" t="str">
        <f>IFERROR(VLOOKUP(C1345, 'Catégorie des articles'!$A:$D, 4, FALSE), "")</f>
        <v>CREMERIE</v>
      </c>
      <c r="G1345">
        <f t="shared" si="20"/>
        <v>202209</v>
      </c>
    </row>
    <row r="1346" spans="1:7" ht="12" customHeight="1">
      <c r="A1346" s="9">
        <v>44830</v>
      </c>
      <c r="B1346" s="10">
        <v>143368373</v>
      </c>
      <c r="C1346" s="3">
        <v>5540246171933</v>
      </c>
      <c r="D1346" s="9">
        <v>44832</v>
      </c>
      <c r="E1346" s="11">
        <v>2228</v>
      </c>
      <c r="F1346" s="23" t="str">
        <f>IFERROR(VLOOKUP(C1346, 'Catégorie des articles'!$A:$D, 4, FALSE), "")</f>
        <v>CREMERIE</v>
      </c>
      <c r="G1346">
        <f t="shared" si="20"/>
        <v>202209</v>
      </c>
    </row>
    <row r="1347" spans="1:7" ht="12" customHeight="1">
      <c r="A1347" s="6">
        <v>44830</v>
      </c>
      <c r="B1347" s="7">
        <v>143368381</v>
      </c>
      <c r="C1347" s="3">
        <v>5540246191736</v>
      </c>
      <c r="D1347" s="6">
        <v>44844</v>
      </c>
      <c r="E1347" s="8">
        <v>650</v>
      </c>
      <c r="F1347" s="23" t="str">
        <f>IFERROR(VLOOKUP(C1347, 'Catégorie des articles'!$A:$D, 4, FALSE), "")</f>
        <v>CREMERIE</v>
      </c>
      <c r="G1347">
        <f t="shared" ref="G1347:G1410" si="21">YEAR(D1347)*100 + MONTH(D1347)</f>
        <v>202210</v>
      </c>
    </row>
    <row r="1348" spans="1:7" ht="12" customHeight="1">
      <c r="A1348" s="9">
        <v>44830</v>
      </c>
      <c r="B1348" s="10">
        <v>143368382</v>
      </c>
      <c r="C1348" s="3">
        <v>5540246183558</v>
      </c>
      <c r="D1348" s="9">
        <v>44844</v>
      </c>
      <c r="E1348" s="11">
        <v>5197</v>
      </c>
      <c r="F1348" s="23" t="str">
        <f>IFERROR(VLOOKUP(C1348, 'Catégorie des articles'!$A:$D, 4, FALSE), "")</f>
        <v>MIX LEGUMES</v>
      </c>
      <c r="G1348">
        <f t="shared" si="21"/>
        <v>202210</v>
      </c>
    </row>
    <row r="1349" spans="1:7" ht="12" customHeight="1">
      <c r="A1349" s="6">
        <v>44830</v>
      </c>
      <c r="B1349" s="7">
        <v>143368382</v>
      </c>
      <c r="C1349" s="3">
        <v>5540246183560</v>
      </c>
      <c r="D1349" s="6">
        <v>44844</v>
      </c>
      <c r="E1349" s="8">
        <v>223</v>
      </c>
      <c r="F1349" s="23" t="str">
        <f>IFERROR(VLOOKUP(C1349, 'Catégorie des articles'!$A:$D, 4, FALSE), "")</f>
        <v>MIX LEGUMES</v>
      </c>
      <c r="G1349">
        <f t="shared" si="21"/>
        <v>202210</v>
      </c>
    </row>
    <row r="1350" spans="1:7" ht="12" customHeight="1">
      <c r="A1350" s="9">
        <v>44830</v>
      </c>
      <c r="B1350" s="10">
        <v>143368382</v>
      </c>
      <c r="C1350" s="3">
        <v>5540246192209</v>
      </c>
      <c r="D1350" s="9">
        <v>44844</v>
      </c>
      <c r="E1350" s="11">
        <v>2228</v>
      </c>
      <c r="F1350" s="23" t="str">
        <f>IFERROR(VLOOKUP(C1350, 'Catégorie des articles'!$A:$D, 4, FALSE), "")</f>
        <v>MIX LEGUMES</v>
      </c>
      <c r="G1350">
        <f t="shared" si="21"/>
        <v>202210</v>
      </c>
    </row>
    <row r="1351" spans="1:7" ht="12" customHeight="1">
      <c r="A1351" s="6">
        <v>44830</v>
      </c>
      <c r="B1351" s="7">
        <v>143368382</v>
      </c>
      <c r="C1351" s="3">
        <v>5540246192462</v>
      </c>
      <c r="D1351" s="6">
        <v>44844</v>
      </c>
      <c r="E1351" s="8">
        <v>1114</v>
      </c>
      <c r="F1351" s="23" t="str">
        <f>IFERROR(VLOOKUP(C1351, 'Catégorie des articles'!$A:$D, 4, FALSE), "")</f>
        <v>MIX LEGUMES</v>
      </c>
      <c r="G1351">
        <f t="shared" si="21"/>
        <v>202210</v>
      </c>
    </row>
    <row r="1352" spans="1:7" ht="12" customHeight="1">
      <c r="A1352" s="9">
        <v>44830</v>
      </c>
      <c r="B1352" s="10">
        <v>143368382</v>
      </c>
      <c r="C1352" s="3">
        <v>5540246192831</v>
      </c>
      <c r="D1352" s="9">
        <v>44844</v>
      </c>
      <c r="E1352" s="11">
        <v>1300</v>
      </c>
      <c r="F1352" s="23" t="str">
        <f>IFERROR(VLOOKUP(C1352, 'Catégorie des articles'!$A:$D, 4, FALSE), "")</f>
        <v>MIX LEGUMES</v>
      </c>
      <c r="G1352">
        <f t="shared" si="21"/>
        <v>202210</v>
      </c>
    </row>
    <row r="1353" spans="1:7" ht="12" customHeight="1">
      <c r="A1353" s="6">
        <v>44830</v>
      </c>
      <c r="B1353" s="7">
        <v>143368383</v>
      </c>
      <c r="C1353" s="3">
        <v>5540246181061</v>
      </c>
      <c r="D1353" s="6">
        <v>44838</v>
      </c>
      <c r="E1353" s="8">
        <v>2205</v>
      </c>
      <c r="F1353" s="23" t="str">
        <f>IFERROR(VLOOKUP(C1353, 'Catégorie des articles'!$A:$D, 4, FALSE), "")</f>
        <v>VOLAILLE</v>
      </c>
      <c r="G1353">
        <f t="shared" si="21"/>
        <v>202210</v>
      </c>
    </row>
    <row r="1354" spans="1:7" ht="12" customHeight="1">
      <c r="A1354" s="9">
        <v>44830</v>
      </c>
      <c r="B1354" s="10">
        <v>143368383</v>
      </c>
      <c r="C1354" s="3">
        <v>5540246185278</v>
      </c>
      <c r="D1354" s="9">
        <v>44838</v>
      </c>
      <c r="E1354" s="11">
        <v>6716</v>
      </c>
      <c r="F1354" s="23" t="str">
        <f>IFERROR(VLOOKUP(C1354, 'Catégorie des articles'!$A:$D, 4, FALSE), "")</f>
        <v>VOLAILLE</v>
      </c>
      <c r="G1354">
        <f t="shared" si="21"/>
        <v>202210</v>
      </c>
    </row>
    <row r="1355" spans="1:7" ht="12" customHeight="1">
      <c r="A1355" s="9">
        <v>44830</v>
      </c>
      <c r="B1355" s="10">
        <v>143368384</v>
      </c>
      <c r="C1355" s="3">
        <v>5540246171759</v>
      </c>
      <c r="D1355" s="9">
        <v>44836</v>
      </c>
      <c r="E1355" s="11">
        <v>3341</v>
      </c>
      <c r="F1355" s="23" t="str">
        <f>IFERROR(VLOOKUP(C1355, 'Catégorie des articles'!$A:$D, 4, FALSE), "")</f>
        <v>MIX LEGUMES</v>
      </c>
      <c r="G1355">
        <f t="shared" si="21"/>
        <v>202210</v>
      </c>
    </row>
    <row r="1356" spans="1:7" ht="12" customHeight="1">
      <c r="A1356" s="6">
        <v>44830</v>
      </c>
      <c r="B1356" s="7">
        <v>143368384</v>
      </c>
      <c r="C1356" s="3">
        <v>5540246177133</v>
      </c>
      <c r="D1356" s="6">
        <v>44836</v>
      </c>
      <c r="E1356" s="8">
        <v>3341</v>
      </c>
      <c r="F1356" s="23" t="str">
        <f>IFERROR(VLOOKUP(C1356, 'Catégorie des articles'!$A:$D, 4, FALSE), "")</f>
        <v>MIX LEGUMES</v>
      </c>
      <c r="G1356">
        <f t="shared" si="21"/>
        <v>202210</v>
      </c>
    </row>
    <row r="1357" spans="1:7" ht="12" customHeight="1">
      <c r="A1357" s="9">
        <v>44830</v>
      </c>
      <c r="B1357" s="10">
        <v>143368384</v>
      </c>
      <c r="C1357" s="3">
        <v>5540246192148</v>
      </c>
      <c r="D1357" s="9">
        <v>44836</v>
      </c>
      <c r="E1357" s="11">
        <v>20880</v>
      </c>
      <c r="F1357" s="23" t="str">
        <f>IFERROR(VLOOKUP(C1357, 'Catégorie des articles'!$A:$D, 4, FALSE), "")</f>
        <v>MIX LEGUMES</v>
      </c>
      <c r="G1357">
        <f t="shared" si="21"/>
        <v>202210</v>
      </c>
    </row>
    <row r="1358" spans="1:7" ht="12" customHeight="1">
      <c r="A1358" s="6">
        <v>44830</v>
      </c>
      <c r="B1358" s="7">
        <v>143368384</v>
      </c>
      <c r="C1358" s="3">
        <v>5540246192518</v>
      </c>
      <c r="D1358" s="6">
        <v>44836</v>
      </c>
      <c r="E1358" s="8">
        <v>5847</v>
      </c>
      <c r="F1358" s="23" t="str">
        <f>IFERROR(VLOOKUP(C1358, 'Catégorie des articles'!$A:$D, 4, FALSE), "")</f>
        <v>MIX LEGUMES</v>
      </c>
      <c r="G1358">
        <f t="shared" si="21"/>
        <v>202210</v>
      </c>
    </row>
    <row r="1359" spans="1:7" ht="12" customHeight="1">
      <c r="A1359" s="6">
        <v>44830</v>
      </c>
      <c r="B1359" s="7">
        <v>143368385</v>
      </c>
      <c r="C1359" s="3">
        <v>5540246170256</v>
      </c>
      <c r="D1359" s="6">
        <v>44839</v>
      </c>
      <c r="E1359" s="8">
        <v>3174</v>
      </c>
      <c r="F1359" s="23" t="str">
        <f>IFERROR(VLOOKUP(C1359, 'Catégorie des articles'!$A:$D, 4, FALSE), "")</f>
        <v>BOULANGERIE</v>
      </c>
      <c r="G1359">
        <f t="shared" si="21"/>
        <v>202210</v>
      </c>
    </row>
    <row r="1360" spans="1:7" ht="12" customHeight="1">
      <c r="A1360" s="9">
        <v>44830</v>
      </c>
      <c r="B1360" s="10">
        <v>143368385</v>
      </c>
      <c r="C1360" s="3">
        <v>5540246171888</v>
      </c>
      <c r="D1360" s="9">
        <v>44839</v>
      </c>
      <c r="E1360" s="11">
        <v>520</v>
      </c>
      <c r="F1360" s="23" t="str">
        <f>IFERROR(VLOOKUP(C1360, 'Catégorie des articles'!$A:$D, 4, FALSE), "")</f>
        <v>BOULANGERIE</v>
      </c>
      <c r="G1360">
        <f t="shared" si="21"/>
        <v>202210</v>
      </c>
    </row>
    <row r="1361" spans="1:7" ht="12" customHeight="1">
      <c r="A1361" s="9">
        <v>44831</v>
      </c>
      <c r="B1361" s="10">
        <v>143368411</v>
      </c>
      <c r="C1361" s="3">
        <v>5540246172978</v>
      </c>
      <c r="D1361" s="9">
        <v>44833</v>
      </c>
      <c r="E1361" s="11">
        <v>2506</v>
      </c>
      <c r="F1361" s="23" t="str">
        <f>IFERROR(VLOOKUP(C1361, 'Catégorie des articles'!$A:$D, 4, FALSE), "")</f>
        <v>CREMERIE</v>
      </c>
      <c r="G1361">
        <f t="shared" si="21"/>
        <v>202209</v>
      </c>
    </row>
    <row r="1362" spans="1:7" ht="12" customHeight="1">
      <c r="A1362" s="9">
        <v>44831</v>
      </c>
      <c r="B1362" s="10">
        <v>143368411</v>
      </c>
      <c r="C1362" s="3">
        <v>5540246174174</v>
      </c>
      <c r="D1362" s="9">
        <v>44833</v>
      </c>
      <c r="E1362" s="11">
        <v>464</v>
      </c>
      <c r="F1362" s="23" t="str">
        <f>IFERROR(VLOOKUP(C1362, 'Catégorie des articles'!$A:$D, 4, FALSE), "")</f>
        <v>CREMERIE</v>
      </c>
      <c r="G1362">
        <f t="shared" si="21"/>
        <v>202209</v>
      </c>
    </row>
    <row r="1363" spans="1:7" ht="12" customHeight="1">
      <c r="A1363" s="6">
        <v>44831</v>
      </c>
      <c r="B1363" s="7">
        <v>143368411</v>
      </c>
      <c r="C1363" s="3">
        <v>5540246188175</v>
      </c>
      <c r="D1363" s="6">
        <v>44833</v>
      </c>
      <c r="E1363" s="8">
        <v>140</v>
      </c>
      <c r="F1363" s="23" t="str">
        <f>IFERROR(VLOOKUP(C1363, 'Catégorie des articles'!$A:$D, 4, FALSE), "")</f>
        <v>CREMERIE</v>
      </c>
      <c r="G1363">
        <f t="shared" si="21"/>
        <v>202209</v>
      </c>
    </row>
    <row r="1364" spans="1:7" ht="12" customHeight="1">
      <c r="A1364" s="6">
        <v>44831</v>
      </c>
      <c r="B1364" s="7">
        <v>143368413</v>
      </c>
      <c r="C1364" s="3">
        <v>5540246176294</v>
      </c>
      <c r="D1364" s="6">
        <v>44833</v>
      </c>
      <c r="E1364" s="8">
        <v>743</v>
      </c>
      <c r="F1364" s="23" t="str">
        <f>IFERROR(VLOOKUP(C1364, 'Catégorie des articles'!$A:$D, 4, FALSE), "")</f>
        <v>CREMERIE</v>
      </c>
      <c r="G1364">
        <f t="shared" si="21"/>
        <v>202209</v>
      </c>
    </row>
    <row r="1365" spans="1:7" ht="12" customHeight="1">
      <c r="A1365" s="9">
        <v>44831</v>
      </c>
      <c r="B1365" s="10">
        <v>143368413</v>
      </c>
      <c r="C1365" s="3">
        <v>5540246176295</v>
      </c>
      <c r="D1365" s="9">
        <v>44833</v>
      </c>
      <c r="E1365" s="11">
        <v>8909</v>
      </c>
      <c r="F1365" s="23" t="str">
        <f>IFERROR(VLOOKUP(C1365, 'Catégorie des articles'!$A:$D, 4, FALSE), "")</f>
        <v>CREMERIE</v>
      </c>
      <c r="G1365">
        <f t="shared" si="21"/>
        <v>202209</v>
      </c>
    </row>
    <row r="1366" spans="1:7" ht="12" customHeight="1">
      <c r="A1366" s="9">
        <v>44831</v>
      </c>
      <c r="B1366" s="10">
        <v>143368413</v>
      </c>
      <c r="C1366" s="3">
        <v>5540246187987</v>
      </c>
      <c r="D1366" s="9">
        <v>44833</v>
      </c>
      <c r="E1366" s="11">
        <v>3341</v>
      </c>
      <c r="F1366" s="23" t="str">
        <f>IFERROR(VLOOKUP(C1366, 'Catégorie des articles'!$A:$D, 4, FALSE), "")</f>
        <v>CREMERIE</v>
      </c>
      <c r="G1366">
        <f t="shared" si="21"/>
        <v>202209</v>
      </c>
    </row>
    <row r="1367" spans="1:7" ht="12" customHeight="1">
      <c r="A1367" s="6">
        <v>44831</v>
      </c>
      <c r="B1367" s="7">
        <v>143368413</v>
      </c>
      <c r="C1367" s="3">
        <v>5540246188200</v>
      </c>
      <c r="D1367" s="6">
        <v>44833</v>
      </c>
      <c r="E1367" s="8">
        <v>743</v>
      </c>
      <c r="F1367" s="23" t="str">
        <f>IFERROR(VLOOKUP(C1367, 'Catégorie des articles'!$A:$D, 4, FALSE), "")</f>
        <v>CREMERIE</v>
      </c>
      <c r="G1367">
        <f t="shared" si="21"/>
        <v>202209</v>
      </c>
    </row>
    <row r="1368" spans="1:7" ht="12" customHeight="1">
      <c r="A1368" s="9">
        <v>44831</v>
      </c>
      <c r="B1368" s="10">
        <v>143368426</v>
      </c>
      <c r="C1368" s="3">
        <v>5540246173906</v>
      </c>
      <c r="D1368" s="9">
        <v>44840</v>
      </c>
      <c r="E1368" s="11">
        <v>817</v>
      </c>
      <c r="F1368" s="23" t="str">
        <f>IFERROR(VLOOKUP(C1368, 'Catégorie des articles'!$A:$D, 4, FALSE), "")</f>
        <v>VOLAILLE</v>
      </c>
      <c r="G1368">
        <f t="shared" si="21"/>
        <v>202210</v>
      </c>
    </row>
    <row r="1369" spans="1:7" ht="12" customHeight="1">
      <c r="A1369" s="6">
        <v>44831</v>
      </c>
      <c r="B1369" s="7">
        <v>143368426</v>
      </c>
      <c r="C1369" s="3">
        <v>5540246181016</v>
      </c>
      <c r="D1369" s="6">
        <v>44840</v>
      </c>
      <c r="E1369" s="8">
        <v>9800</v>
      </c>
      <c r="F1369" s="23" t="str">
        <f>IFERROR(VLOOKUP(C1369, 'Catégorie des articles'!$A:$D, 4, FALSE), "")</f>
        <v>VOLAILLE</v>
      </c>
      <c r="G1369">
        <f t="shared" si="21"/>
        <v>202210</v>
      </c>
    </row>
    <row r="1370" spans="1:7" ht="12" customHeight="1">
      <c r="A1370" s="9">
        <v>44831</v>
      </c>
      <c r="B1370" s="10">
        <v>143368427</v>
      </c>
      <c r="C1370" s="3">
        <v>5540246192907</v>
      </c>
      <c r="D1370" s="9">
        <v>44846</v>
      </c>
      <c r="E1370" s="11">
        <v>16704</v>
      </c>
      <c r="F1370" s="23" t="str">
        <f>IFERROR(VLOOKUP(C1370, 'Catégorie des articles'!$A:$D, 4, FALSE), "")</f>
        <v>VOLAILLE</v>
      </c>
      <c r="G1370">
        <f t="shared" si="21"/>
        <v>202210</v>
      </c>
    </row>
    <row r="1371" spans="1:7" ht="12" customHeight="1">
      <c r="A1371" s="9">
        <v>44831</v>
      </c>
      <c r="B1371" s="10">
        <v>143368430</v>
      </c>
      <c r="C1371" s="3">
        <v>5540246193316</v>
      </c>
      <c r="D1371" s="9">
        <v>44860</v>
      </c>
      <c r="E1371" s="11">
        <v>335</v>
      </c>
      <c r="F1371" s="23" t="str">
        <f>IFERROR(VLOOKUP(C1371, 'Catégorie des articles'!$A:$D, 4, FALSE), "")</f>
        <v>BOULANGERIE</v>
      </c>
      <c r="G1371">
        <f t="shared" si="21"/>
        <v>202210</v>
      </c>
    </row>
    <row r="1372" spans="1:7" ht="12" customHeight="1">
      <c r="A1372" s="6">
        <v>44831</v>
      </c>
      <c r="B1372" s="7">
        <v>143368436</v>
      </c>
      <c r="C1372" s="3">
        <v>5540246190092</v>
      </c>
      <c r="D1372" s="6">
        <v>44864</v>
      </c>
      <c r="E1372" s="8">
        <v>232</v>
      </c>
      <c r="F1372" s="23" t="str">
        <f>IFERROR(VLOOKUP(C1372, 'Catégorie des articles'!$A:$D, 4, FALSE), "")</f>
        <v>EMBALLAGES</v>
      </c>
      <c r="G1372">
        <f t="shared" si="21"/>
        <v>202210</v>
      </c>
    </row>
    <row r="1373" spans="1:7" ht="12" customHeight="1">
      <c r="A1373" s="6">
        <v>44832</v>
      </c>
      <c r="B1373" s="7">
        <v>143368449</v>
      </c>
      <c r="C1373" s="3">
        <v>5540246171933</v>
      </c>
      <c r="D1373" s="6">
        <v>44836</v>
      </c>
      <c r="E1373" s="8">
        <v>1671</v>
      </c>
      <c r="F1373" s="23" t="str">
        <f>IFERROR(VLOOKUP(C1373, 'Catégorie des articles'!$A:$D, 4, FALSE), "")</f>
        <v>CREMERIE</v>
      </c>
      <c r="G1373">
        <f t="shared" si="21"/>
        <v>202210</v>
      </c>
    </row>
    <row r="1374" spans="1:7" ht="12" customHeight="1">
      <c r="A1374" s="9">
        <v>44832</v>
      </c>
      <c r="B1374" s="10">
        <v>143368449</v>
      </c>
      <c r="C1374" s="3">
        <v>5540246176294</v>
      </c>
      <c r="D1374" s="9">
        <v>44836</v>
      </c>
      <c r="E1374" s="11">
        <v>743</v>
      </c>
      <c r="F1374" s="23" t="str">
        <f>IFERROR(VLOOKUP(C1374, 'Catégorie des articles'!$A:$D, 4, FALSE), "")</f>
        <v>CREMERIE</v>
      </c>
      <c r="G1374">
        <f t="shared" si="21"/>
        <v>202210</v>
      </c>
    </row>
    <row r="1375" spans="1:7" ht="12" customHeight="1">
      <c r="A1375" s="6">
        <v>44832</v>
      </c>
      <c r="B1375" s="7">
        <v>143368449</v>
      </c>
      <c r="C1375" s="3">
        <v>5540246176295</v>
      </c>
      <c r="D1375" s="6">
        <v>44836</v>
      </c>
      <c r="E1375" s="8">
        <v>2228</v>
      </c>
      <c r="F1375" s="23" t="str">
        <f>IFERROR(VLOOKUP(C1375, 'Catégorie des articles'!$A:$D, 4, FALSE), "")</f>
        <v>CREMERIE</v>
      </c>
      <c r="G1375">
        <f t="shared" si="21"/>
        <v>202210</v>
      </c>
    </row>
    <row r="1376" spans="1:7" ht="12" customHeight="1">
      <c r="A1376" s="6">
        <v>44832</v>
      </c>
      <c r="B1376" s="7">
        <v>143368449</v>
      </c>
      <c r="C1376" s="3">
        <v>5540246188200</v>
      </c>
      <c r="D1376" s="6">
        <v>44836</v>
      </c>
      <c r="E1376" s="8">
        <v>1485</v>
      </c>
      <c r="F1376" s="23" t="str">
        <f>IFERROR(VLOOKUP(C1376, 'Catégorie des articles'!$A:$D, 4, FALSE), "")</f>
        <v>CREMERIE</v>
      </c>
      <c r="G1376">
        <f t="shared" si="21"/>
        <v>202210</v>
      </c>
    </row>
    <row r="1377" spans="1:7" ht="12" customHeight="1">
      <c r="A1377" s="6">
        <v>44832</v>
      </c>
      <c r="B1377" s="7">
        <v>143368454</v>
      </c>
      <c r="C1377" s="3">
        <v>5540246172978</v>
      </c>
      <c r="D1377" s="6">
        <v>44836</v>
      </c>
      <c r="E1377" s="8">
        <v>3341</v>
      </c>
      <c r="F1377" s="23" t="str">
        <f>IFERROR(VLOOKUP(C1377, 'Catégorie des articles'!$A:$D, 4, FALSE), "")</f>
        <v>CREMERIE</v>
      </c>
      <c r="G1377">
        <f t="shared" si="21"/>
        <v>202210</v>
      </c>
    </row>
    <row r="1378" spans="1:7" ht="12" customHeight="1">
      <c r="A1378" s="6">
        <v>44832</v>
      </c>
      <c r="B1378" s="7">
        <v>143368454</v>
      </c>
      <c r="C1378" s="3">
        <v>5540246176699</v>
      </c>
      <c r="D1378" s="6">
        <v>44836</v>
      </c>
      <c r="E1378" s="8">
        <v>8352</v>
      </c>
      <c r="F1378" s="23" t="str">
        <f>IFERROR(VLOOKUP(C1378, 'Catégorie des articles'!$A:$D, 4, FALSE), "")</f>
        <v>CREMERIE</v>
      </c>
      <c r="G1378">
        <f t="shared" si="21"/>
        <v>202210</v>
      </c>
    </row>
    <row r="1379" spans="1:7" ht="12" customHeight="1">
      <c r="A1379" s="6">
        <v>44832</v>
      </c>
      <c r="B1379" s="7">
        <v>143368458</v>
      </c>
      <c r="C1379" s="3">
        <v>5540246173472</v>
      </c>
      <c r="D1379" s="6">
        <v>44838</v>
      </c>
      <c r="E1379" s="8">
        <v>140</v>
      </c>
      <c r="F1379" s="23" t="str">
        <f>IFERROR(VLOOKUP(C1379, 'Catégorie des articles'!$A:$D, 4, FALSE), "")</f>
        <v>CREMERIE</v>
      </c>
      <c r="G1379">
        <f t="shared" si="21"/>
        <v>202210</v>
      </c>
    </row>
    <row r="1380" spans="1:7" ht="12" customHeight="1">
      <c r="A1380" s="9">
        <v>44832</v>
      </c>
      <c r="B1380" s="10">
        <v>143368458</v>
      </c>
      <c r="C1380" s="3">
        <v>5540246174095</v>
      </c>
      <c r="D1380" s="9">
        <v>44838</v>
      </c>
      <c r="E1380" s="11">
        <v>70</v>
      </c>
      <c r="F1380" s="23" t="str">
        <f>IFERROR(VLOOKUP(C1380, 'Catégorie des articles'!$A:$D, 4, FALSE), "")</f>
        <v>CREMERIE</v>
      </c>
      <c r="G1380">
        <f t="shared" si="21"/>
        <v>202210</v>
      </c>
    </row>
    <row r="1381" spans="1:7" ht="12" customHeight="1">
      <c r="A1381" s="6">
        <v>44832</v>
      </c>
      <c r="B1381" s="7">
        <v>143368458</v>
      </c>
      <c r="C1381" s="3">
        <v>5540246175047</v>
      </c>
      <c r="D1381" s="6">
        <v>44838</v>
      </c>
      <c r="E1381" s="8">
        <v>140</v>
      </c>
      <c r="F1381" s="23" t="str">
        <f>IFERROR(VLOOKUP(C1381, 'Catégorie des articles'!$A:$D, 4, FALSE), "")</f>
        <v>CREMERIE</v>
      </c>
      <c r="G1381">
        <f t="shared" si="21"/>
        <v>202210</v>
      </c>
    </row>
    <row r="1382" spans="1:7" ht="12" customHeight="1">
      <c r="A1382" s="9">
        <v>44832</v>
      </c>
      <c r="B1382" s="10">
        <v>143368458</v>
      </c>
      <c r="C1382" s="3">
        <v>5540246175049</v>
      </c>
      <c r="D1382" s="9">
        <v>44838</v>
      </c>
      <c r="E1382" s="11">
        <v>279</v>
      </c>
      <c r="F1382" s="23" t="str">
        <f>IFERROR(VLOOKUP(C1382, 'Catégorie des articles'!$A:$D, 4, FALSE), "")</f>
        <v>CREMERIE</v>
      </c>
      <c r="G1382">
        <f t="shared" si="21"/>
        <v>202210</v>
      </c>
    </row>
    <row r="1383" spans="1:7" ht="12" customHeight="1">
      <c r="A1383" s="6">
        <v>44832</v>
      </c>
      <c r="B1383" s="7">
        <v>143368458</v>
      </c>
      <c r="C1383" s="3">
        <v>5540246175050</v>
      </c>
      <c r="D1383" s="6">
        <v>44838</v>
      </c>
      <c r="E1383" s="8">
        <v>279</v>
      </c>
      <c r="F1383" s="23" t="str">
        <f>IFERROR(VLOOKUP(C1383, 'Catégorie des articles'!$A:$D, 4, FALSE), "")</f>
        <v>CREMERIE</v>
      </c>
      <c r="G1383">
        <f t="shared" si="21"/>
        <v>202210</v>
      </c>
    </row>
    <row r="1384" spans="1:7" ht="12" customHeight="1">
      <c r="A1384" s="9">
        <v>44832</v>
      </c>
      <c r="B1384" s="10">
        <v>143368458</v>
      </c>
      <c r="C1384" s="3">
        <v>5540246190743</v>
      </c>
      <c r="D1384" s="9">
        <v>44838</v>
      </c>
      <c r="E1384" s="11">
        <v>140</v>
      </c>
      <c r="F1384" s="23" t="str">
        <f>IFERROR(VLOOKUP(C1384, 'Catégorie des articles'!$A:$D, 4, FALSE), "")</f>
        <v>CREMERIE</v>
      </c>
      <c r="G1384">
        <f t="shared" si="21"/>
        <v>202210</v>
      </c>
    </row>
    <row r="1385" spans="1:7" ht="12" customHeight="1">
      <c r="A1385" s="6">
        <v>44832</v>
      </c>
      <c r="B1385" s="7">
        <v>143368464</v>
      </c>
      <c r="C1385" s="3">
        <v>5540246177133</v>
      </c>
      <c r="D1385" s="6">
        <v>44838</v>
      </c>
      <c r="E1385" s="8">
        <v>5568</v>
      </c>
      <c r="F1385" s="23" t="str">
        <f>IFERROR(VLOOKUP(C1385, 'Catégorie des articles'!$A:$D, 4, FALSE), "")</f>
        <v>MIX LEGUMES</v>
      </c>
      <c r="G1385">
        <f t="shared" si="21"/>
        <v>202210</v>
      </c>
    </row>
    <row r="1386" spans="1:7" ht="12" customHeight="1">
      <c r="A1386" s="9">
        <v>44832</v>
      </c>
      <c r="B1386" s="10">
        <v>143368464</v>
      </c>
      <c r="C1386" s="3">
        <v>5540246192148</v>
      </c>
      <c r="D1386" s="9">
        <v>44838</v>
      </c>
      <c r="E1386" s="11">
        <v>26448</v>
      </c>
      <c r="F1386" s="23" t="str">
        <f>IFERROR(VLOOKUP(C1386, 'Catégorie des articles'!$A:$D, 4, FALSE), "")</f>
        <v>MIX LEGUMES</v>
      </c>
      <c r="G1386">
        <f t="shared" si="21"/>
        <v>202210</v>
      </c>
    </row>
    <row r="1387" spans="1:7" ht="12" customHeight="1">
      <c r="A1387" s="6">
        <v>44832</v>
      </c>
      <c r="B1387" s="7">
        <v>143368464</v>
      </c>
      <c r="C1387" s="3">
        <v>5540246192518</v>
      </c>
      <c r="D1387" s="6">
        <v>44838</v>
      </c>
      <c r="E1387" s="8">
        <v>5847</v>
      </c>
      <c r="F1387" s="23" t="str">
        <f>IFERROR(VLOOKUP(C1387, 'Catégorie des articles'!$A:$D, 4, FALSE), "")</f>
        <v>MIX LEGUMES</v>
      </c>
      <c r="G1387">
        <f t="shared" si="21"/>
        <v>202210</v>
      </c>
    </row>
    <row r="1388" spans="1:7" ht="12" customHeight="1">
      <c r="A1388" s="9">
        <v>44832</v>
      </c>
      <c r="B1388" s="10">
        <v>143368465</v>
      </c>
      <c r="C1388" s="3">
        <v>5540246183587</v>
      </c>
      <c r="D1388" s="9">
        <v>44845</v>
      </c>
      <c r="E1388" s="11">
        <v>502</v>
      </c>
      <c r="F1388" s="23" t="str">
        <f>IFERROR(VLOOKUP(C1388, 'Catégorie des articles'!$A:$D, 4, FALSE), "")</f>
        <v>MIX LEGUMES</v>
      </c>
      <c r="G1388">
        <f t="shared" si="21"/>
        <v>202210</v>
      </c>
    </row>
    <row r="1389" spans="1:7" ht="12" customHeight="1">
      <c r="A1389" s="6">
        <v>44832</v>
      </c>
      <c r="B1389" s="7">
        <v>143368465</v>
      </c>
      <c r="C1389" s="3">
        <v>5540246194790</v>
      </c>
      <c r="D1389" s="6">
        <v>44845</v>
      </c>
      <c r="E1389" s="8">
        <v>1316</v>
      </c>
      <c r="F1389" s="23" t="str">
        <f>IFERROR(VLOOKUP(C1389, 'Catégorie des articles'!$A:$D, 4, FALSE), "")</f>
        <v>MIX LEGUMES</v>
      </c>
      <c r="G1389">
        <f t="shared" si="21"/>
        <v>202210</v>
      </c>
    </row>
    <row r="1390" spans="1:7" ht="12" customHeight="1">
      <c r="A1390" s="6">
        <v>44832</v>
      </c>
      <c r="B1390" s="7">
        <v>143368473</v>
      </c>
      <c r="C1390" s="3">
        <v>5540246170256</v>
      </c>
      <c r="D1390" s="6">
        <v>44845</v>
      </c>
      <c r="E1390" s="8">
        <v>2822</v>
      </c>
      <c r="F1390" s="23" t="str">
        <f>IFERROR(VLOOKUP(C1390, 'Catégorie des articles'!$A:$D, 4, FALSE), "")</f>
        <v>BOULANGERIE</v>
      </c>
      <c r="G1390">
        <f t="shared" si="21"/>
        <v>202210</v>
      </c>
    </row>
    <row r="1391" spans="1:7" ht="12" customHeight="1">
      <c r="A1391" s="9">
        <v>44832</v>
      </c>
      <c r="B1391" s="10">
        <v>143368473</v>
      </c>
      <c r="C1391" s="3">
        <v>5540246171888</v>
      </c>
      <c r="D1391" s="9">
        <v>44845</v>
      </c>
      <c r="E1391" s="11">
        <v>780</v>
      </c>
      <c r="F1391" s="23" t="str">
        <f>IFERROR(VLOOKUP(C1391, 'Catégorie des articles'!$A:$D, 4, FALSE), "")</f>
        <v>BOULANGERIE</v>
      </c>
      <c r="G1391">
        <f t="shared" si="21"/>
        <v>202210</v>
      </c>
    </row>
    <row r="1392" spans="1:7" ht="12" customHeight="1">
      <c r="A1392" s="9">
        <v>44832</v>
      </c>
      <c r="B1392" s="10">
        <v>143368475</v>
      </c>
      <c r="C1392" s="3">
        <v>5540246182684</v>
      </c>
      <c r="D1392" s="9">
        <v>44847</v>
      </c>
      <c r="E1392" s="11">
        <v>325</v>
      </c>
      <c r="F1392" s="23" t="str">
        <f>IFERROR(VLOOKUP(C1392, 'Catégorie des articles'!$A:$D, 4, FALSE), "")</f>
        <v>BOULANGERIE</v>
      </c>
      <c r="G1392">
        <f t="shared" si="21"/>
        <v>202210</v>
      </c>
    </row>
    <row r="1393" spans="1:7" ht="12" customHeight="1">
      <c r="A1393" s="6">
        <v>44832</v>
      </c>
      <c r="B1393" s="7">
        <v>143368475</v>
      </c>
      <c r="C1393" s="3">
        <v>5540246183844</v>
      </c>
      <c r="D1393" s="6">
        <v>44847</v>
      </c>
      <c r="E1393" s="8">
        <v>186</v>
      </c>
      <c r="F1393" s="23" t="str">
        <f>IFERROR(VLOOKUP(C1393, 'Catégorie des articles'!$A:$D, 4, FALSE), "")</f>
        <v>BOULANGERIE</v>
      </c>
      <c r="G1393">
        <f t="shared" si="21"/>
        <v>202210</v>
      </c>
    </row>
    <row r="1394" spans="1:7" ht="12" customHeight="1">
      <c r="A1394" s="6">
        <v>44832</v>
      </c>
      <c r="B1394" s="7">
        <v>143368475</v>
      </c>
      <c r="C1394" s="3">
        <v>5540246194467</v>
      </c>
      <c r="D1394" s="6">
        <v>44847</v>
      </c>
      <c r="E1394" s="8">
        <v>26727</v>
      </c>
      <c r="F1394" s="23" t="str">
        <f>IFERROR(VLOOKUP(C1394, 'Catégorie des articles'!$A:$D, 4, FALSE), "")</f>
        <v>BOULANGERIE</v>
      </c>
      <c r="G1394">
        <f t="shared" si="21"/>
        <v>202210</v>
      </c>
    </row>
    <row r="1395" spans="1:7" ht="12" customHeight="1">
      <c r="A1395" s="9">
        <v>44832</v>
      </c>
      <c r="B1395" s="10">
        <v>143368476</v>
      </c>
      <c r="C1395" s="3">
        <v>5540246194632</v>
      </c>
      <c r="D1395" s="9">
        <v>44844</v>
      </c>
      <c r="E1395" s="11">
        <v>1170</v>
      </c>
      <c r="F1395" s="23" t="str">
        <f>IFERROR(VLOOKUP(C1395, 'Catégorie des articles'!$A:$D, 4, FALSE), "")</f>
        <v>BOULANGERIE</v>
      </c>
      <c r="G1395">
        <f t="shared" si="21"/>
        <v>202210</v>
      </c>
    </row>
    <row r="1396" spans="1:7" ht="12" customHeight="1">
      <c r="A1396" s="6">
        <v>44832</v>
      </c>
      <c r="B1396" s="7">
        <v>143368476</v>
      </c>
      <c r="C1396" s="3">
        <v>5540246195250</v>
      </c>
      <c r="D1396" s="6">
        <v>44844</v>
      </c>
      <c r="E1396" s="8">
        <v>335</v>
      </c>
      <c r="F1396" s="23" t="str">
        <f>IFERROR(VLOOKUP(C1396, 'Catégorie des articles'!$A:$D, 4, FALSE), "")</f>
        <v>BOULANGERIE</v>
      </c>
      <c r="G1396">
        <f t="shared" si="21"/>
        <v>202210</v>
      </c>
    </row>
    <row r="1397" spans="1:7" ht="12" customHeight="1">
      <c r="A1397" s="6">
        <v>44833</v>
      </c>
      <c r="B1397" s="7">
        <v>143368487</v>
      </c>
      <c r="C1397" s="3">
        <v>5540246187987</v>
      </c>
      <c r="D1397" s="6">
        <v>44837</v>
      </c>
      <c r="E1397" s="8">
        <v>1671</v>
      </c>
      <c r="F1397" s="23" t="str">
        <f>IFERROR(VLOOKUP(C1397, 'Catégorie des articles'!$A:$D, 4, FALSE), "")</f>
        <v>CREMERIE</v>
      </c>
      <c r="G1397">
        <f t="shared" si="21"/>
        <v>202210</v>
      </c>
    </row>
    <row r="1398" spans="1:7" ht="12" customHeight="1">
      <c r="A1398" s="9">
        <v>44833</v>
      </c>
      <c r="B1398" s="10">
        <v>143368487</v>
      </c>
      <c r="C1398" s="3">
        <v>5540246188200</v>
      </c>
      <c r="D1398" s="9">
        <v>44837</v>
      </c>
      <c r="E1398" s="11">
        <v>372</v>
      </c>
      <c r="F1398" s="23" t="str">
        <f>IFERROR(VLOOKUP(C1398, 'Catégorie des articles'!$A:$D, 4, FALSE), "")</f>
        <v>CREMERIE</v>
      </c>
      <c r="G1398">
        <f t="shared" si="21"/>
        <v>202210</v>
      </c>
    </row>
    <row r="1399" spans="1:7" ht="12" customHeight="1">
      <c r="A1399" s="6">
        <v>44833</v>
      </c>
      <c r="B1399" s="7">
        <v>143368492</v>
      </c>
      <c r="C1399" s="3">
        <v>5540246185429</v>
      </c>
      <c r="D1399" s="6">
        <v>44837</v>
      </c>
      <c r="E1399" s="8">
        <v>56</v>
      </c>
      <c r="F1399" s="23" t="str">
        <f>IFERROR(VLOOKUP(C1399, 'Catégorie des articles'!$A:$D, 4, FALSE), "")</f>
        <v>CREMERIE</v>
      </c>
      <c r="G1399">
        <f t="shared" si="21"/>
        <v>202210</v>
      </c>
    </row>
    <row r="1400" spans="1:7" ht="12" customHeight="1">
      <c r="A1400" s="9">
        <v>44833</v>
      </c>
      <c r="B1400" s="10">
        <v>143368492</v>
      </c>
      <c r="C1400" s="3">
        <v>5540246185562</v>
      </c>
      <c r="D1400" s="9">
        <v>44837</v>
      </c>
      <c r="E1400" s="11">
        <v>70</v>
      </c>
      <c r="F1400" s="23" t="str">
        <f>IFERROR(VLOOKUP(C1400, 'Catégorie des articles'!$A:$D, 4, FALSE), "")</f>
        <v>CREMERIE</v>
      </c>
      <c r="G1400">
        <f t="shared" si="21"/>
        <v>202210</v>
      </c>
    </row>
    <row r="1401" spans="1:7" ht="12" customHeight="1">
      <c r="A1401" s="6">
        <v>44833</v>
      </c>
      <c r="B1401" s="7">
        <v>143368492</v>
      </c>
      <c r="C1401" s="3">
        <v>5540246186325</v>
      </c>
      <c r="D1401" s="6">
        <v>44837</v>
      </c>
      <c r="E1401" s="8">
        <v>98</v>
      </c>
      <c r="F1401" s="23" t="str">
        <f>IFERROR(VLOOKUP(C1401, 'Catégorie des articles'!$A:$D, 4, FALSE), "")</f>
        <v>CREMERIE</v>
      </c>
      <c r="G1401">
        <f t="shared" si="21"/>
        <v>202210</v>
      </c>
    </row>
    <row r="1402" spans="1:7" ht="12" customHeight="1">
      <c r="A1402" s="9">
        <v>44833</v>
      </c>
      <c r="B1402" s="10">
        <v>143368503</v>
      </c>
      <c r="C1402" s="3">
        <v>5540246194632</v>
      </c>
      <c r="D1402" s="9">
        <v>44847</v>
      </c>
      <c r="E1402" s="11">
        <v>1253</v>
      </c>
      <c r="F1402" s="23" t="str">
        <f>IFERROR(VLOOKUP(C1402, 'Catégorie des articles'!$A:$D, 4, FALSE), "")</f>
        <v>BOULANGERIE</v>
      </c>
      <c r="G1402">
        <f t="shared" si="21"/>
        <v>202210</v>
      </c>
    </row>
    <row r="1403" spans="1:7" ht="12" customHeight="1">
      <c r="A1403" s="6">
        <v>44833</v>
      </c>
      <c r="B1403" s="7">
        <v>143368503</v>
      </c>
      <c r="C1403" s="3">
        <v>5540246195250</v>
      </c>
      <c r="D1403" s="6">
        <v>44847</v>
      </c>
      <c r="E1403" s="8">
        <v>251</v>
      </c>
      <c r="F1403" s="23" t="str">
        <f>IFERROR(VLOOKUP(C1403, 'Catégorie des articles'!$A:$D, 4, FALSE), "")</f>
        <v>BOULANGERIE</v>
      </c>
      <c r="G1403">
        <f t="shared" si="21"/>
        <v>202210</v>
      </c>
    </row>
    <row r="1404" spans="1:7" ht="12" customHeight="1">
      <c r="A1404" s="6">
        <v>44836</v>
      </c>
      <c r="B1404" s="7">
        <v>143378508</v>
      </c>
      <c r="C1404" s="3">
        <v>5540246176295</v>
      </c>
      <c r="D1404" s="6">
        <v>44838</v>
      </c>
      <c r="E1404" s="8">
        <v>2970</v>
      </c>
      <c r="F1404" s="23" t="str">
        <f>IFERROR(VLOOKUP(C1404, 'Catégorie des articles'!$A:$D, 4, FALSE), "")</f>
        <v>CREMERIE</v>
      </c>
      <c r="G1404">
        <f t="shared" si="21"/>
        <v>202210</v>
      </c>
    </row>
    <row r="1405" spans="1:7" ht="12" customHeight="1">
      <c r="A1405" s="9">
        <v>44836</v>
      </c>
      <c r="B1405" s="10">
        <v>143378508</v>
      </c>
      <c r="C1405" s="3">
        <v>5540246188200</v>
      </c>
      <c r="D1405" s="9">
        <v>44838</v>
      </c>
      <c r="E1405" s="11">
        <v>743</v>
      </c>
      <c r="F1405" s="23" t="str">
        <f>IFERROR(VLOOKUP(C1405, 'Catégorie des articles'!$A:$D, 4, FALSE), "")</f>
        <v>CREMERIE</v>
      </c>
      <c r="G1405">
        <f t="shared" si="21"/>
        <v>202210</v>
      </c>
    </row>
    <row r="1406" spans="1:7" ht="12" customHeight="1">
      <c r="A1406" s="9">
        <v>44836</v>
      </c>
      <c r="B1406" s="10">
        <v>143378509</v>
      </c>
      <c r="C1406" s="3">
        <v>5540246176699</v>
      </c>
      <c r="D1406" s="9">
        <v>44838</v>
      </c>
      <c r="E1406" s="11">
        <v>4176</v>
      </c>
      <c r="F1406" s="23" t="str">
        <f>IFERROR(VLOOKUP(C1406, 'Catégorie des articles'!$A:$D, 4, FALSE), "")</f>
        <v>CREMERIE</v>
      </c>
      <c r="G1406">
        <f t="shared" si="21"/>
        <v>202210</v>
      </c>
    </row>
    <row r="1407" spans="1:7" ht="12" customHeight="1">
      <c r="A1407" s="9">
        <v>44836</v>
      </c>
      <c r="B1407" s="10">
        <v>143378513</v>
      </c>
      <c r="C1407" s="3">
        <v>5540246175049</v>
      </c>
      <c r="D1407" s="9">
        <v>44840</v>
      </c>
      <c r="E1407" s="11">
        <v>557</v>
      </c>
      <c r="F1407" s="23" t="str">
        <f>IFERROR(VLOOKUP(C1407, 'Catégorie des articles'!$A:$D, 4, FALSE), "")</f>
        <v>CREMERIE</v>
      </c>
      <c r="G1407">
        <f t="shared" si="21"/>
        <v>202210</v>
      </c>
    </row>
    <row r="1408" spans="1:7" ht="12" customHeight="1">
      <c r="A1408" s="6">
        <v>44836</v>
      </c>
      <c r="B1408" s="7">
        <v>143378513</v>
      </c>
      <c r="C1408" s="3">
        <v>5540246175050</v>
      </c>
      <c r="D1408" s="6">
        <v>44840</v>
      </c>
      <c r="E1408" s="8">
        <v>557</v>
      </c>
      <c r="F1408" s="23" t="str">
        <f>IFERROR(VLOOKUP(C1408, 'Catégorie des articles'!$A:$D, 4, FALSE), "")</f>
        <v>CREMERIE</v>
      </c>
      <c r="G1408">
        <f t="shared" si="21"/>
        <v>202210</v>
      </c>
    </row>
    <row r="1409" spans="1:7" ht="12" customHeight="1">
      <c r="A1409" s="9">
        <v>44836</v>
      </c>
      <c r="B1409" s="10">
        <v>143378514</v>
      </c>
      <c r="C1409" s="3">
        <v>5540246195242</v>
      </c>
      <c r="D1409" s="9">
        <v>44840</v>
      </c>
      <c r="E1409" s="11">
        <v>743</v>
      </c>
      <c r="F1409" s="23" t="str">
        <f>IFERROR(VLOOKUP(C1409, 'Catégorie des articles'!$A:$D, 4, FALSE), "")</f>
        <v>MIX LEGUMES</v>
      </c>
      <c r="G1409">
        <f t="shared" si="21"/>
        <v>202210</v>
      </c>
    </row>
    <row r="1410" spans="1:7" ht="12" customHeight="1">
      <c r="A1410" s="6">
        <v>44836</v>
      </c>
      <c r="B1410" s="7">
        <v>143378515</v>
      </c>
      <c r="C1410" s="3">
        <v>5540246195241</v>
      </c>
      <c r="D1410" s="6">
        <v>44847</v>
      </c>
      <c r="E1410" s="8">
        <v>743</v>
      </c>
      <c r="F1410" s="23" t="str">
        <f>IFERROR(VLOOKUP(C1410, 'Catégorie des articles'!$A:$D, 4, FALSE), "")</f>
        <v>MIX LEGUMES</v>
      </c>
      <c r="G1410">
        <f t="shared" si="21"/>
        <v>202210</v>
      </c>
    </row>
    <row r="1411" spans="1:7" ht="12" customHeight="1">
      <c r="A1411" s="6">
        <v>44836</v>
      </c>
      <c r="B1411" s="7">
        <v>143378516</v>
      </c>
      <c r="C1411" s="3">
        <v>5540246185562</v>
      </c>
      <c r="D1411" s="6">
        <v>44840</v>
      </c>
      <c r="E1411" s="8">
        <v>140</v>
      </c>
      <c r="F1411" s="23" t="str">
        <f>IFERROR(VLOOKUP(C1411, 'Catégorie des articles'!$A:$D, 4, FALSE), "")</f>
        <v>CREMERIE</v>
      </c>
      <c r="G1411">
        <f t="shared" ref="G1411:G1474" si="22">YEAR(D1411)*100 + MONTH(D1411)</f>
        <v>202210</v>
      </c>
    </row>
    <row r="1412" spans="1:7" ht="12" customHeight="1">
      <c r="A1412" s="9">
        <v>44836</v>
      </c>
      <c r="B1412" s="10">
        <v>143378516</v>
      </c>
      <c r="C1412" s="3">
        <v>5540246186325</v>
      </c>
      <c r="D1412" s="9">
        <v>44840</v>
      </c>
      <c r="E1412" s="11">
        <v>140</v>
      </c>
      <c r="F1412" s="23" t="str">
        <f>IFERROR(VLOOKUP(C1412, 'Catégorie des articles'!$A:$D, 4, FALSE), "")</f>
        <v>CREMERIE</v>
      </c>
      <c r="G1412">
        <f t="shared" si="22"/>
        <v>202210</v>
      </c>
    </row>
    <row r="1413" spans="1:7" ht="12" customHeight="1">
      <c r="A1413" s="9">
        <v>44836</v>
      </c>
      <c r="B1413" s="10">
        <v>143378519</v>
      </c>
      <c r="C1413" s="3">
        <v>5540246177133</v>
      </c>
      <c r="D1413" s="9">
        <v>44844</v>
      </c>
      <c r="E1413" s="11">
        <v>4455</v>
      </c>
      <c r="F1413" s="23" t="str">
        <f>IFERROR(VLOOKUP(C1413, 'Catégorie des articles'!$A:$D, 4, FALSE), "")</f>
        <v>MIX LEGUMES</v>
      </c>
      <c r="G1413">
        <f t="shared" si="22"/>
        <v>202210</v>
      </c>
    </row>
    <row r="1414" spans="1:7" ht="12" customHeight="1">
      <c r="A1414" s="6">
        <v>44836</v>
      </c>
      <c r="B1414" s="7">
        <v>143378519</v>
      </c>
      <c r="C1414" s="3">
        <v>5540246192148</v>
      </c>
      <c r="D1414" s="6">
        <v>44844</v>
      </c>
      <c r="E1414" s="8">
        <v>29232</v>
      </c>
      <c r="F1414" s="23" t="str">
        <f>IFERROR(VLOOKUP(C1414, 'Catégorie des articles'!$A:$D, 4, FALSE), "")</f>
        <v>MIX LEGUMES</v>
      </c>
      <c r="G1414">
        <f t="shared" si="22"/>
        <v>202210</v>
      </c>
    </row>
    <row r="1415" spans="1:7" ht="12" customHeight="1">
      <c r="A1415" s="9">
        <v>44836</v>
      </c>
      <c r="B1415" s="10">
        <v>143378519</v>
      </c>
      <c r="C1415" s="3">
        <v>5540246192518</v>
      </c>
      <c r="D1415" s="9">
        <v>44844</v>
      </c>
      <c r="E1415" s="11">
        <v>5847</v>
      </c>
      <c r="F1415" s="23" t="str">
        <f>IFERROR(VLOOKUP(C1415, 'Catégorie des articles'!$A:$D, 4, FALSE), "")</f>
        <v>MIX LEGUMES</v>
      </c>
      <c r="G1415">
        <f t="shared" si="22"/>
        <v>202210</v>
      </c>
    </row>
    <row r="1416" spans="1:7" ht="12" customHeight="1">
      <c r="A1416" s="9">
        <v>44836</v>
      </c>
      <c r="B1416" s="10">
        <v>143378523</v>
      </c>
      <c r="C1416" s="3">
        <v>5540246183587</v>
      </c>
      <c r="D1416" s="9">
        <v>44852</v>
      </c>
      <c r="E1416" s="11">
        <v>502</v>
      </c>
      <c r="F1416" s="23" t="str">
        <f>IFERROR(VLOOKUP(C1416, 'Catégorie des articles'!$A:$D, 4, FALSE), "")</f>
        <v>MIX LEGUMES</v>
      </c>
      <c r="G1416">
        <f t="shared" si="22"/>
        <v>202210</v>
      </c>
    </row>
    <row r="1417" spans="1:7" ht="12" customHeight="1">
      <c r="A1417" s="6">
        <v>44836</v>
      </c>
      <c r="B1417" s="7">
        <v>143378523</v>
      </c>
      <c r="C1417" s="3">
        <v>5540246183589</v>
      </c>
      <c r="D1417" s="6">
        <v>44852</v>
      </c>
      <c r="E1417" s="8">
        <v>650</v>
      </c>
      <c r="F1417" s="23" t="str">
        <f>IFERROR(VLOOKUP(C1417, 'Catégorie des articles'!$A:$D, 4, FALSE), "")</f>
        <v>MIX LEGUMES</v>
      </c>
      <c r="G1417">
        <f t="shared" si="22"/>
        <v>202210</v>
      </c>
    </row>
    <row r="1418" spans="1:7" ht="12" customHeight="1">
      <c r="A1418" s="9">
        <v>44836</v>
      </c>
      <c r="B1418" s="10">
        <v>143378523</v>
      </c>
      <c r="C1418" s="3">
        <v>5540246194790</v>
      </c>
      <c r="D1418" s="9">
        <v>44852</v>
      </c>
      <c r="E1418" s="11">
        <v>2631</v>
      </c>
      <c r="F1418" s="23" t="str">
        <f>IFERROR(VLOOKUP(C1418, 'Catégorie des articles'!$A:$D, 4, FALSE), "")</f>
        <v>MIX LEGUMES</v>
      </c>
      <c r="G1418">
        <f t="shared" si="22"/>
        <v>202210</v>
      </c>
    </row>
    <row r="1419" spans="1:7" ht="12" customHeight="1">
      <c r="A1419" s="9">
        <v>44836</v>
      </c>
      <c r="B1419" s="10">
        <v>143378524</v>
      </c>
      <c r="C1419" s="3">
        <v>5540246183130</v>
      </c>
      <c r="D1419" s="9">
        <v>44846</v>
      </c>
      <c r="E1419" s="11">
        <v>2256</v>
      </c>
      <c r="F1419" s="23" t="str">
        <f>IFERROR(VLOOKUP(C1419, 'Catégorie des articles'!$A:$D, 4, FALSE), "")</f>
        <v>MIX LEGUMES</v>
      </c>
      <c r="G1419">
        <f t="shared" si="22"/>
        <v>202210</v>
      </c>
    </row>
    <row r="1420" spans="1:7" ht="12" customHeight="1">
      <c r="A1420" s="6">
        <v>44836</v>
      </c>
      <c r="B1420" s="7">
        <v>143378524</v>
      </c>
      <c r="C1420" s="3">
        <v>5540246183541</v>
      </c>
      <c r="D1420" s="6">
        <v>44846</v>
      </c>
      <c r="E1420" s="8">
        <v>1044</v>
      </c>
      <c r="F1420" s="23" t="str">
        <f>IFERROR(VLOOKUP(C1420, 'Catégorie des articles'!$A:$D, 4, FALSE), "")</f>
        <v>MIX LEGUMES</v>
      </c>
      <c r="G1420">
        <f t="shared" si="22"/>
        <v>202210</v>
      </c>
    </row>
    <row r="1421" spans="1:7" ht="12" customHeight="1">
      <c r="A1421" s="6">
        <v>44836</v>
      </c>
      <c r="B1421" s="7">
        <v>143378525</v>
      </c>
      <c r="C1421" s="3">
        <v>5540246191598</v>
      </c>
      <c r="D1421" s="6">
        <v>44839</v>
      </c>
      <c r="E1421" s="8">
        <v>1601</v>
      </c>
      <c r="F1421" s="23" t="str">
        <f>IFERROR(VLOOKUP(C1421, 'Catégorie des articles'!$A:$D, 4, FALSE), "")</f>
        <v>CREMERIE</v>
      </c>
      <c r="G1421">
        <f t="shared" si="22"/>
        <v>202210</v>
      </c>
    </row>
    <row r="1422" spans="1:7" ht="12" customHeight="1">
      <c r="A1422" s="6">
        <v>44837</v>
      </c>
      <c r="B1422" s="7">
        <v>143378531</v>
      </c>
      <c r="C1422" s="3">
        <v>5540246176294</v>
      </c>
      <c r="D1422" s="6">
        <v>44839</v>
      </c>
      <c r="E1422" s="8">
        <v>1485</v>
      </c>
      <c r="F1422" s="23" t="str">
        <f>IFERROR(VLOOKUP(C1422, 'Catégorie des articles'!$A:$D, 4, FALSE), "")</f>
        <v>CREMERIE</v>
      </c>
      <c r="G1422">
        <f t="shared" si="22"/>
        <v>202210</v>
      </c>
    </row>
    <row r="1423" spans="1:7" ht="12" customHeight="1">
      <c r="A1423" s="9">
        <v>44837</v>
      </c>
      <c r="B1423" s="10">
        <v>143378531</v>
      </c>
      <c r="C1423" s="3">
        <v>5540246176295</v>
      </c>
      <c r="D1423" s="9">
        <v>44839</v>
      </c>
      <c r="E1423" s="11">
        <v>4455</v>
      </c>
      <c r="F1423" s="23" t="str">
        <f>IFERROR(VLOOKUP(C1423, 'Catégorie des articles'!$A:$D, 4, FALSE), "")</f>
        <v>CREMERIE</v>
      </c>
      <c r="G1423">
        <f t="shared" si="22"/>
        <v>202210</v>
      </c>
    </row>
    <row r="1424" spans="1:7" ht="12" customHeight="1">
      <c r="A1424" s="9">
        <v>44837</v>
      </c>
      <c r="B1424" s="10">
        <v>143378531</v>
      </c>
      <c r="C1424" s="3">
        <v>5540246188200</v>
      </c>
      <c r="D1424" s="9">
        <v>44839</v>
      </c>
      <c r="E1424" s="11">
        <v>1485</v>
      </c>
      <c r="F1424" s="23" t="str">
        <f>IFERROR(VLOOKUP(C1424, 'Catégorie des articles'!$A:$D, 4, FALSE), "")</f>
        <v>CREMERIE</v>
      </c>
      <c r="G1424">
        <f t="shared" si="22"/>
        <v>202210</v>
      </c>
    </row>
    <row r="1425" spans="1:7" ht="12" customHeight="1">
      <c r="A1425" s="6">
        <v>44837</v>
      </c>
      <c r="B1425" s="7">
        <v>143378533</v>
      </c>
      <c r="C1425" s="3">
        <v>5540246172669</v>
      </c>
      <c r="D1425" s="6">
        <v>44839</v>
      </c>
      <c r="E1425" s="8">
        <v>279</v>
      </c>
      <c r="F1425" s="23" t="str">
        <f>IFERROR(VLOOKUP(C1425, 'Catégorie des articles'!$A:$D, 4, FALSE), "")</f>
        <v>CREMERIE</v>
      </c>
      <c r="G1425">
        <f t="shared" si="22"/>
        <v>202210</v>
      </c>
    </row>
    <row r="1426" spans="1:7" ht="12" customHeight="1">
      <c r="A1426" s="9">
        <v>44837</v>
      </c>
      <c r="B1426" s="10">
        <v>143378561</v>
      </c>
      <c r="C1426" s="3">
        <v>5540246184036</v>
      </c>
      <c r="D1426" s="9">
        <v>44846</v>
      </c>
      <c r="E1426" s="11">
        <v>130</v>
      </c>
      <c r="F1426" s="23" t="str">
        <f>IFERROR(VLOOKUP(C1426, 'Catégorie des articles'!$A:$D, 4, FALSE), "")</f>
        <v>BOULANGERIE</v>
      </c>
      <c r="G1426">
        <f t="shared" si="22"/>
        <v>202210</v>
      </c>
    </row>
    <row r="1427" spans="1:7" ht="12" customHeight="1">
      <c r="A1427" s="6">
        <v>44838</v>
      </c>
      <c r="B1427" s="7">
        <v>143378571</v>
      </c>
      <c r="C1427" s="3">
        <v>5540246176295</v>
      </c>
      <c r="D1427" s="6">
        <v>44840</v>
      </c>
      <c r="E1427" s="8">
        <v>7424</v>
      </c>
      <c r="F1427" s="23" t="str">
        <f>IFERROR(VLOOKUP(C1427, 'Catégorie des articles'!$A:$D, 4, FALSE), "")</f>
        <v>CREMERIE</v>
      </c>
      <c r="G1427">
        <f t="shared" si="22"/>
        <v>202210</v>
      </c>
    </row>
    <row r="1428" spans="1:7" ht="12" customHeight="1">
      <c r="A1428" s="6">
        <v>44838</v>
      </c>
      <c r="B1428" s="7">
        <v>143378571</v>
      </c>
      <c r="C1428" s="3">
        <v>5540246188200</v>
      </c>
      <c r="D1428" s="6">
        <v>44840</v>
      </c>
      <c r="E1428" s="8">
        <v>743</v>
      </c>
      <c r="F1428" s="23" t="str">
        <f>IFERROR(VLOOKUP(C1428, 'Catégorie des articles'!$A:$D, 4, FALSE), "")</f>
        <v>CREMERIE</v>
      </c>
      <c r="G1428">
        <f t="shared" si="22"/>
        <v>202210</v>
      </c>
    </row>
    <row r="1429" spans="1:7" ht="12" customHeight="1">
      <c r="A1429" s="9">
        <v>44838</v>
      </c>
      <c r="B1429" s="10">
        <v>143378572</v>
      </c>
      <c r="C1429" s="3">
        <v>5540246174174</v>
      </c>
      <c r="D1429" s="9">
        <v>44840</v>
      </c>
      <c r="E1429" s="11">
        <v>232</v>
      </c>
      <c r="F1429" s="23" t="str">
        <f>IFERROR(VLOOKUP(C1429, 'Catégorie des articles'!$A:$D, 4, FALSE), "")</f>
        <v>CREMERIE</v>
      </c>
      <c r="G1429">
        <f t="shared" si="22"/>
        <v>202210</v>
      </c>
    </row>
    <row r="1430" spans="1:7" ht="12" customHeight="1">
      <c r="A1430" s="9">
        <v>44838</v>
      </c>
      <c r="B1430" s="10">
        <v>143378572</v>
      </c>
      <c r="C1430" s="3">
        <v>5540246176699</v>
      </c>
      <c r="D1430" s="9">
        <v>44840</v>
      </c>
      <c r="E1430" s="11">
        <v>2088</v>
      </c>
      <c r="F1430" s="23" t="str">
        <f>IFERROR(VLOOKUP(C1430, 'Catégorie des articles'!$A:$D, 4, FALSE), "")</f>
        <v>CREMERIE</v>
      </c>
      <c r="G1430">
        <f t="shared" si="22"/>
        <v>202210</v>
      </c>
    </row>
    <row r="1431" spans="1:7" ht="12" customHeight="1">
      <c r="A1431" s="9">
        <v>44838</v>
      </c>
      <c r="B1431" s="10">
        <v>143378572</v>
      </c>
      <c r="C1431" s="3">
        <v>5540246188175</v>
      </c>
      <c r="D1431" s="9">
        <v>44840</v>
      </c>
      <c r="E1431" s="11">
        <v>116</v>
      </c>
      <c r="F1431" s="23" t="str">
        <f>IFERROR(VLOOKUP(C1431, 'Catégorie des articles'!$A:$D, 4, FALSE), "")</f>
        <v>CREMERIE</v>
      </c>
      <c r="G1431">
        <f t="shared" si="22"/>
        <v>202210</v>
      </c>
    </row>
    <row r="1432" spans="1:7" ht="12" customHeight="1">
      <c r="A1432" s="9">
        <v>44838</v>
      </c>
      <c r="B1432" s="10">
        <v>143378574</v>
      </c>
      <c r="C1432" s="3">
        <v>5540246173472</v>
      </c>
      <c r="D1432" s="9">
        <v>44845</v>
      </c>
      <c r="E1432" s="11">
        <v>209</v>
      </c>
      <c r="F1432" s="23" t="str">
        <f>IFERROR(VLOOKUP(C1432, 'Catégorie des articles'!$A:$D, 4, FALSE), "")</f>
        <v>CREMERIE</v>
      </c>
      <c r="G1432">
        <f t="shared" si="22"/>
        <v>202210</v>
      </c>
    </row>
    <row r="1433" spans="1:7" ht="12" customHeight="1">
      <c r="A1433" s="6">
        <v>44838</v>
      </c>
      <c r="B1433" s="7">
        <v>143378574</v>
      </c>
      <c r="C1433" s="3">
        <v>5540246174095</v>
      </c>
      <c r="D1433" s="6">
        <v>44845</v>
      </c>
      <c r="E1433" s="8">
        <v>70</v>
      </c>
      <c r="F1433" s="23" t="str">
        <f>IFERROR(VLOOKUP(C1433, 'Catégorie des articles'!$A:$D, 4, FALSE), "")</f>
        <v>CREMERIE</v>
      </c>
      <c r="G1433">
        <f t="shared" si="22"/>
        <v>202210</v>
      </c>
    </row>
    <row r="1434" spans="1:7" ht="12" customHeight="1">
      <c r="A1434" s="9">
        <v>44838</v>
      </c>
      <c r="B1434" s="10">
        <v>143378574</v>
      </c>
      <c r="C1434" s="3">
        <v>5540246175049</v>
      </c>
      <c r="D1434" s="9">
        <v>44845</v>
      </c>
      <c r="E1434" s="11">
        <v>836</v>
      </c>
      <c r="F1434" s="23" t="str">
        <f>IFERROR(VLOOKUP(C1434, 'Catégorie des articles'!$A:$D, 4, FALSE), "")</f>
        <v>CREMERIE</v>
      </c>
      <c r="G1434">
        <f t="shared" si="22"/>
        <v>202210</v>
      </c>
    </row>
    <row r="1435" spans="1:7" ht="12" customHeight="1">
      <c r="A1435" s="6">
        <v>44838</v>
      </c>
      <c r="B1435" s="7">
        <v>143378574</v>
      </c>
      <c r="C1435" s="3">
        <v>5540246175050</v>
      </c>
      <c r="D1435" s="6">
        <v>44845</v>
      </c>
      <c r="E1435" s="8">
        <v>836</v>
      </c>
      <c r="F1435" s="23" t="str">
        <f>IFERROR(VLOOKUP(C1435, 'Catégorie des articles'!$A:$D, 4, FALSE), "")</f>
        <v>CREMERIE</v>
      </c>
      <c r="G1435">
        <f t="shared" si="22"/>
        <v>202210</v>
      </c>
    </row>
    <row r="1436" spans="1:7" ht="12" customHeight="1">
      <c r="A1436" s="9">
        <v>44838</v>
      </c>
      <c r="B1436" s="10">
        <v>143378574</v>
      </c>
      <c r="C1436" s="3">
        <v>5540246190743</v>
      </c>
      <c r="D1436" s="9">
        <v>44845</v>
      </c>
      <c r="E1436" s="11">
        <v>140</v>
      </c>
      <c r="F1436" s="23" t="str">
        <f>IFERROR(VLOOKUP(C1436, 'Catégorie des articles'!$A:$D, 4, FALSE), "")</f>
        <v>CREMERIE</v>
      </c>
      <c r="G1436">
        <f t="shared" si="22"/>
        <v>202210</v>
      </c>
    </row>
    <row r="1437" spans="1:7" ht="12" customHeight="1">
      <c r="A1437" s="6">
        <v>44839</v>
      </c>
      <c r="B1437" s="7">
        <v>143378614</v>
      </c>
      <c r="C1437" s="3">
        <v>5540246176295</v>
      </c>
      <c r="D1437" s="6">
        <v>44843</v>
      </c>
      <c r="E1437" s="8">
        <v>11136</v>
      </c>
      <c r="F1437" s="23" t="str">
        <f>IFERROR(VLOOKUP(C1437, 'Catégorie des articles'!$A:$D, 4, FALSE), "")</f>
        <v>CREMERIE</v>
      </c>
      <c r="G1437">
        <f t="shared" si="22"/>
        <v>202210</v>
      </c>
    </row>
    <row r="1438" spans="1:7" ht="12" customHeight="1">
      <c r="A1438" s="6">
        <v>44839</v>
      </c>
      <c r="B1438" s="7">
        <v>143378614</v>
      </c>
      <c r="C1438" s="3">
        <v>5540246187987</v>
      </c>
      <c r="D1438" s="6">
        <v>44843</v>
      </c>
      <c r="E1438" s="8">
        <v>4455</v>
      </c>
      <c r="F1438" s="23" t="str">
        <f>IFERROR(VLOOKUP(C1438, 'Catégorie des articles'!$A:$D, 4, FALSE), "")</f>
        <v>CREMERIE</v>
      </c>
      <c r="G1438">
        <f t="shared" si="22"/>
        <v>202210</v>
      </c>
    </row>
    <row r="1439" spans="1:7" ht="12" customHeight="1">
      <c r="A1439" s="9">
        <v>44839</v>
      </c>
      <c r="B1439" s="10">
        <v>143378614</v>
      </c>
      <c r="C1439" s="3">
        <v>5540246188200</v>
      </c>
      <c r="D1439" s="9">
        <v>44843</v>
      </c>
      <c r="E1439" s="11">
        <v>1485</v>
      </c>
      <c r="F1439" s="23" t="str">
        <f>IFERROR(VLOOKUP(C1439, 'Catégorie des articles'!$A:$D, 4, FALSE), "")</f>
        <v>CREMERIE</v>
      </c>
      <c r="G1439">
        <f t="shared" si="22"/>
        <v>202210</v>
      </c>
    </row>
    <row r="1440" spans="1:7" ht="12" customHeight="1">
      <c r="A1440" s="9">
        <v>44839</v>
      </c>
      <c r="B1440" s="10">
        <v>143378616</v>
      </c>
      <c r="C1440" s="3">
        <v>5540246172539</v>
      </c>
      <c r="D1440" s="9">
        <v>44843</v>
      </c>
      <c r="E1440" s="11">
        <v>47</v>
      </c>
      <c r="F1440" s="23" t="str">
        <f>IFERROR(VLOOKUP(C1440, 'Catégorie des articles'!$A:$D, 4, FALSE), "")</f>
        <v>CREMERIE</v>
      </c>
      <c r="G1440">
        <f t="shared" si="22"/>
        <v>202210</v>
      </c>
    </row>
    <row r="1441" spans="1:7" ht="12" customHeight="1">
      <c r="A1441" s="6">
        <v>44839</v>
      </c>
      <c r="B1441" s="7">
        <v>143378616</v>
      </c>
      <c r="C1441" s="3">
        <v>5540246174174</v>
      </c>
      <c r="D1441" s="6">
        <v>44843</v>
      </c>
      <c r="E1441" s="8">
        <v>464</v>
      </c>
      <c r="F1441" s="23" t="str">
        <f>IFERROR(VLOOKUP(C1441, 'Catégorie des articles'!$A:$D, 4, FALSE), "")</f>
        <v>CREMERIE</v>
      </c>
      <c r="G1441">
        <f t="shared" si="22"/>
        <v>202210</v>
      </c>
    </row>
    <row r="1442" spans="1:7" ht="12" customHeight="1">
      <c r="A1442" s="9">
        <v>44839</v>
      </c>
      <c r="B1442" s="10">
        <v>143378616</v>
      </c>
      <c r="C1442" s="3">
        <v>5540246176699</v>
      </c>
      <c r="D1442" s="9">
        <v>44843</v>
      </c>
      <c r="E1442" s="11">
        <v>8352</v>
      </c>
      <c r="F1442" s="23" t="str">
        <f>IFERROR(VLOOKUP(C1442, 'Catégorie des articles'!$A:$D, 4, FALSE), "")</f>
        <v>CREMERIE</v>
      </c>
      <c r="G1442">
        <f t="shared" si="22"/>
        <v>202210</v>
      </c>
    </row>
    <row r="1443" spans="1:7" ht="12" customHeight="1">
      <c r="A1443" s="9">
        <v>44839</v>
      </c>
      <c r="B1443" s="10">
        <v>143378616</v>
      </c>
      <c r="C1443" s="3">
        <v>5540246188175</v>
      </c>
      <c r="D1443" s="9">
        <v>44843</v>
      </c>
      <c r="E1443" s="11">
        <v>348</v>
      </c>
      <c r="F1443" s="23" t="str">
        <f>IFERROR(VLOOKUP(C1443, 'Catégorie des articles'!$A:$D, 4, FALSE), "")</f>
        <v>CREMERIE</v>
      </c>
      <c r="G1443">
        <f t="shared" si="22"/>
        <v>202210</v>
      </c>
    </row>
    <row r="1444" spans="1:7" ht="12" customHeight="1">
      <c r="A1444" s="6">
        <v>44839</v>
      </c>
      <c r="B1444" s="7">
        <v>143378616</v>
      </c>
      <c r="C1444" s="3">
        <v>5540246192102</v>
      </c>
      <c r="D1444" s="6">
        <v>44843</v>
      </c>
      <c r="E1444" s="8">
        <v>4009</v>
      </c>
      <c r="F1444" s="23" t="str">
        <f>IFERROR(VLOOKUP(C1444, 'Catégorie des articles'!$A:$D, 4, FALSE), "")</f>
        <v>CREMERIE</v>
      </c>
      <c r="G1444">
        <f t="shared" si="22"/>
        <v>202210</v>
      </c>
    </row>
    <row r="1445" spans="1:7" ht="12" customHeight="1">
      <c r="A1445" s="6">
        <v>44839</v>
      </c>
      <c r="B1445" s="7">
        <v>143378617</v>
      </c>
      <c r="C1445" s="3">
        <v>5540246191594</v>
      </c>
      <c r="D1445" s="6">
        <v>44845</v>
      </c>
      <c r="E1445" s="8">
        <v>1504</v>
      </c>
      <c r="F1445" s="23" t="str">
        <f>IFERROR(VLOOKUP(C1445, 'Catégorie des articles'!$A:$D, 4, FALSE), "")</f>
        <v>CREMERIE</v>
      </c>
      <c r="G1445">
        <f t="shared" si="22"/>
        <v>202210</v>
      </c>
    </row>
    <row r="1446" spans="1:7" ht="12" customHeight="1">
      <c r="A1446" s="9">
        <v>44839</v>
      </c>
      <c r="B1446" s="10">
        <v>143378617</v>
      </c>
      <c r="C1446" s="3">
        <v>5540246191598</v>
      </c>
      <c r="D1446" s="9">
        <v>44845</v>
      </c>
      <c r="E1446" s="11">
        <v>1601</v>
      </c>
      <c r="F1446" s="23" t="str">
        <f>IFERROR(VLOOKUP(C1446, 'Catégorie des articles'!$A:$D, 4, FALSE), "")</f>
        <v>CREMERIE</v>
      </c>
      <c r="G1446">
        <f t="shared" si="22"/>
        <v>202210</v>
      </c>
    </row>
    <row r="1447" spans="1:7" ht="12" customHeight="1">
      <c r="A1447" s="6">
        <v>44839</v>
      </c>
      <c r="B1447" s="7">
        <v>143378621</v>
      </c>
      <c r="C1447" s="3">
        <v>5540246186325</v>
      </c>
      <c r="D1447" s="6">
        <v>44844</v>
      </c>
      <c r="E1447" s="8">
        <v>418</v>
      </c>
      <c r="F1447" s="23" t="str">
        <f>IFERROR(VLOOKUP(C1447, 'Catégorie des articles'!$A:$D, 4, FALSE), "")</f>
        <v>CREMERIE</v>
      </c>
      <c r="G1447">
        <f t="shared" si="22"/>
        <v>202210</v>
      </c>
    </row>
    <row r="1448" spans="1:7" ht="12" customHeight="1">
      <c r="A1448" s="9">
        <v>44839</v>
      </c>
      <c r="B1448" s="10">
        <v>143378622</v>
      </c>
      <c r="C1448" s="3">
        <v>5540246173472</v>
      </c>
      <c r="D1448" s="9">
        <v>44847</v>
      </c>
      <c r="E1448" s="11">
        <v>209</v>
      </c>
      <c r="F1448" s="23" t="str">
        <f>IFERROR(VLOOKUP(C1448, 'Catégorie des articles'!$A:$D, 4, FALSE), "")</f>
        <v>CREMERIE</v>
      </c>
      <c r="G1448">
        <f t="shared" si="22"/>
        <v>202210</v>
      </c>
    </row>
    <row r="1449" spans="1:7" ht="12" customHeight="1">
      <c r="A1449" s="6">
        <v>44839</v>
      </c>
      <c r="B1449" s="7">
        <v>143378622</v>
      </c>
      <c r="C1449" s="3">
        <v>5540246174095</v>
      </c>
      <c r="D1449" s="6">
        <v>44847</v>
      </c>
      <c r="E1449" s="8">
        <v>70</v>
      </c>
      <c r="F1449" s="23" t="str">
        <f>IFERROR(VLOOKUP(C1449, 'Catégorie des articles'!$A:$D, 4, FALSE), "")</f>
        <v>CREMERIE</v>
      </c>
      <c r="G1449">
        <f t="shared" si="22"/>
        <v>202210</v>
      </c>
    </row>
    <row r="1450" spans="1:7" ht="12" customHeight="1">
      <c r="A1450" s="9">
        <v>44839</v>
      </c>
      <c r="B1450" s="10">
        <v>143378622</v>
      </c>
      <c r="C1450" s="3">
        <v>5540246175047</v>
      </c>
      <c r="D1450" s="9">
        <v>44847</v>
      </c>
      <c r="E1450" s="11">
        <v>279</v>
      </c>
      <c r="F1450" s="23" t="str">
        <f>IFERROR(VLOOKUP(C1450, 'Catégorie des articles'!$A:$D, 4, FALSE), "")</f>
        <v>CREMERIE</v>
      </c>
      <c r="G1450">
        <f t="shared" si="22"/>
        <v>202210</v>
      </c>
    </row>
    <row r="1451" spans="1:7" ht="12" customHeight="1">
      <c r="A1451" s="6">
        <v>44839</v>
      </c>
      <c r="B1451" s="7">
        <v>143378622</v>
      </c>
      <c r="C1451" s="3">
        <v>5540246175049</v>
      </c>
      <c r="D1451" s="6">
        <v>44847</v>
      </c>
      <c r="E1451" s="8">
        <v>836</v>
      </c>
      <c r="F1451" s="23" t="str">
        <f>IFERROR(VLOOKUP(C1451, 'Catégorie des articles'!$A:$D, 4, FALSE), "")</f>
        <v>CREMERIE</v>
      </c>
      <c r="G1451">
        <f t="shared" si="22"/>
        <v>202210</v>
      </c>
    </row>
    <row r="1452" spans="1:7" ht="12" customHeight="1">
      <c r="A1452" s="9">
        <v>44839</v>
      </c>
      <c r="B1452" s="10">
        <v>143378622</v>
      </c>
      <c r="C1452" s="3">
        <v>5540246175050</v>
      </c>
      <c r="D1452" s="9">
        <v>44847</v>
      </c>
      <c r="E1452" s="11">
        <v>836</v>
      </c>
      <c r="F1452" s="23" t="str">
        <f>IFERROR(VLOOKUP(C1452, 'Catégorie des articles'!$A:$D, 4, FALSE), "")</f>
        <v>CREMERIE</v>
      </c>
      <c r="G1452">
        <f t="shared" si="22"/>
        <v>202210</v>
      </c>
    </row>
    <row r="1453" spans="1:7" ht="12" customHeight="1">
      <c r="A1453" s="6">
        <v>44839</v>
      </c>
      <c r="B1453" s="7">
        <v>143378622</v>
      </c>
      <c r="C1453" s="3">
        <v>5540246190743</v>
      </c>
      <c r="D1453" s="6">
        <v>44847</v>
      </c>
      <c r="E1453" s="8">
        <v>279</v>
      </c>
      <c r="F1453" s="23" t="str">
        <f>IFERROR(VLOOKUP(C1453, 'Catégorie des articles'!$A:$D, 4, FALSE), "")</f>
        <v>CREMERIE</v>
      </c>
      <c r="G1453">
        <f t="shared" si="22"/>
        <v>202210</v>
      </c>
    </row>
    <row r="1454" spans="1:7" ht="12" customHeight="1">
      <c r="A1454" s="9">
        <v>44840</v>
      </c>
      <c r="B1454" s="10">
        <v>143378653</v>
      </c>
      <c r="C1454" s="3">
        <v>5540246176294</v>
      </c>
      <c r="D1454" s="9">
        <v>44844</v>
      </c>
      <c r="E1454" s="11">
        <v>743</v>
      </c>
      <c r="F1454" s="23" t="str">
        <f>IFERROR(VLOOKUP(C1454, 'Catégorie des articles'!$A:$D, 4, FALSE), "")</f>
        <v>CREMERIE</v>
      </c>
      <c r="G1454">
        <f t="shared" si="22"/>
        <v>202210</v>
      </c>
    </row>
    <row r="1455" spans="1:7" ht="12" customHeight="1">
      <c r="A1455" s="6">
        <v>44840</v>
      </c>
      <c r="B1455" s="7">
        <v>143378653</v>
      </c>
      <c r="C1455" s="3">
        <v>5540246176295</v>
      </c>
      <c r="D1455" s="6">
        <v>44844</v>
      </c>
      <c r="E1455" s="8">
        <v>4455</v>
      </c>
      <c r="F1455" s="23" t="str">
        <f>IFERROR(VLOOKUP(C1455, 'Catégorie des articles'!$A:$D, 4, FALSE), "")</f>
        <v>CREMERIE</v>
      </c>
      <c r="G1455">
        <f t="shared" si="22"/>
        <v>202210</v>
      </c>
    </row>
    <row r="1456" spans="1:7" ht="12" customHeight="1">
      <c r="A1456" s="6">
        <v>44840</v>
      </c>
      <c r="B1456" s="7">
        <v>143378653</v>
      </c>
      <c r="C1456" s="3">
        <v>5540246187987</v>
      </c>
      <c r="D1456" s="6">
        <v>44844</v>
      </c>
      <c r="E1456" s="8">
        <v>4455</v>
      </c>
      <c r="F1456" s="23" t="str">
        <f>IFERROR(VLOOKUP(C1456, 'Catégorie des articles'!$A:$D, 4, FALSE), "")</f>
        <v>CREMERIE</v>
      </c>
      <c r="G1456">
        <f t="shared" si="22"/>
        <v>202210</v>
      </c>
    </row>
    <row r="1457" spans="1:7" ht="12" customHeight="1">
      <c r="A1457" s="9">
        <v>44840</v>
      </c>
      <c r="B1457" s="10">
        <v>143378653</v>
      </c>
      <c r="C1457" s="3">
        <v>5540246188200</v>
      </c>
      <c r="D1457" s="9">
        <v>44844</v>
      </c>
      <c r="E1457" s="11">
        <v>1485</v>
      </c>
      <c r="F1457" s="23" t="str">
        <f>IFERROR(VLOOKUP(C1457, 'Catégorie des articles'!$A:$D, 4, FALSE), "")</f>
        <v>CREMERIE</v>
      </c>
      <c r="G1457">
        <f t="shared" si="22"/>
        <v>202210</v>
      </c>
    </row>
    <row r="1458" spans="1:7" ht="12" customHeight="1">
      <c r="A1458" s="6">
        <v>44840</v>
      </c>
      <c r="B1458" s="7">
        <v>143378669</v>
      </c>
      <c r="C1458" s="3">
        <v>5540246194947</v>
      </c>
      <c r="D1458" s="6">
        <v>44840</v>
      </c>
      <c r="E1458" s="8">
        <v>232</v>
      </c>
      <c r="F1458" s="23" t="str">
        <f>IFERROR(VLOOKUP(C1458, 'Catégorie des articles'!$A:$D, 4, FALSE), "")</f>
        <v>EMBALLAGES</v>
      </c>
      <c r="G1458">
        <f t="shared" si="22"/>
        <v>202210</v>
      </c>
    </row>
    <row r="1459" spans="1:7" ht="12" customHeight="1">
      <c r="A1459" s="6">
        <v>44843</v>
      </c>
      <c r="B1459" s="7">
        <v>143388679</v>
      </c>
      <c r="C1459" s="3">
        <v>5540246172978</v>
      </c>
      <c r="D1459" s="6">
        <v>44845</v>
      </c>
      <c r="E1459" s="8">
        <v>2506</v>
      </c>
      <c r="F1459" s="23" t="str">
        <f>IFERROR(VLOOKUP(C1459, 'Catégorie des articles'!$A:$D, 4, FALSE), "")</f>
        <v>CREMERIE</v>
      </c>
      <c r="G1459">
        <f t="shared" si="22"/>
        <v>202210</v>
      </c>
    </row>
    <row r="1460" spans="1:7" ht="12" customHeight="1">
      <c r="A1460" s="6">
        <v>44843</v>
      </c>
      <c r="B1460" s="7">
        <v>143388679</v>
      </c>
      <c r="C1460" s="3">
        <v>5540246176699</v>
      </c>
      <c r="D1460" s="6">
        <v>44845</v>
      </c>
      <c r="E1460" s="8">
        <v>8352</v>
      </c>
      <c r="F1460" s="23" t="str">
        <f>IFERROR(VLOOKUP(C1460, 'Catégorie des articles'!$A:$D, 4, FALSE), "")</f>
        <v>CREMERIE</v>
      </c>
      <c r="G1460">
        <f t="shared" si="22"/>
        <v>202210</v>
      </c>
    </row>
    <row r="1461" spans="1:7" ht="12" customHeight="1">
      <c r="A1461" s="6">
        <v>44843</v>
      </c>
      <c r="B1461" s="7">
        <v>143388680</v>
      </c>
      <c r="C1461" s="3">
        <v>5540246171933</v>
      </c>
      <c r="D1461" s="6">
        <v>44845</v>
      </c>
      <c r="E1461" s="8">
        <v>557</v>
      </c>
      <c r="F1461" s="23" t="str">
        <f>IFERROR(VLOOKUP(C1461, 'Catégorie des articles'!$A:$D, 4, FALSE), "")</f>
        <v>CREMERIE</v>
      </c>
      <c r="G1461">
        <f t="shared" si="22"/>
        <v>202210</v>
      </c>
    </row>
    <row r="1462" spans="1:7" ht="12" customHeight="1">
      <c r="A1462" s="6">
        <v>44843</v>
      </c>
      <c r="B1462" s="7">
        <v>143388680</v>
      </c>
      <c r="C1462" s="3">
        <v>5540246176294</v>
      </c>
      <c r="D1462" s="6">
        <v>44845</v>
      </c>
      <c r="E1462" s="8">
        <v>743</v>
      </c>
      <c r="F1462" s="23" t="str">
        <f>IFERROR(VLOOKUP(C1462, 'Catégorie des articles'!$A:$D, 4, FALSE), "")</f>
        <v>CREMERIE</v>
      </c>
      <c r="G1462">
        <f t="shared" si="22"/>
        <v>202210</v>
      </c>
    </row>
    <row r="1463" spans="1:7" ht="12" customHeight="1">
      <c r="A1463" s="9">
        <v>44843</v>
      </c>
      <c r="B1463" s="10">
        <v>143388680</v>
      </c>
      <c r="C1463" s="3">
        <v>5540246176295</v>
      </c>
      <c r="D1463" s="9">
        <v>44845</v>
      </c>
      <c r="E1463" s="11">
        <v>4455</v>
      </c>
      <c r="F1463" s="23" t="str">
        <f>IFERROR(VLOOKUP(C1463, 'Catégorie des articles'!$A:$D, 4, FALSE), "")</f>
        <v>CREMERIE</v>
      </c>
      <c r="G1463">
        <f t="shared" si="22"/>
        <v>202210</v>
      </c>
    </row>
    <row r="1464" spans="1:7" ht="12" customHeight="1">
      <c r="A1464" s="6">
        <v>44843</v>
      </c>
      <c r="B1464" s="7">
        <v>143388680</v>
      </c>
      <c r="C1464" s="3">
        <v>5540246188200</v>
      </c>
      <c r="D1464" s="6">
        <v>44845</v>
      </c>
      <c r="E1464" s="8">
        <v>1485</v>
      </c>
      <c r="F1464" s="23" t="str">
        <f>IFERROR(VLOOKUP(C1464, 'Catégorie des articles'!$A:$D, 4, FALSE), "")</f>
        <v>CREMERIE</v>
      </c>
      <c r="G1464">
        <f t="shared" si="22"/>
        <v>202210</v>
      </c>
    </row>
    <row r="1465" spans="1:7" ht="12" customHeight="1">
      <c r="A1465" s="9">
        <v>44843</v>
      </c>
      <c r="B1465" s="10">
        <v>143388681</v>
      </c>
      <c r="C1465" s="3">
        <v>5540246191598</v>
      </c>
      <c r="D1465" s="9">
        <v>44847</v>
      </c>
      <c r="E1465" s="11">
        <v>1601</v>
      </c>
      <c r="F1465" s="23" t="str">
        <f>IFERROR(VLOOKUP(C1465, 'Catégorie des articles'!$A:$D, 4, FALSE), "")</f>
        <v>CREMERIE</v>
      </c>
      <c r="G1465">
        <f t="shared" si="22"/>
        <v>202210</v>
      </c>
    </row>
    <row r="1466" spans="1:7" ht="12" customHeight="1">
      <c r="A1466" s="6">
        <v>44843</v>
      </c>
      <c r="B1466" s="7">
        <v>143388689</v>
      </c>
      <c r="C1466" s="3">
        <v>5540246194632</v>
      </c>
      <c r="D1466" s="6">
        <v>44852</v>
      </c>
      <c r="E1466" s="8">
        <v>1086</v>
      </c>
      <c r="F1466" s="23" t="str">
        <f>IFERROR(VLOOKUP(C1466, 'Catégorie des articles'!$A:$D, 4, FALSE), "")</f>
        <v>BOULANGERIE</v>
      </c>
      <c r="G1466">
        <f t="shared" si="22"/>
        <v>202210</v>
      </c>
    </row>
    <row r="1467" spans="1:7" ht="12" customHeight="1">
      <c r="A1467" s="6">
        <v>44843</v>
      </c>
      <c r="B1467" s="7">
        <v>143388694</v>
      </c>
      <c r="C1467" s="3">
        <v>5540246177133</v>
      </c>
      <c r="D1467" s="6">
        <v>44852</v>
      </c>
      <c r="E1467" s="8">
        <v>2228</v>
      </c>
      <c r="F1467" s="23" t="str">
        <f>IFERROR(VLOOKUP(C1467, 'Catégorie des articles'!$A:$D, 4, FALSE), "")</f>
        <v>MIX LEGUMES</v>
      </c>
      <c r="G1467">
        <f t="shared" si="22"/>
        <v>202210</v>
      </c>
    </row>
    <row r="1468" spans="1:7" ht="12" customHeight="1">
      <c r="A1468" s="9">
        <v>44843</v>
      </c>
      <c r="B1468" s="10">
        <v>143388694</v>
      </c>
      <c r="C1468" s="3">
        <v>5540246192148</v>
      </c>
      <c r="D1468" s="9">
        <v>44852</v>
      </c>
      <c r="E1468" s="11">
        <v>36192</v>
      </c>
      <c r="F1468" s="23" t="str">
        <f>IFERROR(VLOOKUP(C1468, 'Catégorie des articles'!$A:$D, 4, FALSE), "")</f>
        <v>MIX LEGUMES</v>
      </c>
      <c r="G1468">
        <f t="shared" si="22"/>
        <v>202210</v>
      </c>
    </row>
    <row r="1469" spans="1:7" ht="12" customHeight="1">
      <c r="A1469" s="6">
        <v>44843</v>
      </c>
      <c r="B1469" s="7">
        <v>143388694</v>
      </c>
      <c r="C1469" s="3">
        <v>5540246192518</v>
      </c>
      <c r="D1469" s="6">
        <v>44852</v>
      </c>
      <c r="E1469" s="8">
        <v>4385</v>
      </c>
      <c r="F1469" s="23" t="str">
        <f>IFERROR(VLOOKUP(C1469, 'Catégorie des articles'!$A:$D, 4, FALSE), "")</f>
        <v>MIX LEGUMES</v>
      </c>
      <c r="G1469">
        <f t="shared" si="22"/>
        <v>202210</v>
      </c>
    </row>
    <row r="1470" spans="1:7" ht="12" customHeight="1">
      <c r="A1470" s="6">
        <v>44844</v>
      </c>
      <c r="B1470" s="7">
        <v>143388701</v>
      </c>
      <c r="C1470" s="3">
        <v>5540246185562</v>
      </c>
      <c r="D1470" s="6">
        <v>44847</v>
      </c>
      <c r="E1470" s="8">
        <v>140</v>
      </c>
      <c r="F1470" s="23" t="str">
        <f>IFERROR(VLOOKUP(C1470, 'Catégorie des articles'!$A:$D, 4, FALSE), "")</f>
        <v>CREMERIE</v>
      </c>
      <c r="G1470">
        <f t="shared" si="22"/>
        <v>202210</v>
      </c>
    </row>
    <row r="1471" spans="1:7" ht="12" customHeight="1">
      <c r="A1471" s="6">
        <v>44844</v>
      </c>
      <c r="B1471" s="7">
        <v>143388709</v>
      </c>
      <c r="C1471" s="3">
        <v>5540246171933</v>
      </c>
      <c r="D1471" s="6">
        <v>44846</v>
      </c>
      <c r="E1471" s="8">
        <v>1114</v>
      </c>
      <c r="F1471" s="23" t="str">
        <f>IFERROR(VLOOKUP(C1471, 'Catégorie des articles'!$A:$D, 4, FALSE), "")</f>
        <v>CREMERIE</v>
      </c>
      <c r="G1471">
        <f t="shared" si="22"/>
        <v>202210</v>
      </c>
    </row>
    <row r="1472" spans="1:7" ht="12" customHeight="1">
      <c r="A1472" s="9">
        <v>44844</v>
      </c>
      <c r="B1472" s="10">
        <v>143388709</v>
      </c>
      <c r="C1472" s="3">
        <v>5540246176294</v>
      </c>
      <c r="D1472" s="9">
        <v>44846</v>
      </c>
      <c r="E1472" s="11">
        <v>1485</v>
      </c>
      <c r="F1472" s="23" t="str">
        <f>IFERROR(VLOOKUP(C1472, 'Catégorie des articles'!$A:$D, 4, FALSE), "")</f>
        <v>CREMERIE</v>
      </c>
      <c r="G1472">
        <f t="shared" si="22"/>
        <v>202210</v>
      </c>
    </row>
    <row r="1473" spans="1:7" ht="12" customHeight="1">
      <c r="A1473" s="6">
        <v>44844</v>
      </c>
      <c r="B1473" s="7">
        <v>143388709</v>
      </c>
      <c r="C1473" s="3">
        <v>5540246176295</v>
      </c>
      <c r="D1473" s="6">
        <v>44846</v>
      </c>
      <c r="E1473" s="8">
        <v>7424</v>
      </c>
      <c r="F1473" s="23" t="str">
        <f>IFERROR(VLOOKUP(C1473, 'Catégorie des articles'!$A:$D, 4, FALSE), "")</f>
        <v>CREMERIE</v>
      </c>
      <c r="G1473">
        <f t="shared" si="22"/>
        <v>202210</v>
      </c>
    </row>
    <row r="1474" spans="1:7" ht="12" customHeight="1">
      <c r="A1474" s="6">
        <v>44844</v>
      </c>
      <c r="B1474" s="7">
        <v>143388709</v>
      </c>
      <c r="C1474" s="3">
        <v>5540246187987</v>
      </c>
      <c r="D1474" s="6">
        <v>44846</v>
      </c>
      <c r="E1474" s="8">
        <v>4455</v>
      </c>
      <c r="F1474" s="23" t="str">
        <f>IFERROR(VLOOKUP(C1474, 'Catégorie des articles'!$A:$D, 4, FALSE), "")</f>
        <v>CREMERIE</v>
      </c>
      <c r="G1474">
        <f t="shared" si="22"/>
        <v>202210</v>
      </c>
    </row>
    <row r="1475" spans="1:7" ht="12" customHeight="1">
      <c r="A1475" s="6">
        <v>44844</v>
      </c>
      <c r="B1475" s="7">
        <v>143388710</v>
      </c>
      <c r="C1475" s="3">
        <v>5540246172669</v>
      </c>
      <c r="D1475" s="6">
        <v>44846</v>
      </c>
      <c r="E1475" s="8">
        <v>140</v>
      </c>
      <c r="F1475" s="23" t="str">
        <f>IFERROR(VLOOKUP(C1475, 'Catégorie des articles'!$A:$D, 4, FALSE), "")</f>
        <v>CREMERIE</v>
      </c>
      <c r="G1475">
        <f t="shared" ref="G1475:G1538" si="23">YEAR(D1475)*100 + MONTH(D1475)</f>
        <v>202210</v>
      </c>
    </row>
    <row r="1476" spans="1:7" ht="12" customHeight="1">
      <c r="A1476" s="6">
        <v>44844</v>
      </c>
      <c r="B1476" s="7">
        <v>143388710</v>
      </c>
      <c r="C1476" s="3">
        <v>5540246174174</v>
      </c>
      <c r="D1476" s="6">
        <v>44846</v>
      </c>
      <c r="E1476" s="8">
        <v>348</v>
      </c>
      <c r="F1476" s="23" t="str">
        <f>IFERROR(VLOOKUP(C1476, 'Catégorie des articles'!$A:$D, 4, FALSE), "")</f>
        <v>CREMERIE</v>
      </c>
      <c r="G1476">
        <f t="shared" si="23"/>
        <v>202210</v>
      </c>
    </row>
    <row r="1477" spans="1:7" ht="12" customHeight="1">
      <c r="A1477" s="6">
        <v>44844</v>
      </c>
      <c r="B1477" s="7">
        <v>143388712</v>
      </c>
      <c r="C1477" s="3">
        <v>5540246191594</v>
      </c>
      <c r="D1477" s="6">
        <v>44847</v>
      </c>
      <c r="E1477" s="8">
        <v>1504</v>
      </c>
      <c r="F1477" s="23" t="str">
        <f>IFERROR(VLOOKUP(C1477, 'Catégorie des articles'!$A:$D, 4, FALSE), "")</f>
        <v>CREMERIE</v>
      </c>
      <c r="G1477">
        <f t="shared" si="23"/>
        <v>202210</v>
      </c>
    </row>
    <row r="1478" spans="1:7" ht="12" customHeight="1">
      <c r="A1478" s="9">
        <v>44844</v>
      </c>
      <c r="B1478" s="10">
        <v>143388713</v>
      </c>
      <c r="C1478" s="3">
        <v>5540246175049</v>
      </c>
      <c r="D1478" s="9">
        <v>44852</v>
      </c>
      <c r="E1478" s="11">
        <v>836</v>
      </c>
      <c r="F1478" s="23" t="str">
        <f>IFERROR(VLOOKUP(C1478, 'Catégorie des articles'!$A:$D, 4, FALSE), "")</f>
        <v>CREMERIE</v>
      </c>
      <c r="G1478">
        <f t="shared" si="23"/>
        <v>202210</v>
      </c>
    </row>
    <row r="1479" spans="1:7" ht="12" customHeight="1">
      <c r="A1479" s="6">
        <v>44844</v>
      </c>
      <c r="B1479" s="7">
        <v>143388713</v>
      </c>
      <c r="C1479" s="3">
        <v>5540246175050</v>
      </c>
      <c r="D1479" s="6">
        <v>44852</v>
      </c>
      <c r="E1479" s="8">
        <v>836</v>
      </c>
      <c r="F1479" s="23" t="str">
        <f>IFERROR(VLOOKUP(C1479, 'Catégorie des articles'!$A:$D, 4, FALSE), "")</f>
        <v>CREMERIE</v>
      </c>
      <c r="G1479">
        <f t="shared" si="23"/>
        <v>202210</v>
      </c>
    </row>
    <row r="1480" spans="1:7" ht="12" customHeight="1">
      <c r="A1480" s="9">
        <v>44844</v>
      </c>
      <c r="B1480" s="10">
        <v>143388723</v>
      </c>
      <c r="C1480" s="3">
        <v>5540246183130</v>
      </c>
      <c r="D1480" s="9">
        <v>44852</v>
      </c>
      <c r="E1480" s="11">
        <v>1128</v>
      </c>
      <c r="F1480" s="23" t="str">
        <f>IFERROR(VLOOKUP(C1480, 'Catégorie des articles'!$A:$D, 4, FALSE), "")</f>
        <v>MIX LEGUMES</v>
      </c>
      <c r="G1480">
        <f t="shared" si="23"/>
        <v>202210</v>
      </c>
    </row>
    <row r="1481" spans="1:7" ht="12" customHeight="1">
      <c r="A1481" s="6">
        <v>44844</v>
      </c>
      <c r="B1481" s="7">
        <v>143388723</v>
      </c>
      <c r="C1481" s="3">
        <v>5540246183537</v>
      </c>
      <c r="D1481" s="6">
        <v>44852</v>
      </c>
      <c r="E1481" s="8">
        <v>961</v>
      </c>
      <c r="F1481" s="23" t="str">
        <f>IFERROR(VLOOKUP(C1481, 'Catégorie des articles'!$A:$D, 4, FALSE), "")</f>
        <v>MIX LEGUMES</v>
      </c>
      <c r="G1481">
        <f t="shared" si="23"/>
        <v>202210</v>
      </c>
    </row>
    <row r="1482" spans="1:7" ht="12" customHeight="1">
      <c r="A1482" s="9">
        <v>44844</v>
      </c>
      <c r="B1482" s="10">
        <v>143388723</v>
      </c>
      <c r="C1482" s="3">
        <v>5540246183538</v>
      </c>
      <c r="D1482" s="9">
        <v>44852</v>
      </c>
      <c r="E1482" s="11">
        <v>919</v>
      </c>
      <c r="F1482" s="23" t="str">
        <f>IFERROR(VLOOKUP(C1482, 'Catégorie des articles'!$A:$D, 4, FALSE), "")</f>
        <v>MIX LEGUMES</v>
      </c>
      <c r="G1482">
        <f t="shared" si="23"/>
        <v>202210</v>
      </c>
    </row>
    <row r="1483" spans="1:7" ht="12" customHeight="1">
      <c r="A1483" s="6">
        <v>44844</v>
      </c>
      <c r="B1483" s="7">
        <v>143388723</v>
      </c>
      <c r="C1483" s="3">
        <v>5540246192571</v>
      </c>
      <c r="D1483" s="6">
        <v>44852</v>
      </c>
      <c r="E1483" s="8">
        <v>1337</v>
      </c>
      <c r="F1483" s="23" t="str">
        <f>IFERROR(VLOOKUP(C1483, 'Catégorie des articles'!$A:$D, 4, FALSE), "")</f>
        <v>MIX LEGUMES</v>
      </c>
      <c r="G1483">
        <f t="shared" si="23"/>
        <v>202210</v>
      </c>
    </row>
    <row r="1484" spans="1:7" ht="12" customHeight="1">
      <c r="A1484" s="9">
        <v>44844</v>
      </c>
      <c r="B1484" s="10">
        <v>143388726</v>
      </c>
      <c r="C1484" s="3">
        <v>5540246180522</v>
      </c>
      <c r="D1484" s="9">
        <v>44857</v>
      </c>
      <c r="E1484" s="11">
        <v>1225</v>
      </c>
      <c r="F1484" s="23" t="str">
        <f>IFERROR(VLOOKUP(C1484, 'Catégorie des articles'!$A:$D, 4, FALSE), "")</f>
        <v>BOULANGERIE</v>
      </c>
      <c r="G1484">
        <f t="shared" si="23"/>
        <v>202210</v>
      </c>
    </row>
    <row r="1485" spans="1:7" ht="12" customHeight="1">
      <c r="A1485" s="6">
        <v>44844</v>
      </c>
      <c r="B1485" s="7">
        <v>143388727</v>
      </c>
      <c r="C1485" s="3">
        <v>5540246177376</v>
      </c>
      <c r="D1485" s="6">
        <v>44859</v>
      </c>
      <c r="E1485" s="8">
        <v>1253</v>
      </c>
      <c r="F1485" s="23" t="str">
        <f>IFERROR(VLOOKUP(C1485, 'Catégorie des articles'!$A:$D, 4, FALSE), "")</f>
        <v>BOULANGERIE</v>
      </c>
      <c r="G1485">
        <f t="shared" si="23"/>
        <v>202210</v>
      </c>
    </row>
    <row r="1486" spans="1:7" ht="12" customHeight="1">
      <c r="A1486" s="9">
        <v>44844</v>
      </c>
      <c r="B1486" s="10">
        <v>143388728</v>
      </c>
      <c r="C1486" s="3">
        <v>5540246191596</v>
      </c>
      <c r="D1486" s="9">
        <v>44853</v>
      </c>
      <c r="E1486" s="11">
        <v>297</v>
      </c>
      <c r="F1486" s="23" t="str">
        <f>IFERROR(VLOOKUP(C1486, 'Catégorie des articles'!$A:$D, 4, FALSE), "")</f>
        <v>BOULANGERIE</v>
      </c>
      <c r="G1486">
        <f t="shared" si="23"/>
        <v>202210</v>
      </c>
    </row>
    <row r="1487" spans="1:7" ht="12" customHeight="1">
      <c r="A1487" s="9">
        <v>44844</v>
      </c>
      <c r="B1487" s="10">
        <v>143388739</v>
      </c>
      <c r="C1487" s="3">
        <v>5540246192571</v>
      </c>
      <c r="D1487" s="9">
        <v>44847</v>
      </c>
      <c r="E1487" s="11">
        <v>669</v>
      </c>
      <c r="F1487" s="23" t="str">
        <f>IFERROR(VLOOKUP(C1487, 'Catégorie des articles'!$A:$D, 4, FALSE), "")</f>
        <v>MIX LEGUMES</v>
      </c>
      <c r="G1487">
        <f t="shared" si="23"/>
        <v>202210</v>
      </c>
    </row>
    <row r="1488" spans="1:7" ht="12" customHeight="1">
      <c r="A1488" s="6">
        <v>44844</v>
      </c>
      <c r="B1488" s="7">
        <v>143388744</v>
      </c>
      <c r="C1488" s="3">
        <v>5540246194632</v>
      </c>
      <c r="D1488" s="6">
        <v>44854</v>
      </c>
      <c r="E1488" s="8">
        <v>1170</v>
      </c>
      <c r="F1488" s="23" t="str">
        <f>IFERROR(VLOOKUP(C1488, 'Catégorie des articles'!$A:$D, 4, FALSE), "")</f>
        <v>BOULANGERIE</v>
      </c>
      <c r="G1488">
        <f t="shared" si="23"/>
        <v>202210</v>
      </c>
    </row>
    <row r="1489" spans="1:7" ht="12" customHeight="1">
      <c r="A1489" s="9">
        <v>44844</v>
      </c>
      <c r="B1489" s="10">
        <v>143388744</v>
      </c>
      <c r="C1489" s="3">
        <v>5540246195250</v>
      </c>
      <c r="D1489" s="9">
        <v>44854</v>
      </c>
      <c r="E1489" s="11">
        <v>168</v>
      </c>
      <c r="F1489" s="23" t="str">
        <f>IFERROR(VLOOKUP(C1489, 'Catégorie des articles'!$A:$D, 4, FALSE), "")</f>
        <v>BOULANGERIE</v>
      </c>
      <c r="G1489">
        <f t="shared" si="23"/>
        <v>202210</v>
      </c>
    </row>
    <row r="1490" spans="1:7" ht="12" customHeight="1">
      <c r="A1490" s="6">
        <v>44844</v>
      </c>
      <c r="B1490" s="7">
        <v>143388748</v>
      </c>
      <c r="C1490" s="3">
        <v>5540246173906</v>
      </c>
      <c r="D1490" s="6">
        <v>44853</v>
      </c>
      <c r="E1490" s="8">
        <v>3267</v>
      </c>
      <c r="F1490" s="23" t="str">
        <f>IFERROR(VLOOKUP(C1490, 'Catégorie des articles'!$A:$D, 4, FALSE), "")</f>
        <v>VOLAILLE</v>
      </c>
      <c r="G1490">
        <f t="shared" si="23"/>
        <v>202210</v>
      </c>
    </row>
    <row r="1491" spans="1:7" ht="12" customHeight="1">
      <c r="A1491" s="9">
        <v>44844</v>
      </c>
      <c r="B1491" s="10">
        <v>143388748</v>
      </c>
      <c r="C1491" s="3">
        <v>5540246181016</v>
      </c>
      <c r="D1491" s="9">
        <v>44853</v>
      </c>
      <c r="E1491" s="11">
        <v>9800</v>
      </c>
      <c r="F1491" s="23" t="str">
        <f>IFERROR(VLOOKUP(C1491, 'Catégorie des articles'!$A:$D, 4, FALSE), "")</f>
        <v>VOLAILLE</v>
      </c>
      <c r="G1491">
        <f t="shared" si="23"/>
        <v>202210</v>
      </c>
    </row>
    <row r="1492" spans="1:7" ht="12" customHeight="1">
      <c r="A1492" s="6">
        <v>44844</v>
      </c>
      <c r="B1492" s="7">
        <v>143388753</v>
      </c>
      <c r="C1492" s="3">
        <v>5540246188224</v>
      </c>
      <c r="D1492" s="6">
        <v>44853</v>
      </c>
      <c r="E1492" s="8">
        <v>3620</v>
      </c>
      <c r="F1492" s="23" t="str">
        <f>IFERROR(VLOOKUP(C1492, 'Catégorie des articles'!$A:$D, 4, FALSE), "")</f>
        <v>VOLAILLE</v>
      </c>
      <c r="G1492">
        <f t="shared" si="23"/>
        <v>202210</v>
      </c>
    </row>
    <row r="1493" spans="1:7" ht="12" customHeight="1">
      <c r="A1493" s="9">
        <v>44845</v>
      </c>
      <c r="B1493" s="10">
        <v>143388760</v>
      </c>
      <c r="C1493" s="3">
        <v>5540246171933</v>
      </c>
      <c r="D1493" s="9">
        <v>44847</v>
      </c>
      <c r="E1493" s="11">
        <v>1114</v>
      </c>
      <c r="F1493" s="23" t="str">
        <f>IFERROR(VLOOKUP(C1493, 'Catégorie des articles'!$A:$D, 4, FALSE), "")</f>
        <v>CREMERIE</v>
      </c>
      <c r="G1493">
        <f t="shared" si="23"/>
        <v>202210</v>
      </c>
    </row>
    <row r="1494" spans="1:7" ht="12" customHeight="1">
      <c r="A1494" s="6">
        <v>44845</v>
      </c>
      <c r="B1494" s="7">
        <v>143388760</v>
      </c>
      <c r="C1494" s="3">
        <v>5540246176294</v>
      </c>
      <c r="D1494" s="6">
        <v>44847</v>
      </c>
      <c r="E1494" s="8">
        <v>2970</v>
      </c>
      <c r="F1494" s="23" t="str">
        <f>IFERROR(VLOOKUP(C1494, 'Catégorie des articles'!$A:$D, 4, FALSE), "")</f>
        <v>CREMERIE</v>
      </c>
      <c r="G1494">
        <f t="shared" si="23"/>
        <v>202210</v>
      </c>
    </row>
    <row r="1495" spans="1:7" ht="12" customHeight="1">
      <c r="A1495" s="9">
        <v>44845</v>
      </c>
      <c r="B1495" s="10">
        <v>143388760</v>
      </c>
      <c r="C1495" s="3">
        <v>5540246176295</v>
      </c>
      <c r="D1495" s="9">
        <v>44847</v>
      </c>
      <c r="E1495" s="11">
        <v>11136</v>
      </c>
      <c r="F1495" s="23" t="str">
        <f>IFERROR(VLOOKUP(C1495, 'Catégorie des articles'!$A:$D, 4, FALSE), "")</f>
        <v>CREMERIE</v>
      </c>
      <c r="G1495">
        <f t="shared" si="23"/>
        <v>202210</v>
      </c>
    </row>
    <row r="1496" spans="1:7" ht="12" customHeight="1">
      <c r="A1496" s="9">
        <v>44845</v>
      </c>
      <c r="B1496" s="10">
        <v>143388760</v>
      </c>
      <c r="C1496" s="3">
        <v>5540246187987</v>
      </c>
      <c r="D1496" s="9">
        <v>44847</v>
      </c>
      <c r="E1496" s="11">
        <v>8909</v>
      </c>
      <c r="F1496" s="23" t="str">
        <f>IFERROR(VLOOKUP(C1496, 'Catégorie des articles'!$A:$D, 4, FALSE), "")</f>
        <v>CREMERIE</v>
      </c>
      <c r="G1496">
        <f t="shared" si="23"/>
        <v>202210</v>
      </c>
    </row>
    <row r="1497" spans="1:7" ht="12" customHeight="1">
      <c r="A1497" s="6">
        <v>44845</v>
      </c>
      <c r="B1497" s="7">
        <v>143388760</v>
      </c>
      <c r="C1497" s="3">
        <v>5540246188200</v>
      </c>
      <c r="D1497" s="6">
        <v>44847</v>
      </c>
      <c r="E1497" s="8">
        <v>2228</v>
      </c>
      <c r="F1497" s="23" t="str">
        <f>IFERROR(VLOOKUP(C1497, 'Catégorie des articles'!$A:$D, 4, FALSE), "")</f>
        <v>CREMERIE</v>
      </c>
      <c r="G1497">
        <f t="shared" si="23"/>
        <v>202210</v>
      </c>
    </row>
    <row r="1498" spans="1:7" ht="12" customHeight="1">
      <c r="A1498" s="6">
        <v>44845</v>
      </c>
      <c r="B1498" s="7">
        <v>143388762</v>
      </c>
      <c r="C1498" s="3">
        <v>5540246172978</v>
      </c>
      <c r="D1498" s="6">
        <v>44847</v>
      </c>
      <c r="E1498" s="8">
        <v>2506</v>
      </c>
      <c r="F1498" s="23" t="str">
        <f>IFERROR(VLOOKUP(C1498, 'Catégorie des articles'!$A:$D, 4, FALSE), "")</f>
        <v>CREMERIE</v>
      </c>
      <c r="G1498">
        <f t="shared" si="23"/>
        <v>202210</v>
      </c>
    </row>
    <row r="1499" spans="1:7" ht="12" customHeight="1">
      <c r="A1499" s="9">
        <v>44845</v>
      </c>
      <c r="B1499" s="10">
        <v>143388762</v>
      </c>
      <c r="C1499" s="3">
        <v>5540246174174</v>
      </c>
      <c r="D1499" s="9">
        <v>44847</v>
      </c>
      <c r="E1499" s="11">
        <v>232</v>
      </c>
      <c r="F1499" s="23" t="str">
        <f>IFERROR(VLOOKUP(C1499, 'Catégorie des articles'!$A:$D, 4, FALSE), "")</f>
        <v>CREMERIE</v>
      </c>
      <c r="G1499">
        <f t="shared" si="23"/>
        <v>202210</v>
      </c>
    </row>
    <row r="1500" spans="1:7" ht="12" customHeight="1">
      <c r="A1500" s="9">
        <v>44845</v>
      </c>
      <c r="B1500" s="10">
        <v>143388762</v>
      </c>
      <c r="C1500" s="3">
        <v>5540246176699</v>
      </c>
      <c r="D1500" s="9">
        <v>44847</v>
      </c>
      <c r="E1500" s="11">
        <v>4176</v>
      </c>
      <c r="F1500" s="23" t="str">
        <f>IFERROR(VLOOKUP(C1500, 'Catégorie des articles'!$A:$D, 4, FALSE), "")</f>
        <v>CREMERIE</v>
      </c>
      <c r="G1500">
        <f t="shared" si="23"/>
        <v>202210</v>
      </c>
    </row>
    <row r="1501" spans="1:7" ht="12" customHeight="1">
      <c r="A1501" s="9">
        <v>44845</v>
      </c>
      <c r="B1501" s="10">
        <v>143388762</v>
      </c>
      <c r="C1501" s="3">
        <v>5540246188175</v>
      </c>
      <c r="D1501" s="9">
        <v>44847</v>
      </c>
      <c r="E1501" s="11">
        <v>464</v>
      </c>
      <c r="F1501" s="23" t="str">
        <f>IFERROR(VLOOKUP(C1501, 'Catégorie des articles'!$A:$D, 4, FALSE), "")</f>
        <v>CREMERIE</v>
      </c>
      <c r="G1501">
        <f t="shared" si="23"/>
        <v>202210</v>
      </c>
    </row>
    <row r="1502" spans="1:7" ht="12" customHeight="1">
      <c r="A1502" s="9">
        <v>44845</v>
      </c>
      <c r="B1502" s="10">
        <v>143388762</v>
      </c>
      <c r="C1502" s="3">
        <v>5540246192102</v>
      </c>
      <c r="D1502" s="9">
        <v>44847</v>
      </c>
      <c r="E1502" s="11">
        <v>4009</v>
      </c>
      <c r="F1502" s="23" t="str">
        <f>IFERROR(VLOOKUP(C1502, 'Catégorie des articles'!$A:$D, 4, FALSE), "")</f>
        <v>CREMERIE</v>
      </c>
      <c r="G1502">
        <f t="shared" si="23"/>
        <v>202210</v>
      </c>
    </row>
    <row r="1503" spans="1:7" ht="12" customHeight="1">
      <c r="A1503" s="6">
        <v>44845</v>
      </c>
      <c r="B1503" s="7">
        <v>143388800</v>
      </c>
      <c r="C1503" s="3">
        <v>5540246170256</v>
      </c>
      <c r="D1503" s="6">
        <v>44859</v>
      </c>
      <c r="E1503" s="8">
        <v>2822</v>
      </c>
      <c r="F1503" s="23" t="str">
        <f>IFERROR(VLOOKUP(C1503, 'Catégorie des articles'!$A:$D, 4, FALSE), "")</f>
        <v>BOULANGERIE</v>
      </c>
      <c r="G1503">
        <f t="shared" si="23"/>
        <v>202210</v>
      </c>
    </row>
    <row r="1504" spans="1:7" ht="12" customHeight="1">
      <c r="A1504" s="9">
        <v>44845</v>
      </c>
      <c r="B1504" s="10">
        <v>143388800</v>
      </c>
      <c r="C1504" s="3">
        <v>5540246171888</v>
      </c>
      <c r="D1504" s="9">
        <v>44859</v>
      </c>
      <c r="E1504" s="11">
        <v>780</v>
      </c>
      <c r="F1504" s="23" t="str">
        <f>IFERROR(VLOOKUP(C1504, 'Catégorie des articles'!$A:$D, 4, FALSE), "")</f>
        <v>BOULANGERIE</v>
      </c>
      <c r="G1504">
        <f t="shared" si="23"/>
        <v>202210</v>
      </c>
    </row>
    <row r="1505" spans="1:7" ht="12" customHeight="1">
      <c r="A1505" s="9">
        <v>44846</v>
      </c>
      <c r="B1505" s="10">
        <v>143388802</v>
      </c>
      <c r="C1505" s="3">
        <v>5540246171933</v>
      </c>
      <c r="D1505" s="9">
        <v>44851</v>
      </c>
      <c r="E1505" s="11">
        <v>1114</v>
      </c>
      <c r="F1505" s="23" t="str">
        <f>IFERROR(VLOOKUP(C1505, 'Catégorie des articles'!$A:$D, 4, FALSE), "")</f>
        <v>CREMERIE</v>
      </c>
      <c r="G1505">
        <f t="shared" si="23"/>
        <v>202210</v>
      </c>
    </row>
    <row r="1506" spans="1:7" ht="12" customHeight="1">
      <c r="A1506" s="9">
        <v>44846</v>
      </c>
      <c r="B1506" s="10">
        <v>143388802</v>
      </c>
      <c r="C1506" s="3">
        <v>5540246187987</v>
      </c>
      <c r="D1506" s="9">
        <v>44851</v>
      </c>
      <c r="E1506" s="11">
        <v>6682</v>
      </c>
      <c r="F1506" s="23" t="str">
        <f>IFERROR(VLOOKUP(C1506, 'Catégorie des articles'!$A:$D, 4, FALSE), "")</f>
        <v>CREMERIE</v>
      </c>
      <c r="G1506">
        <f t="shared" si="23"/>
        <v>202210</v>
      </c>
    </row>
    <row r="1507" spans="1:7" ht="12" customHeight="1">
      <c r="A1507" s="6">
        <v>44846</v>
      </c>
      <c r="B1507" s="7">
        <v>143388802</v>
      </c>
      <c r="C1507" s="3">
        <v>5540246188200</v>
      </c>
      <c r="D1507" s="6">
        <v>44851</v>
      </c>
      <c r="E1507" s="8">
        <v>743</v>
      </c>
      <c r="F1507" s="23" t="str">
        <f>IFERROR(VLOOKUP(C1507, 'Catégorie des articles'!$A:$D, 4, FALSE), "")</f>
        <v>CREMERIE</v>
      </c>
      <c r="G1507">
        <f t="shared" si="23"/>
        <v>202210</v>
      </c>
    </row>
    <row r="1508" spans="1:7" ht="12" customHeight="1">
      <c r="A1508" s="9">
        <v>44846</v>
      </c>
      <c r="B1508" s="10">
        <v>143388803</v>
      </c>
      <c r="C1508" s="3">
        <v>5540246172669</v>
      </c>
      <c r="D1508" s="9">
        <v>44851</v>
      </c>
      <c r="E1508" s="11">
        <v>418</v>
      </c>
      <c r="F1508" s="23" t="str">
        <f>IFERROR(VLOOKUP(C1508, 'Catégorie des articles'!$A:$D, 4, FALSE), "")</f>
        <v>CREMERIE</v>
      </c>
      <c r="G1508">
        <f t="shared" si="23"/>
        <v>202210</v>
      </c>
    </row>
    <row r="1509" spans="1:7" ht="12" customHeight="1">
      <c r="A1509" s="6">
        <v>44846</v>
      </c>
      <c r="B1509" s="7">
        <v>143388803</v>
      </c>
      <c r="C1509" s="3">
        <v>5540246172978</v>
      </c>
      <c r="D1509" s="6">
        <v>44851</v>
      </c>
      <c r="E1509" s="8">
        <v>1671</v>
      </c>
      <c r="F1509" s="23" t="str">
        <f>IFERROR(VLOOKUP(C1509, 'Catégorie des articles'!$A:$D, 4, FALSE), "")</f>
        <v>CREMERIE</v>
      </c>
      <c r="G1509">
        <f t="shared" si="23"/>
        <v>202210</v>
      </c>
    </row>
    <row r="1510" spans="1:7" ht="12" customHeight="1">
      <c r="A1510" s="9">
        <v>44846</v>
      </c>
      <c r="B1510" s="10">
        <v>143388803</v>
      </c>
      <c r="C1510" s="3">
        <v>5540246174174</v>
      </c>
      <c r="D1510" s="9">
        <v>44851</v>
      </c>
      <c r="E1510" s="11">
        <v>232</v>
      </c>
      <c r="F1510" s="23" t="str">
        <f>IFERROR(VLOOKUP(C1510, 'Catégorie des articles'!$A:$D, 4, FALSE), "")</f>
        <v>CREMERIE</v>
      </c>
      <c r="G1510">
        <f t="shared" si="23"/>
        <v>202210</v>
      </c>
    </row>
    <row r="1511" spans="1:7" ht="12" customHeight="1">
      <c r="A1511" s="9">
        <v>44846</v>
      </c>
      <c r="B1511" s="10">
        <v>143388803</v>
      </c>
      <c r="C1511" s="3">
        <v>5540246176699</v>
      </c>
      <c r="D1511" s="9">
        <v>44851</v>
      </c>
      <c r="E1511" s="11">
        <v>8352</v>
      </c>
      <c r="F1511" s="23" t="str">
        <f>IFERROR(VLOOKUP(C1511, 'Catégorie des articles'!$A:$D, 4, FALSE), "")</f>
        <v>CREMERIE</v>
      </c>
      <c r="G1511">
        <f t="shared" si="23"/>
        <v>202210</v>
      </c>
    </row>
    <row r="1512" spans="1:7" ht="12" customHeight="1">
      <c r="A1512" s="9">
        <v>44846</v>
      </c>
      <c r="B1512" s="10">
        <v>143388803</v>
      </c>
      <c r="C1512" s="3">
        <v>5540246192102</v>
      </c>
      <c r="D1512" s="9">
        <v>44851</v>
      </c>
      <c r="E1512" s="11">
        <v>2005</v>
      </c>
      <c r="F1512" s="23" t="str">
        <f>IFERROR(VLOOKUP(C1512, 'Catégorie des articles'!$A:$D, 4, FALSE), "")</f>
        <v>CREMERIE</v>
      </c>
      <c r="G1512">
        <f t="shared" si="23"/>
        <v>202210</v>
      </c>
    </row>
    <row r="1513" spans="1:7" ht="12" customHeight="1">
      <c r="A1513" s="6">
        <v>44846</v>
      </c>
      <c r="B1513" s="7">
        <v>143388806</v>
      </c>
      <c r="C1513" s="3">
        <v>5540246173472</v>
      </c>
      <c r="D1513" s="6">
        <v>44854</v>
      </c>
      <c r="E1513" s="8">
        <v>418</v>
      </c>
      <c r="F1513" s="23" t="str">
        <f>IFERROR(VLOOKUP(C1513, 'Catégorie des articles'!$A:$D, 4, FALSE), "")</f>
        <v>CREMERIE</v>
      </c>
      <c r="G1513">
        <f t="shared" si="23"/>
        <v>202210</v>
      </c>
    </row>
    <row r="1514" spans="1:7" ht="12" customHeight="1">
      <c r="A1514" s="9">
        <v>44846</v>
      </c>
      <c r="B1514" s="10">
        <v>143388806</v>
      </c>
      <c r="C1514" s="3">
        <v>5540246174095</v>
      </c>
      <c r="D1514" s="9">
        <v>44854</v>
      </c>
      <c r="E1514" s="11">
        <v>140</v>
      </c>
      <c r="F1514" s="23" t="str">
        <f>IFERROR(VLOOKUP(C1514, 'Catégorie des articles'!$A:$D, 4, FALSE), "")</f>
        <v>CREMERIE</v>
      </c>
      <c r="G1514">
        <f t="shared" si="23"/>
        <v>202210</v>
      </c>
    </row>
    <row r="1515" spans="1:7" ht="12" customHeight="1">
      <c r="A1515" s="6">
        <v>44846</v>
      </c>
      <c r="B1515" s="7">
        <v>143388806</v>
      </c>
      <c r="C1515" s="3">
        <v>5540246175047</v>
      </c>
      <c r="D1515" s="6">
        <v>44854</v>
      </c>
      <c r="E1515" s="8">
        <v>279</v>
      </c>
      <c r="F1515" s="23" t="str">
        <f>IFERROR(VLOOKUP(C1515, 'Catégorie des articles'!$A:$D, 4, FALSE), "")</f>
        <v>CREMERIE</v>
      </c>
      <c r="G1515">
        <f t="shared" si="23"/>
        <v>202210</v>
      </c>
    </row>
    <row r="1516" spans="1:7" ht="12" customHeight="1">
      <c r="A1516" s="9">
        <v>44846</v>
      </c>
      <c r="B1516" s="10">
        <v>143388806</v>
      </c>
      <c r="C1516" s="3">
        <v>5540246175049</v>
      </c>
      <c r="D1516" s="9">
        <v>44854</v>
      </c>
      <c r="E1516" s="11">
        <v>1114</v>
      </c>
      <c r="F1516" s="23" t="str">
        <f>IFERROR(VLOOKUP(C1516, 'Catégorie des articles'!$A:$D, 4, FALSE), "")</f>
        <v>CREMERIE</v>
      </c>
      <c r="G1516">
        <f t="shared" si="23"/>
        <v>202210</v>
      </c>
    </row>
    <row r="1517" spans="1:7" ht="12" customHeight="1">
      <c r="A1517" s="6">
        <v>44846</v>
      </c>
      <c r="B1517" s="7">
        <v>143388806</v>
      </c>
      <c r="C1517" s="3">
        <v>5540246175050</v>
      </c>
      <c r="D1517" s="6">
        <v>44854</v>
      </c>
      <c r="E1517" s="8">
        <v>836</v>
      </c>
      <c r="F1517" s="23" t="str">
        <f>IFERROR(VLOOKUP(C1517, 'Catégorie des articles'!$A:$D, 4, FALSE), "")</f>
        <v>CREMERIE</v>
      </c>
      <c r="G1517">
        <f t="shared" si="23"/>
        <v>202210</v>
      </c>
    </row>
    <row r="1518" spans="1:7" ht="12" customHeight="1">
      <c r="A1518" s="9">
        <v>44846</v>
      </c>
      <c r="B1518" s="10">
        <v>143388806</v>
      </c>
      <c r="C1518" s="3">
        <v>5540246190743</v>
      </c>
      <c r="D1518" s="9">
        <v>44854</v>
      </c>
      <c r="E1518" s="11">
        <v>279</v>
      </c>
      <c r="F1518" s="23" t="str">
        <f>IFERROR(VLOOKUP(C1518, 'Catégorie des articles'!$A:$D, 4, FALSE), "")</f>
        <v>CREMERIE</v>
      </c>
      <c r="G1518">
        <f t="shared" si="23"/>
        <v>202210</v>
      </c>
    </row>
    <row r="1519" spans="1:7" ht="12" customHeight="1">
      <c r="A1519" s="6">
        <v>44846</v>
      </c>
      <c r="B1519" s="7">
        <v>143388818</v>
      </c>
      <c r="C1519" s="3">
        <v>5540246195943</v>
      </c>
      <c r="D1519" s="6">
        <v>44857</v>
      </c>
      <c r="E1519" s="8">
        <v>928</v>
      </c>
      <c r="F1519" s="23" t="str">
        <f>IFERROR(VLOOKUP(C1519, 'Catégorie des articles'!$A:$D, 4, FALSE), "")</f>
        <v>CREMERIE</v>
      </c>
      <c r="G1519">
        <f t="shared" si="23"/>
        <v>202210</v>
      </c>
    </row>
    <row r="1520" spans="1:7" ht="12" customHeight="1">
      <c r="A1520" s="9">
        <v>44846</v>
      </c>
      <c r="B1520" s="10">
        <v>143388818</v>
      </c>
      <c r="C1520" s="3">
        <v>5540246195944</v>
      </c>
      <c r="D1520" s="9">
        <v>44857</v>
      </c>
      <c r="E1520" s="11">
        <v>928</v>
      </c>
      <c r="F1520" s="23" t="str">
        <f>IFERROR(VLOOKUP(C1520, 'Catégorie des articles'!$A:$D, 4, FALSE), "")</f>
        <v>CREMERIE</v>
      </c>
      <c r="G1520">
        <f t="shared" si="23"/>
        <v>202210</v>
      </c>
    </row>
    <row r="1521" spans="1:7" ht="12" customHeight="1">
      <c r="A1521" s="6">
        <v>44846</v>
      </c>
      <c r="B1521" s="7">
        <v>143388819</v>
      </c>
      <c r="C1521" s="3">
        <v>5540246195943</v>
      </c>
      <c r="D1521" s="6">
        <v>44873</v>
      </c>
      <c r="E1521" s="8">
        <v>1184</v>
      </c>
      <c r="F1521" s="23" t="str">
        <f>IFERROR(VLOOKUP(C1521, 'Catégorie des articles'!$A:$D, 4, FALSE), "")</f>
        <v>CREMERIE</v>
      </c>
      <c r="G1521">
        <f t="shared" si="23"/>
        <v>202211</v>
      </c>
    </row>
    <row r="1522" spans="1:7" ht="12" customHeight="1">
      <c r="A1522" s="9">
        <v>44846</v>
      </c>
      <c r="B1522" s="10">
        <v>143388819</v>
      </c>
      <c r="C1522" s="3">
        <v>5540246195944</v>
      </c>
      <c r="D1522" s="9">
        <v>44873</v>
      </c>
      <c r="E1522" s="11">
        <v>464</v>
      </c>
      <c r="F1522" s="23" t="str">
        <f>IFERROR(VLOOKUP(C1522, 'Catégorie des articles'!$A:$D, 4, FALSE), "")</f>
        <v>CREMERIE</v>
      </c>
      <c r="G1522">
        <f t="shared" si="23"/>
        <v>202211</v>
      </c>
    </row>
    <row r="1523" spans="1:7" ht="12" customHeight="1">
      <c r="A1523" s="9">
        <v>44846</v>
      </c>
      <c r="B1523" s="10">
        <v>143388821</v>
      </c>
      <c r="C1523" s="3">
        <v>5540246181061</v>
      </c>
      <c r="D1523" s="9">
        <v>44852</v>
      </c>
      <c r="E1523" s="11">
        <v>4410</v>
      </c>
      <c r="F1523" s="23" t="str">
        <f>IFERROR(VLOOKUP(C1523, 'Catégorie des articles'!$A:$D, 4, FALSE), "")</f>
        <v>VOLAILLE</v>
      </c>
      <c r="G1523">
        <f t="shared" si="23"/>
        <v>202210</v>
      </c>
    </row>
    <row r="1524" spans="1:7" ht="12" customHeight="1">
      <c r="A1524" s="6">
        <v>44846</v>
      </c>
      <c r="B1524" s="7">
        <v>143388821</v>
      </c>
      <c r="C1524" s="3">
        <v>5540246183547</v>
      </c>
      <c r="D1524" s="6">
        <v>44852</v>
      </c>
      <c r="E1524" s="8">
        <v>6682</v>
      </c>
      <c r="F1524" s="23" t="str">
        <f>IFERROR(VLOOKUP(C1524, 'Catégorie des articles'!$A:$D, 4, FALSE), "")</f>
        <v>VOLAILLE</v>
      </c>
      <c r="G1524">
        <f t="shared" si="23"/>
        <v>202210</v>
      </c>
    </row>
    <row r="1525" spans="1:7" ht="12" customHeight="1">
      <c r="A1525" s="9">
        <v>44846</v>
      </c>
      <c r="B1525" s="10">
        <v>143388821</v>
      </c>
      <c r="C1525" s="3">
        <v>5540246185278</v>
      </c>
      <c r="D1525" s="9">
        <v>44852</v>
      </c>
      <c r="E1525" s="11">
        <v>2239</v>
      </c>
      <c r="F1525" s="23" t="str">
        <f>IFERROR(VLOOKUP(C1525, 'Catégorie des articles'!$A:$D, 4, FALSE), "")</f>
        <v>VOLAILLE</v>
      </c>
      <c r="G1525">
        <f t="shared" si="23"/>
        <v>202210</v>
      </c>
    </row>
    <row r="1526" spans="1:7" ht="12" customHeight="1">
      <c r="A1526" s="6">
        <v>44846</v>
      </c>
      <c r="B1526" s="7">
        <v>143388822</v>
      </c>
      <c r="C1526" s="3">
        <v>5540246193316</v>
      </c>
      <c r="D1526" s="6">
        <v>44873</v>
      </c>
      <c r="E1526" s="8">
        <v>335</v>
      </c>
      <c r="F1526" s="23" t="str">
        <f>IFERROR(VLOOKUP(C1526, 'Catégorie des articles'!$A:$D, 4, FALSE), "")</f>
        <v>BOULANGERIE</v>
      </c>
      <c r="G1526">
        <f t="shared" si="23"/>
        <v>202211</v>
      </c>
    </row>
    <row r="1527" spans="1:7" ht="12" customHeight="1">
      <c r="A1527" s="6">
        <v>44846</v>
      </c>
      <c r="B1527" s="7">
        <v>143388827</v>
      </c>
      <c r="C1527" s="3">
        <v>5540246177133</v>
      </c>
      <c r="D1527" s="6">
        <v>44854</v>
      </c>
      <c r="E1527" s="8">
        <v>6682</v>
      </c>
      <c r="F1527" s="23" t="str">
        <f>IFERROR(VLOOKUP(C1527, 'Catégorie des articles'!$A:$D, 4, FALSE), "")</f>
        <v>MIX LEGUMES</v>
      </c>
      <c r="G1527">
        <f t="shared" si="23"/>
        <v>202210</v>
      </c>
    </row>
    <row r="1528" spans="1:7" ht="12" customHeight="1">
      <c r="A1528" s="9">
        <v>44846</v>
      </c>
      <c r="B1528" s="10">
        <v>143388827</v>
      </c>
      <c r="C1528" s="3">
        <v>5540246192148</v>
      </c>
      <c r="D1528" s="9">
        <v>44854</v>
      </c>
      <c r="E1528" s="11">
        <v>13920</v>
      </c>
      <c r="F1528" s="23" t="str">
        <f>IFERROR(VLOOKUP(C1528, 'Catégorie des articles'!$A:$D, 4, FALSE), "")</f>
        <v>MIX LEGUMES</v>
      </c>
      <c r="G1528">
        <f t="shared" si="23"/>
        <v>202210</v>
      </c>
    </row>
    <row r="1529" spans="1:7" ht="12" customHeight="1">
      <c r="A1529" s="6">
        <v>44846</v>
      </c>
      <c r="B1529" s="7">
        <v>143388827</v>
      </c>
      <c r="C1529" s="3">
        <v>5540246192518</v>
      </c>
      <c r="D1529" s="6">
        <v>44854</v>
      </c>
      <c r="E1529" s="8">
        <v>4385</v>
      </c>
      <c r="F1529" s="23" t="str">
        <f>IFERROR(VLOOKUP(C1529, 'Catégorie des articles'!$A:$D, 4, FALSE), "")</f>
        <v>MIX LEGUMES</v>
      </c>
      <c r="G1529">
        <f t="shared" si="23"/>
        <v>202210</v>
      </c>
    </row>
    <row r="1530" spans="1:7" ht="12" customHeight="1">
      <c r="A1530" s="6">
        <v>44846</v>
      </c>
      <c r="B1530" s="7">
        <v>143388828</v>
      </c>
      <c r="C1530" s="3">
        <v>5540246194632</v>
      </c>
      <c r="D1530" s="6">
        <v>44858</v>
      </c>
      <c r="E1530" s="8">
        <v>1671</v>
      </c>
      <c r="F1530" s="23" t="str">
        <f>IFERROR(VLOOKUP(C1530, 'Catégorie des articles'!$A:$D, 4, FALSE), "")</f>
        <v>BOULANGERIE</v>
      </c>
      <c r="G1530">
        <f t="shared" si="23"/>
        <v>202210</v>
      </c>
    </row>
    <row r="1531" spans="1:7" ht="12" customHeight="1">
      <c r="A1531" s="9">
        <v>44846</v>
      </c>
      <c r="B1531" s="10">
        <v>143388837</v>
      </c>
      <c r="C1531" s="3">
        <v>5540246183558</v>
      </c>
      <c r="D1531" s="9">
        <v>44861</v>
      </c>
      <c r="E1531" s="11">
        <v>2599</v>
      </c>
      <c r="F1531" s="23" t="str">
        <f>IFERROR(VLOOKUP(C1531, 'Catégorie des articles'!$A:$D, 4, FALSE), "")</f>
        <v>MIX LEGUMES</v>
      </c>
      <c r="G1531">
        <f t="shared" si="23"/>
        <v>202210</v>
      </c>
    </row>
    <row r="1532" spans="1:7" ht="12" customHeight="1">
      <c r="A1532" s="6">
        <v>44846</v>
      </c>
      <c r="B1532" s="7">
        <v>143388837</v>
      </c>
      <c r="C1532" s="3">
        <v>5540246183560</v>
      </c>
      <c r="D1532" s="6">
        <v>44861</v>
      </c>
      <c r="E1532" s="8">
        <v>223</v>
      </c>
      <c r="F1532" s="23" t="str">
        <f>IFERROR(VLOOKUP(C1532, 'Catégorie des articles'!$A:$D, 4, FALSE), "")</f>
        <v>MIX LEGUMES</v>
      </c>
      <c r="G1532">
        <f t="shared" si="23"/>
        <v>202210</v>
      </c>
    </row>
    <row r="1533" spans="1:7" ht="12" customHeight="1">
      <c r="A1533" s="9">
        <v>44846</v>
      </c>
      <c r="B1533" s="10">
        <v>143388837</v>
      </c>
      <c r="C1533" s="3">
        <v>5540246192209</v>
      </c>
      <c r="D1533" s="9">
        <v>44861</v>
      </c>
      <c r="E1533" s="11">
        <v>2228</v>
      </c>
      <c r="F1533" s="23" t="str">
        <f>IFERROR(VLOOKUP(C1533, 'Catégorie des articles'!$A:$D, 4, FALSE), "")</f>
        <v>MIX LEGUMES</v>
      </c>
      <c r="G1533">
        <f t="shared" si="23"/>
        <v>202210</v>
      </c>
    </row>
    <row r="1534" spans="1:7" ht="12" customHeight="1">
      <c r="A1534" s="6">
        <v>44846</v>
      </c>
      <c r="B1534" s="7">
        <v>143388837</v>
      </c>
      <c r="C1534" s="3">
        <v>5540246192462</v>
      </c>
      <c r="D1534" s="6">
        <v>44861</v>
      </c>
      <c r="E1534" s="8">
        <v>1114</v>
      </c>
      <c r="F1534" s="23" t="str">
        <f>IFERROR(VLOOKUP(C1534, 'Catégorie des articles'!$A:$D, 4, FALSE), "")</f>
        <v>MIX LEGUMES</v>
      </c>
      <c r="G1534">
        <f t="shared" si="23"/>
        <v>202210</v>
      </c>
    </row>
    <row r="1535" spans="1:7" ht="12" customHeight="1">
      <c r="A1535" s="9">
        <v>44846</v>
      </c>
      <c r="B1535" s="10">
        <v>143388837</v>
      </c>
      <c r="C1535" s="3">
        <v>5540246192831</v>
      </c>
      <c r="D1535" s="9">
        <v>44861</v>
      </c>
      <c r="E1535" s="11">
        <v>2599</v>
      </c>
      <c r="F1535" s="23" t="str">
        <f>IFERROR(VLOOKUP(C1535, 'Catégorie des articles'!$A:$D, 4, FALSE), "")</f>
        <v>MIX LEGUMES</v>
      </c>
      <c r="G1535">
        <f t="shared" si="23"/>
        <v>202210</v>
      </c>
    </row>
    <row r="1536" spans="1:7" ht="12" customHeight="1">
      <c r="A1536" s="9">
        <v>44847</v>
      </c>
      <c r="B1536" s="10">
        <v>143388848</v>
      </c>
      <c r="C1536" s="3">
        <v>5540246172978</v>
      </c>
      <c r="D1536" s="9">
        <v>44852</v>
      </c>
      <c r="E1536" s="11">
        <v>1671</v>
      </c>
      <c r="F1536" s="23" t="str">
        <f>IFERROR(VLOOKUP(C1536, 'Catégorie des articles'!$A:$D, 4, FALSE), "")</f>
        <v>CREMERIE</v>
      </c>
      <c r="G1536">
        <f t="shared" si="23"/>
        <v>202210</v>
      </c>
    </row>
    <row r="1537" spans="1:7" ht="12" customHeight="1">
      <c r="A1537" s="6">
        <v>44847</v>
      </c>
      <c r="B1537" s="7">
        <v>143388848</v>
      </c>
      <c r="C1537" s="3">
        <v>5540246174174</v>
      </c>
      <c r="D1537" s="6">
        <v>44852</v>
      </c>
      <c r="E1537" s="8">
        <v>232</v>
      </c>
      <c r="F1537" s="23" t="str">
        <f>IFERROR(VLOOKUP(C1537, 'Catégorie des articles'!$A:$D, 4, FALSE), "")</f>
        <v>CREMERIE</v>
      </c>
      <c r="G1537">
        <f t="shared" si="23"/>
        <v>202210</v>
      </c>
    </row>
    <row r="1538" spans="1:7" ht="12" customHeight="1">
      <c r="A1538" s="9">
        <v>44847</v>
      </c>
      <c r="B1538" s="10">
        <v>143388850</v>
      </c>
      <c r="C1538" s="3">
        <v>5540246171933</v>
      </c>
      <c r="D1538" s="9">
        <v>44852</v>
      </c>
      <c r="E1538" s="11">
        <v>1114</v>
      </c>
      <c r="F1538" s="23" t="str">
        <f>IFERROR(VLOOKUP(C1538, 'Catégorie des articles'!$A:$D, 4, FALSE), "")</f>
        <v>CREMERIE</v>
      </c>
      <c r="G1538">
        <f t="shared" si="23"/>
        <v>202210</v>
      </c>
    </row>
    <row r="1539" spans="1:7" ht="12" customHeight="1">
      <c r="A1539" s="6">
        <v>44847</v>
      </c>
      <c r="B1539" s="7">
        <v>143388850</v>
      </c>
      <c r="C1539" s="3">
        <v>5540246187987</v>
      </c>
      <c r="D1539" s="6">
        <v>44852</v>
      </c>
      <c r="E1539" s="8">
        <v>4455</v>
      </c>
      <c r="F1539" s="23" t="str">
        <f>IFERROR(VLOOKUP(C1539, 'Catégorie des articles'!$A:$D, 4, FALSE), "")</f>
        <v>CREMERIE</v>
      </c>
      <c r="G1539">
        <f t="shared" ref="G1539:G1602" si="24">YEAR(D1539)*100 + MONTH(D1539)</f>
        <v>202210</v>
      </c>
    </row>
    <row r="1540" spans="1:7" ht="12" customHeight="1">
      <c r="A1540" s="6">
        <v>44847</v>
      </c>
      <c r="B1540" s="7">
        <v>143388857</v>
      </c>
      <c r="C1540" s="3">
        <v>5540246194632</v>
      </c>
      <c r="D1540" s="6">
        <v>44851</v>
      </c>
      <c r="E1540" s="8">
        <v>502</v>
      </c>
      <c r="F1540" s="23" t="str">
        <f>IFERROR(VLOOKUP(C1540, 'Catégorie des articles'!$A:$D, 4, FALSE), "")</f>
        <v>BOULANGERIE</v>
      </c>
      <c r="G1540">
        <f t="shared" si="24"/>
        <v>202210</v>
      </c>
    </row>
    <row r="1541" spans="1:7" ht="12" customHeight="1">
      <c r="A1541" s="6">
        <v>44847</v>
      </c>
      <c r="B1541" s="7">
        <v>143388865</v>
      </c>
      <c r="C1541" s="3">
        <v>5540246194632</v>
      </c>
      <c r="D1541" s="6">
        <v>44847</v>
      </c>
      <c r="E1541" s="8">
        <v>168</v>
      </c>
      <c r="F1541" s="23" t="str">
        <f>IFERROR(VLOOKUP(C1541, 'Catégorie des articles'!$A:$D, 4, FALSE), "")</f>
        <v>BOULANGERIE</v>
      </c>
      <c r="G1541">
        <f t="shared" si="24"/>
        <v>202210</v>
      </c>
    </row>
    <row r="1542" spans="1:7" ht="12" customHeight="1">
      <c r="A1542" s="9">
        <v>44847</v>
      </c>
      <c r="B1542" s="10">
        <v>143388867</v>
      </c>
      <c r="C1542" s="3">
        <v>5540246183541</v>
      </c>
      <c r="D1542" s="9">
        <v>44853</v>
      </c>
      <c r="E1542" s="11">
        <v>3132</v>
      </c>
      <c r="F1542" s="23" t="str">
        <f>IFERROR(VLOOKUP(C1542, 'Catégorie des articles'!$A:$D, 4, FALSE), "")</f>
        <v>MIX LEGUMES</v>
      </c>
      <c r="G1542">
        <f t="shared" si="24"/>
        <v>202210</v>
      </c>
    </row>
    <row r="1543" spans="1:7" ht="12" customHeight="1">
      <c r="A1543" s="6">
        <v>44847</v>
      </c>
      <c r="B1543" s="7">
        <v>143388869</v>
      </c>
      <c r="C1543" s="3">
        <v>5540246171759</v>
      </c>
      <c r="D1543" s="6">
        <v>44858</v>
      </c>
      <c r="E1543" s="8">
        <v>10023</v>
      </c>
      <c r="F1543" s="23" t="str">
        <f>IFERROR(VLOOKUP(C1543, 'Catégorie des articles'!$A:$D, 4, FALSE), "")</f>
        <v>MIX LEGUMES</v>
      </c>
      <c r="G1543">
        <f t="shared" si="24"/>
        <v>202210</v>
      </c>
    </row>
    <row r="1544" spans="1:7" ht="12" customHeight="1">
      <c r="A1544" s="9">
        <v>44847</v>
      </c>
      <c r="B1544" s="10">
        <v>143388869</v>
      </c>
      <c r="C1544" s="3">
        <v>5540246177133</v>
      </c>
      <c r="D1544" s="9">
        <v>44858</v>
      </c>
      <c r="E1544" s="11">
        <v>10023</v>
      </c>
      <c r="F1544" s="23" t="str">
        <f>IFERROR(VLOOKUP(C1544, 'Catégorie des articles'!$A:$D, 4, FALSE), "")</f>
        <v>MIX LEGUMES</v>
      </c>
      <c r="G1544">
        <f t="shared" si="24"/>
        <v>202210</v>
      </c>
    </row>
    <row r="1545" spans="1:7" ht="12" customHeight="1">
      <c r="A1545" s="9">
        <v>44847</v>
      </c>
      <c r="B1545" s="10">
        <v>143388870</v>
      </c>
      <c r="C1545" s="3">
        <v>5540246192148</v>
      </c>
      <c r="D1545" s="9">
        <v>44859</v>
      </c>
      <c r="E1545" s="11">
        <v>45936</v>
      </c>
      <c r="F1545" s="23" t="str">
        <f>IFERROR(VLOOKUP(C1545, 'Catégorie des articles'!$A:$D, 4, FALSE), "")</f>
        <v>MIX LEGUMES</v>
      </c>
      <c r="G1545">
        <f t="shared" si="24"/>
        <v>202210</v>
      </c>
    </row>
    <row r="1546" spans="1:7" ht="12" customHeight="1">
      <c r="A1546" s="6">
        <v>44851</v>
      </c>
      <c r="B1546" s="7">
        <v>143398885</v>
      </c>
      <c r="C1546" s="3">
        <v>5540246172539</v>
      </c>
      <c r="D1546" s="6">
        <v>44853</v>
      </c>
      <c r="E1546" s="8">
        <v>70</v>
      </c>
      <c r="F1546" s="23" t="str">
        <f>IFERROR(VLOOKUP(C1546, 'Catégorie des articles'!$A:$D, 4, FALSE), "")</f>
        <v>CREMERIE</v>
      </c>
      <c r="G1546">
        <f t="shared" si="24"/>
        <v>202210</v>
      </c>
    </row>
    <row r="1547" spans="1:7" ht="12" customHeight="1">
      <c r="A1547" s="9">
        <v>44851</v>
      </c>
      <c r="B1547" s="10">
        <v>143398885</v>
      </c>
      <c r="C1547" s="3">
        <v>5540246172978</v>
      </c>
      <c r="D1547" s="9">
        <v>44853</v>
      </c>
      <c r="E1547" s="11">
        <v>1671</v>
      </c>
      <c r="F1547" s="23" t="str">
        <f>IFERROR(VLOOKUP(C1547, 'Catégorie des articles'!$A:$D, 4, FALSE), "")</f>
        <v>CREMERIE</v>
      </c>
      <c r="G1547">
        <f t="shared" si="24"/>
        <v>202210</v>
      </c>
    </row>
    <row r="1548" spans="1:7" ht="12" customHeight="1">
      <c r="A1548" s="6">
        <v>44851</v>
      </c>
      <c r="B1548" s="7">
        <v>143398885</v>
      </c>
      <c r="C1548" s="3">
        <v>5540246174174</v>
      </c>
      <c r="D1548" s="6">
        <v>44853</v>
      </c>
      <c r="E1548" s="8">
        <v>464</v>
      </c>
      <c r="F1548" s="23" t="str">
        <f>IFERROR(VLOOKUP(C1548, 'Catégorie des articles'!$A:$D, 4, FALSE), "")</f>
        <v>CREMERIE</v>
      </c>
      <c r="G1548">
        <f t="shared" si="24"/>
        <v>202210</v>
      </c>
    </row>
    <row r="1549" spans="1:7" ht="12" customHeight="1">
      <c r="A1549" s="6">
        <v>44851</v>
      </c>
      <c r="B1549" s="7">
        <v>143398885</v>
      </c>
      <c r="C1549" s="3">
        <v>5540246176699</v>
      </c>
      <c r="D1549" s="6">
        <v>44853</v>
      </c>
      <c r="E1549" s="8">
        <v>8352</v>
      </c>
      <c r="F1549" s="23" t="str">
        <f>IFERROR(VLOOKUP(C1549, 'Catégorie des articles'!$A:$D, 4, FALSE), "")</f>
        <v>CREMERIE</v>
      </c>
      <c r="G1549">
        <f t="shared" si="24"/>
        <v>202210</v>
      </c>
    </row>
    <row r="1550" spans="1:7" ht="12" customHeight="1">
      <c r="A1550" s="6">
        <v>44851</v>
      </c>
      <c r="B1550" s="7">
        <v>143398886</v>
      </c>
      <c r="C1550" s="3">
        <v>5540246191598</v>
      </c>
      <c r="D1550" s="6">
        <v>44854</v>
      </c>
      <c r="E1550" s="8">
        <v>1601</v>
      </c>
      <c r="F1550" s="23" t="str">
        <f>IFERROR(VLOOKUP(C1550, 'Catégorie des articles'!$A:$D, 4, FALSE), "")</f>
        <v>CREMERIE</v>
      </c>
      <c r="G1550">
        <f t="shared" si="24"/>
        <v>202210</v>
      </c>
    </row>
    <row r="1551" spans="1:7" ht="12" customHeight="1">
      <c r="A1551" s="9">
        <v>44851</v>
      </c>
      <c r="B1551" s="10">
        <v>143398888</v>
      </c>
      <c r="C1551" s="3">
        <v>5540246176295</v>
      </c>
      <c r="D1551" s="9">
        <v>44853</v>
      </c>
      <c r="E1551" s="11">
        <v>4455</v>
      </c>
      <c r="F1551" s="23" t="str">
        <f>IFERROR(VLOOKUP(C1551, 'Catégorie des articles'!$A:$D, 4, FALSE), "")</f>
        <v>CREMERIE</v>
      </c>
      <c r="G1551">
        <f t="shared" si="24"/>
        <v>202210</v>
      </c>
    </row>
    <row r="1552" spans="1:7" ht="12" customHeight="1">
      <c r="A1552" s="9">
        <v>44851</v>
      </c>
      <c r="B1552" s="10">
        <v>143398888</v>
      </c>
      <c r="C1552" s="3">
        <v>5540246187987</v>
      </c>
      <c r="D1552" s="9">
        <v>44853</v>
      </c>
      <c r="E1552" s="11">
        <v>2228</v>
      </c>
      <c r="F1552" s="23" t="str">
        <f>IFERROR(VLOOKUP(C1552, 'Catégorie des articles'!$A:$D, 4, FALSE), "")</f>
        <v>CREMERIE</v>
      </c>
      <c r="G1552">
        <f t="shared" si="24"/>
        <v>202210</v>
      </c>
    </row>
    <row r="1553" spans="1:7" ht="12" customHeight="1">
      <c r="A1553" s="6">
        <v>44851</v>
      </c>
      <c r="B1553" s="7">
        <v>143398888</v>
      </c>
      <c r="C1553" s="3">
        <v>5540246188200</v>
      </c>
      <c r="D1553" s="6">
        <v>44853</v>
      </c>
      <c r="E1553" s="8">
        <v>1485</v>
      </c>
      <c r="F1553" s="23" t="str">
        <f>IFERROR(VLOOKUP(C1553, 'Catégorie des articles'!$A:$D, 4, FALSE), "")</f>
        <v>CREMERIE</v>
      </c>
      <c r="G1553">
        <f t="shared" si="24"/>
        <v>202210</v>
      </c>
    </row>
    <row r="1554" spans="1:7" ht="12" customHeight="1">
      <c r="A1554" s="9">
        <v>44851</v>
      </c>
      <c r="B1554" s="10">
        <v>143398898</v>
      </c>
      <c r="C1554" s="3">
        <v>5540246176295</v>
      </c>
      <c r="D1554" s="9">
        <v>44852</v>
      </c>
      <c r="E1554" s="11">
        <v>11136</v>
      </c>
      <c r="F1554" s="23" t="str">
        <f>IFERROR(VLOOKUP(C1554, 'Catégorie des articles'!$A:$D, 4, FALSE), "")</f>
        <v>CREMERIE</v>
      </c>
      <c r="G1554">
        <f t="shared" si="24"/>
        <v>202210</v>
      </c>
    </row>
    <row r="1555" spans="1:7" ht="12" customHeight="1">
      <c r="A1555" s="6">
        <v>44851</v>
      </c>
      <c r="B1555" s="7">
        <v>143398901</v>
      </c>
      <c r="C1555" s="3">
        <v>5540246173906</v>
      </c>
      <c r="D1555" s="6">
        <v>44857</v>
      </c>
      <c r="E1555" s="8">
        <v>5346</v>
      </c>
      <c r="F1555" s="23" t="str">
        <f>IFERROR(VLOOKUP(C1555, 'Catégorie des articles'!$A:$D, 4, FALSE), "")</f>
        <v>VOLAILLE</v>
      </c>
      <c r="G1555">
        <f t="shared" si="24"/>
        <v>202210</v>
      </c>
    </row>
    <row r="1556" spans="1:7" ht="12" customHeight="1">
      <c r="A1556" s="9">
        <v>44851</v>
      </c>
      <c r="B1556" s="10">
        <v>143398901</v>
      </c>
      <c r="C1556" s="3">
        <v>5540246181016</v>
      </c>
      <c r="D1556" s="9">
        <v>44857</v>
      </c>
      <c r="E1556" s="11">
        <v>9800</v>
      </c>
      <c r="F1556" s="23" t="str">
        <f>IFERROR(VLOOKUP(C1556, 'Catégorie des articles'!$A:$D, 4, FALSE), "")</f>
        <v>VOLAILLE</v>
      </c>
      <c r="G1556">
        <f t="shared" si="24"/>
        <v>202210</v>
      </c>
    </row>
    <row r="1557" spans="1:7" ht="12" customHeight="1">
      <c r="A1557" s="6">
        <v>44851</v>
      </c>
      <c r="B1557" s="7">
        <v>143398902</v>
      </c>
      <c r="C1557" s="3">
        <v>5540246195242</v>
      </c>
      <c r="D1557" s="6">
        <v>44854</v>
      </c>
      <c r="E1557" s="8">
        <v>743</v>
      </c>
      <c r="F1557" s="23" t="str">
        <f>IFERROR(VLOOKUP(C1557, 'Catégorie des articles'!$A:$D, 4, FALSE), "")</f>
        <v>MIX LEGUMES</v>
      </c>
      <c r="G1557">
        <f t="shared" si="24"/>
        <v>202210</v>
      </c>
    </row>
    <row r="1558" spans="1:7" ht="12" customHeight="1">
      <c r="A1558" s="9">
        <v>44852</v>
      </c>
      <c r="B1558" s="10">
        <v>143398914</v>
      </c>
      <c r="C1558" s="3">
        <v>5540246176294</v>
      </c>
      <c r="D1558" s="9">
        <v>44854</v>
      </c>
      <c r="E1558" s="11">
        <v>1485</v>
      </c>
      <c r="F1558" s="23" t="str">
        <f>IFERROR(VLOOKUP(C1558, 'Catégorie des articles'!$A:$D, 4, FALSE), "")</f>
        <v>CREMERIE</v>
      </c>
      <c r="G1558">
        <f t="shared" si="24"/>
        <v>202210</v>
      </c>
    </row>
    <row r="1559" spans="1:7" ht="12" customHeight="1">
      <c r="A1559" s="6">
        <v>44852</v>
      </c>
      <c r="B1559" s="7">
        <v>143398914</v>
      </c>
      <c r="C1559" s="3">
        <v>5540246176295</v>
      </c>
      <c r="D1559" s="6">
        <v>44854</v>
      </c>
      <c r="E1559" s="8">
        <v>4455</v>
      </c>
      <c r="F1559" s="23" t="str">
        <f>IFERROR(VLOOKUP(C1559, 'Catégorie des articles'!$A:$D, 4, FALSE), "")</f>
        <v>CREMERIE</v>
      </c>
      <c r="G1559">
        <f t="shared" si="24"/>
        <v>202210</v>
      </c>
    </row>
    <row r="1560" spans="1:7" ht="12" customHeight="1">
      <c r="A1560" s="9">
        <v>44852</v>
      </c>
      <c r="B1560" s="10">
        <v>143398914</v>
      </c>
      <c r="C1560" s="3">
        <v>5540246187987</v>
      </c>
      <c r="D1560" s="9">
        <v>44854</v>
      </c>
      <c r="E1560" s="11">
        <v>3341</v>
      </c>
      <c r="F1560" s="23" t="str">
        <f>IFERROR(VLOOKUP(C1560, 'Catégorie des articles'!$A:$D, 4, FALSE), "")</f>
        <v>CREMERIE</v>
      </c>
      <c r="G1560">
        <f t="shared" si="24"/>
        <v>202210</v>
      </c>
    </row>
    <row r="1561" spans="1:7" ht="12" customHeight="1">
      <c r="A1561" s="6">
        <v>44852</v>
      </c>
      <c r="B1561" s="7">
        <v>143398914</v>
      </c>
      <c r="C1561" s="3">
        <v>5540246188200</v>
      </c>
      <c r="D1561" s="6">
        <v>44854</v>
      </c>
      <c r="E1561" s="8">
        <v>743</v>
      </c>
      <c r="F1561" s="23" t="str">
        <f>IFERROR(VLOOKUP(C1561, 'Catégorie des articles'!$A:$D, 4, FALSE), "")</f>
        <v>CREMERIE</v>
      </c>
      <c r="G1561">
        <f t="shared" si="24"/>
        <v>202210</v>
      </c>
    </row>
    <row r="1562" spans="1:7" ht="12" customHeight="1">
      <c r="A1562" s="9">
        <v>44852</v>
      </c>
      <c r="B1562" s="10">
        <v>143398915</v>
      </c>
      <c r="C1562" s="3">
        <v>5540246172669</v>
      </c>
      <c r="D1562" s="9">
        <v>44854</v>
      </c>
      <c r="E1562" s="11">
        <v>140</v>
      </c>
      <c r="F1562" s="23" t="str">
        <f>IFERROR(VLOOKUP(C1562, 'Catégorie des articles'!$A:$D, 4, FALSE), "")</f>
        <v>CREMERIE</v>
      </c>
      <c r="G1562">
        <f t="shared" si="24"/>
        <v>202210</v>
      </c>
    </row>
    <row r="1563" spans="1:7" ht="12" customHeight="1">
      <c r="A1563" s="9">
        <v>44852</v>
      </c>
      <c r="B1563" s="10">
        <v>143398937</v>
      </c>
      <c r="C1563" s="3">
        <v>5540246194632</v>
      </c>
      <c r="D1563" s="9">
        <v>44861</v>
      </c>
      <c r="E1563" s="11">
        <v>1587</v>
      </c>
      <c r="F1563" s="23" t="str">
        <f>IFERROR(VLOOKUP(C1563, 'Catégorie des articles'!$A:$D, 4, FALSE), "")</f>
        <v>BOULANGERIE</v>
      </c>
      <c r="G1563">
        <f t="shared" si="24"/>
        <v>202210</v>
      </c>
    </row>
    <row r="1564" spans="1:7" ht="12" customHeight="1">
      <c r="A1564" s="6">
        <v>44852</v>
      </c>
      <c r="B1564" s="7">
        <v>143398938</v>
      </c>
      <c r="C1564" s="3">
        <v>5540246182684</v>
      </c>
      <c r="D1564" s="6">
        <v>44860</v>
      </c>
      <c r="E1564" s="8">
        <v>232</v>
      </c>
      <c r="F1564" s="23" t="str">
        <f>IFERROR(VLOOKUP(C1564, 'Catégorie des articles'!$A:$D, 4, FALSE), "")</f>
        <v>BOULANGERIE</v>
      </c>
      <c r="G1564">
        <f t="shared" si="24"/>
        <v>202210</v>
      </c>
    </row>
    <row r="1565" spans="1:7" ht="12" customHeight="1">
      <c r="A1565" s="9">
        <v>44852</v>
      </c>
      <c r="B1565" s="10">
        <v>143398938</v>
      </c>
      <c r="C1565" s="3">
        <v>5540246183844</v>
      </c>
      <c r="D1565" s="9">
        <v>44860</v>
      </c>
      <c r="E1565" s="11">
        <v>372</v>
      </c>
      <c r="F1565" s="23" t="str">
        <f>IFERROR(VLOOKUP(C1565, 'Catégorie des articles'!$A:$D, 4, FALSE), "")</f>
        <v>BOULANGERIE</v>
      </c>
      <c r="G1565">
        <f t="shared" si="24"/>
        <v>202210</v>
      </c>
    </row>
    <row r="1566" spans="1:7" ht="12" customHeight="1">
      <c r="A1566" s="9">
        <v>44852</v>
      </c>
      <c r="B1566" s="10">
        <v>143398938</v>
      </c>
      <c r="C1566" s="3">
        <v>5540246194467</v>
      </c>
      <c r="D1566" s="9">
        <v>44860</v>
      </c>
      <c r="E1566" s="11">
        <v>32072</v>
      </c>
      <c r="F1566" s="23" t="str">
        <f>IFERROR(VLOOKUP(C1566, 'Catégorie des articles'!$A:$D, 4, FALSE), "")</f>
        <v>BOULANGERIE</v>
      </c>
      <c r="G1566">
        <f t="shared" si="24"/>
        <v>202210</v>
      </c>
    </row>
    <row r="1567" spans="1:7" ht="12" customHeight="1">
      <c r="A1567" s="9">
        <v>44852</v>
      </c>
      <c r="B1567" s="10">
        <v>143398953</v>
      </c>
      <c r="C1567" s="3">
        <v>5540246170256</v>
      </c>
      <c r="D1567" s="9">
        <v>44867</v>
      </c>
      <c r="E1567" s="11">
        <v>2822</v>
      </c>
      <c r="F1567" s="23" t="str">
        <f>IFERROR(VLOOKUP(C1567, 'Catégorie des articles'!$A:$D, 4, FALSE), "")</f>
        <v>BOULANGERIE</v>
      </c>
      <c r="G1567">
        <f t="shared" si="24"/>
        <v>202211</v>
      </c>
    </row>
    <row r="1568" spans="1:7" ht="12" customHeight="1">
      <c r="A1568" s="6">
        <v>44852</v>
      </c>
      <c r="B1568" s="7">
        <v>143398953</v>
      </c>
      <c r="C1568" s="3">
        <v>5540246171888</v>
      </c>
      <c r="D1568" s="6">
        <v>44867</v>
      </c>
      <c r="E1568" s="8">
        <v>780</v>
      </c>
      <c r="F1568" s="23" t="str">
        <f>IFERROR(VLOOKUP(C1568, 'Catégorie des articles'!$A:$D, 4, FALSE), "")</f>
        <v>BOULANGERIE</v>
      </c>
      <c r="G1568">
        <f t="shared" si="24"/>
        <v>202211</v>
      </c>
    </row>
    <row r="1569" spans="1:7" ht="12" customHeight="1">
      <c r="A1569" s="6">
        <v>44852</v>
      </c>
      <c r="B1569" s="7">
        <v>143398960</v>
      </c>
      <c r="C1569" s="3">
        <v>5540246183589</v>
      </c>
      <c r="D1569" s="6">
        <v>44861</v>
      </c>
      <c r="E1569" s="8">
        <v>650</v>
      </c>
      <c r="F1569" s="23" t="str">
        <f>IFERROR(VLOOKUP(C1569, 'Catégorie des articles'!$A:$D, 4, FALSE), "")</f>
        <v>MIX LEGUMES</v>
      </c>
      <c r="G1569">
        <f t="shared" si="24"/>
        <v>202210</v>
      </c>
    </row>
    <row r="1570" spans="1:7" ht="12" customHeight="1">
      <c r="A1570" s="9">
        <v>44852</v>
      </c>
      <c r="B1570" s="10">
        <v>143398960</v>
      </c>
      <c r="C1570" s="3">
        <v>5540246186352</v>
      </c>
      <c r="D1570" s="9">
        <v>44861</v>
      </c>
      <c r="E1570" s="11">
        <v>940</v>
      </c>
      <c r="F1570" s="23" t="str">
        <f>IFERROR(VLOOKUP(C1570, 'Catégorie des articles'!$A:$D, 4, FALSE), "")</f>
        <v>MIX LEGUMES</v>
      </c>
      <c r="G1570">
        <f t="shared" si="24"/>
        <v>202210</v>
      </c>
    </row>
    <row r="1571" spans="1:7" ht="12" customHeight="1">
      <c r="A1571" s="6">
        <v>44852</v>
      </c>
      <c r="B1571" s="7">
        <v>143398960</v>
      </c>
      <c r="C1571" s="3">
        <v>5540246194790</v>
      </c>
      <c r="D1571" s="6">
        <v>44861</v>
      </c>
      <c r="E1571" s="8">
        <v>1316</v>
      </c>
      <c r="F1571" s="23" t="str">
        <f>IFERROR(VLOOKUP(C1571, 'Catégorie des articles'!$A:$D, 4, FALSE), "")</f>
        <v>MIX LEGUMES</v>
      </c>
      <c r="G1571">
        <f t="shared" si="24"/>
        <v>202210</v>
      </c>
    </row>
    <row r="1572" spans="1:7" ht="12" customHeight="1">
      <c r="A1572" s="6">
        <v>44853</v>
      </c>
      <c r="B1572" s="7">
        <v>143398980</v>
      </c>
      <c r="C1572" s="3">
        <v>5540246187987</v>
      </c>
      <c r="D1572" s="6">
        <v>44857</v>
      </c>
      <c r="E1572" s="8">
        <v>2228</v>
      </c>
      <c r="F1572" s="23" t="str">
        <f>IFERROR(VLOOKUP(C1572, 'Catégorie des articles'!$A:$D, 4, FALSE), "")</f>
        <v>CREMERIE</v>
      </c>
      <c r="G1572">
        <f t="shared" si="24"/>
        <v>202210</v>
      </c>
    </row>
    <row r="1573" spans="1:7" ht="12" customHeight="1">
      <c r="A1573" s="9">
        <v>44853</v>
      </c>
      <c r="B1573" s="10">
        <v>143398980</v>
      </c>
      <c r="C1573" s="3">
        <v>5540246188200</v>
      </c>
      <c r="D1573" s="9">
        <v>44857</v>
      </c>
      <c r="E1573" s="11">
        <v>1485</v>
      </c>
      <c r="F1573" s="23" t="str">
        <f>IFERROR(VLOOKUP(C1573, 'Catégorie des articles'!$A:$D, 4, FALSE), "")</f>
        <v>CREMERIE</v>
      </c>
      <c r="G1573">
        <f t="shared" si="24"/>
        <v>202210</v>
      </c>
    </row>
    <row r="1574" spans="1:7" ht="12" customHeight="1">
      <c r="A1574" s="9">
        <v>44853</v>
      </c>
      <c r="B1574" s="10">
        <v>143398981</v>
      </c>
      <c r="C1574" s="3">
        <v>5540246188175</v>
      </c>
      <c r="D1574" s="9">
        <v>44857</v>
      </c>
      <c r="E1574" s="11">
        <v>186</v>
      </c>
      <c r="F1574" s="23" t="str">
        <f>IFERROR(VLOOKUP(C1574, 'Catégorie des articles'!$A:$D, 4, FALSE), "")</f>
        <v>CREMERIE</v>
      </c>
      <c r="G1574">
        <f t="shared" si="24"/>
        <v>202210</v>
      </c>
    </row>
    <row r="1575" spans="1:7" ht="12" customHeight="1">
      <c r="A1575" s="6">
        <v>44853</v>
      </c>
      <c r="B1575" s="7">
        <v>143398989</v>
      </c>
      <c r="C1575" s="3">
        <v>5540246196002</v>
      </c>
      <c r="D1575" s="6">
        <v>44880</v>
      </c>
      <c r="E1575" s="8">
        <v>845</v>
      </c>
      <c r="F1575" s="23" t="str">
        <f>IFERROR(VLOOKUP(C1575, 'Catégorie des articles'!$A:$D, 4, FALSE), "")</f>
        <v>CREMERIE</v>
      </c>
      <c r="G1575">
        <f t="shared" si="24"/>
        <v>202211</v>
      </c>
    </row>
    <row r="1576" spans="1:7" ht="12" customHeight="1">
      <c r="A1576" s="9">
        <v>44853</v>
      </c>
      <c r="B1576" s="10">
        <v>143399001</v>
      </c>
      <c r="C1576" s="3">
        <v>5540246194632</v>
      </c>
      <c r="D1576" s="9">
        <v>44864</v>
      </c>
      <c r="E1576" s="11">
        <v>669</v>
      </c>
      <c r="F1576" s="23" t="str">
        <f>IFERROR(VLOOKUP(C1576, 'Catégorie des articles'!$A:$D, 4, FALSE), "")</f>
        <v>BOULANGERIE</v>
      </c>
      <c r="G1576">
        <f t="shared" si="24"/>
        <v>202210</v>
      </c>
    </row>
    <row r="1577" spans="1:7" ht="12" customHeight="1">
      <c r="A1577" s="6">
        <v>44853</v>
      </c>
      <c r="B1577" s="7">
        <v>143399001</v>
      </c>
      <c r="C1577" s="3">
        <v>5540246195250</v>
      </c>
      <c r="D1577" s="6">
        <v>44864</v>
      </c>
      <c r="E1577" s="8">
        <v>418</v>
      </c>
      <c r="F1577" s="23" t="str">
        <f>IFERROR(VLOOKUP(C1577, 'Catégorie des articles'!$A:$D, 4, FALSE), "")</f>
        <v>BOULANGERIE</v>
      </c>
      <c r="G1577">
        <f t="shared" si="24"/>
        <v>202210</v>
      </c>
    </row>
    <row r="1578" spans="1:7" ht="12" customHeight="1">
      <c r="A1578" s="9">
        <v>44853</v>
      </c>
      <c r="B1578" s="10">
        <v>143399002</v>
      </c>
      <c r="C1578" s="3">
        <v>5540246194632</v>
      </c>
      <c r="D1578" s="9">
        <v>44866</v>
      </c>
      <c r="E1578" s="11">
        <v>2757</v>
      </c>
      <c r="F1578" s="23" t="str">
        <f>IFERROR(VLOOKUP(C1578, 'Catégorie des articles'!$A:$D, 4, FALSE), "")</f>
        <v>BOULANGERIE</v>
      </c>
      <c r="G1578">
        <f t="shared" si="24"/>
        <v>202211</v>
      </c>
    </row>
    <row r="1579" spans="1:7" ht="12" customHeight="1">
      <c r="A1579" s="9">
        <v>44853</v>
      </c>
      <c r="B1579" s="10">
        <v>143399003</v>
      </c>
      <c r="C1579" s="3">
        <v>5540246194632</v>
      </c>
      <c r="D1579" s="9">
        <v>44868</v>
      </c>
      <c r="E1579" s="11">
        <v>585</v>
      </c>
      <c r="F1579" s="23" t="str">
        <f>IFERROR(VLOOKUP(C1579, 'Catégorie des articles'!$A:$D, 4, FALSE), "")</f>
        <v>BOULANGERIE</v>
      </c>
      <c r="G1579">
        <f t="shared" si="24"/>
        <v>202211</v>
      </c>
    </row>
    <row r="1580" spans="1:7" ht="12" customHeight="1">
      <c r="A1580" s="6">
        <v>44853</v>
      </c>
      <c r="B1580" s="7">
        <v>143399003</v>
      </c>
      <c r="C1580" s="3">
        <v>5540246195250</v>
      </c>
      <c r="D1580" s="6">
        <v>44868</v>
      </c>
      <c r="E1580" s="8">
        <v>418</v>
      </c>
      <c r="F1580" s="23" t="str">
        <f>IFERROR(VLOOKUP(C1580, 'Catégorie des articles'!$A:$D, 4, FALSE), "")</f>
        <v>BOULANGERIE</v>
      </c>
      <c r="G1580">
        <f t="shared" si="24"/>
        <v>202211</v>
      </c>
    </row>
    <row r="1581" spans="1:7" ht="12" customHeight="1">
      <c r="A1581" s="9">
        <v>44854</v>
      </c>
      <c r="B1581" s="10">
        <v>143399013</v>
      </c>
      <c r="C1581" s="3">
        <v>5540246172669</v>
      </c>
      <c r="D1581" s="9">
        <v>44858</v>
      </c>
      <c r="E1581" s="11">
        <v>140</v>
      </c>
      <c r="F1581" s="23" t="str">
        <f>IFERROR(VLOOKUP(C1581, 'Catégorie des articles'!$A:$D, 4, FALSE), "")</f>
        <v>CREMERIE</v>
      </c>
      <c r="G1581">
        <f t="shared" si="24"/>
        <v>202210</v>
      </c>
    </row>
    <row r="1582" spans="1:7" ht="12" customHeight="1">
      <c r="A1582" s="9">
        <v>44854</v>
      </c>
      <c r="B1582" s="10">
        <v>143399013</v>
      </c>
      <c r="C1582" s="3">
        <v>5540246174174</v>
      </c>
      <c r="D1582" s="9">
        <v>44858</v>
      </c>
      <c r="E1582" s="11">
        <v>464</v>
      </c>
      <c r="F1582" s="23" t="str">
        <f>IFERROR(VLOOKUP(C1582, 'Catégorie des articles'!$A:$D, 4, FALSE), "")</f>
        <v>CREMERIE</v>
      </c>
      <c r="G1582">
        <f t="shared" si="24"/>
        <v>202210</v>
      </c>
    </row>
    <row r="1583" spans="1:7" ht="12" customHeight="1">
      <c r="A1583" s="6">
        <v>44854</v>
      </c>
      <c r="B1583" s="7">
        <v>143399013</v>
      </c>
      <c r="C1583" s="3">
        <v>5540246176699</v>
      </c>
      <c r="D1583" s="6">
        <v>44858</v>
      </c>
      <c r="E1583" s="8">
        <v>8352</v>
      </c>
      <c r="F1583" s="23" t="str">
        <f>IFERROR(VLOOKUP(C1583, 'Catégorie des articles'!$A:$D, 4, FALSE), "")</f>
        <v>CREMERIE</v>
      </c>
      <c r="G1583">
        <f t="shared" si="24"/>
        <v>202210</v>
      </c>
    </row>
    <row r="1584" spans="1:7" ht="12" customHeight="1">
      <c r="A1584" s="6">
        <v>44854</v>
      </c>
      <c r="B1584" s="7">
        <v>143399013</v>
      </c>
      <c r="C1584" s="3">
        <v>5540246188175</v>
      </c>
      <c r="D1584" s="6">
        <v>44858</v>
      </c>
      <c r="E1584" s="8">
        <v>232</v>
      </c>
      <c r="F1584" s="23" t="str">
        <f>IFERROR(VLOOKUP(C1584, 'Catégorie des articles'!$A:$D, 4, FALSE), "")</f>
        <v>CREMERIE</v>
      </c>
      <c r="G1584">
        <f t="shared" si="24"/>
        <v>202210</v>
      </c>
    </row>
    <row r="1585" spans="1:7" ht="12" customHeight="1">
      <c r="A1585" s="6">
        <v>44854</v>
      </c>
      <c r="B1585" s="7">
        <v>143399014</v>
      </c>
      <c r="C1585" s="3">
        <v>5540246176295</v>
      </c>
      <c r="D1585" s="6">
        <v>44858</v>
      </c>
      <c r="E1585" s="8">
        <v>7424</v>
      </c>
      <c r="F1585" s="23" t="str">
        <f>IFERROR(VLOOKUP(C1585, 'Catégorie des articles'!$A:$D, 4, FALSE), "")</f>
        <v>CREMERIE</v>
      </c>
      <c r="G1585">
        <f t="shared" si="24"/>
        <v>202210</v>
      </c>
    </row>
    <row r="1586" spans="1:7" ht="12" customHeight="1">
      <c r="A1586" s="6">
        <v>44854</v>
      </c>
      <c r="B1586" s="7">
        <v>143399014</v>
      </c>
      <c r="C1586" s="3">
        <v>5540246187987</v>
      </c>
      <c r="D1586" s="6">
        <v>44858</v>
      </c>
      <c r="E1586" s="8">
        <v>1114</v>
      </c>
      <c r="F1586" s="23" t="str">
        <f>IFERROR(VLOOKUP(C1586, 'Catégorie des articles'!$A:$D, 4, FALSE), "")</f>
        <v>CREMERIE</v>
      </c>
      <c r="G1586">
        <f t="shared" si="24"/>
        <v>202210</v>
      </c>
    </row>
    <row r="1587" spans="1:7" ht="12" customHeight="1">
      <c r="A1587" s="9">
        <v>44854</v>
      </c>
      <c r="B1587" s="10">
        <v>143399014</v>
      </c>
      <c r="C1587" s="3">
        <v>5540246188200</v>
      </c>
      <c r="D1587" s="9">
        <v>44858</v>
      </c>
      <c r="E1587" s="11">
        <v>1485</v>
      </c>
      <c r="F1587" s="23" t="str">
        <f>IFERROR(VLOOKUP(C1587, 'Catégorie des articles'!$A:$D, 4, FALSE), "")</f>
        <v>CREMERIE</v>
      </c>
      <c r="G1587">
        <f t="shared" si="24"/>
        <v>202210</v>
      </c>
    </row>
    <row r="1588" spans="1:7" ht="12" customHeight="1">
      <c r="A1588" s="9">
        <v>44854</v>
      </c>
      <c r="B1588" s="10">
        <v>143399018</v>
      </c>
      <c r="C1588" s="3">
        <v>5540246185429</v>
      </c>
      <c r="D1588" s="9">
        <v>44859</v>
      </c>
      <c r="E1588" s="11">
        <v>140</v>
      </c>
      <c r="F1588" s="23" t="str">
        <f>IFERROR(VLOOKUP(C1588, 'Catégorie des articles'!$A:$D, 4, FALSE), "")</f>
        <v>CREMERIE</v>
      </c>
      <c r="G1588">
        <f t="shared" si="24"/>
        <v>202210</v>
      </c>
    </row>
    <row r="1589" spans="1:7" ht="12" customHeight="1">
      <c r="A1589" s="6">
        <v>44854</v>
      </c>
      <c r="B1589" s="7">
        <v>143399018</v>
      </c>
      <c r="C1589" s="3">
        <v>5540246185562</v>
      </c>
      <c r="D1589" s="6">
        <v>44859</v>
      </c>
      <c r="E1589" s="8">
        <v>140</v>
      </c>
      <c r="F1589" s="23" t="str">
        <f>IFERROR(VLOOKUP(C1589, 'Catégorie des articles'!$A:$D, 4, FALSE), "")</f>
        <v>CREMERIE</v>
      </c>
      <c r="G1589">
        <f t="shared" si="24"/>
        <v>202210</v>
      </c>
    </row>
    <row r="1590" spans="1:7" ht="12" customHeight="1">
      <c r="A1590" s="6">
        <v>44854</v>
      </c>
      <c r="B1590" s="7">
        <v>143399033</v>
      </c>
      <c r="C1590" s="3">
        <v>5540246195999</v>
      </c>
      <c r="D1590" s="6">
        <v>44886</v>
      </c>
      <c r="E1590" s="8">
        <v>7517</v>
      </c>
      <c r="F1590" s="23" t="str">
        <f>IFERROR(VLOOKUP(C1590, 'Catégorie des articles'!$A:$D, 4, FALSE), "")</f>
        <v>MIX LEGUMES</v>
      </c>
      <c r="G1590">
        <f t="shared" si="24"/>
        <v>202211</v>
      </c>
    </row>
    <row r="1591" spans="1:7" ht="12" customHeight="1">
      <c r="A1591" s="9">
        <v>44854</v>
      </c>
      <c r="B1591" s="10">
        <v>143399042</v>
      </c>
      <c r="C1591" s="3">
        <v>5540246181061</v>
      </c>
      <c r="D1591" s="9">
        <v>44858</v>
      </c>
      <c r="E1591" s="11">
        <v>3308</v>
      </c>
      <c r="F1591" s="23" t="str">
        <f>IFERROR(VLOOKUP(C1591, 'Catégorie des articles'!$A:$D, 4, FALSE), "")</f>
        <v>VOLAILLE</v>
      </c>
      <c r="G1591">
        <f t="shared" si="24"/>
        <v>202210</v>
      </c>
    </row>
    <row r="1592" spans="1:7" ht="12" customHeight="1">
      <c r="A1592" s="6">
        <v>44854</v>
      </c>
      <c r="B1592" s="7">
        <v>143399042</v>
      </c>
      <c r="C1592" s="3">
        <v>5540246183547</v>
      </c>
      <c r="D1592" s="6">
        <v>44858</v>
      </c>
      <c r="E1592" s="8">
        <v>5789</v>
      </c>
      <c r="F1592" s="23" t="str">
        <f>IFERROR(VLOOKUP(C1592, 'Catégorie des articles'!$A:$D, 4, FALSE), "")</f>
        <v>VOLAILLE</v>
      </c>
      <c r="G1592">
        <f t="shared" si="24"/>
        <v>202210</v>
      </c>
    </row>
    <row r="1593" spans="1:7" ht="12" customHeight="1">
      <c r="A1593" s="9">
        <v>44854</v>
      </c>
      <c r="B1593" s="10">
        <v>143399042</v>
      </c>
      <c r="C1593" s="3">
        <v>5540246185278</v>
      </c>
      <c r="D1593" s="9">
        <v>44858</v>
      </c>
      <c r="E1593" s="11">
        <v>1120</v>
      </c>
      <c r="F1593" s="23" t="str">
        <f>IFERROR(VLOOKUP(C1593, 'Catégorie des articles'!$A:$D, 4, FALSE), "")</f>
        <v>VOLAILLE</v>
      </c>
      <c r="G1593">
        <f t="shared" si="24"/>
        <v>202210</v>
      </c>
    </row>
    <row r="1594" spans="1:7" ht="12" customHeight="1">
      <c r="A1594" s="6">
        <v>44854</v>
      </c>
      <c r="B1594" s="7">
        <v>143399043</v>
      </c>
      <c r="C1594" s="3">
        <v>5540246171759</v>
      </c>
      <c r="D1594" s="6">
        <v>44865</v>
      </c>
      <c r="E1594" s="8">
        <v>3341</v>
      </c>
      <c r="F1594" s="23" t="str">
        <f>IFERROR(VLOOKUP(C1594, 'Catégorie des articles'!$A:$D, 4, FALSE), "")</f>
        <v>MIX LEGUMES</v>
      </c>
      <c r="G1594">
        <f t="shared" si="24"/>
        <v>202210</v>
      </c>
    </row>
    <row r="1595" spans="1:7" ht="12" customHeight="1">
      <c r="A1595" s="9">
        <v>44854</v>
      </c>
      <c r="B1595" s="10">
        <v>143399043</v>
      </c>
      <c r="C1595" s="3">
        <v>5540246177133</v>
      </c>
      <c r="D1595" s="9">
        <v>44865</v>
      </c>
      <c r="E1595" s="11">
        <v>5568</v>
      </c>
      <c r="F1595" s="23" t="str">
        <f>IFERROR(VLOOKUP(C1595, 'Catégorie des articles'!$A:$D, 4, FALSE), "")</f>
        <v>MIX LEGUMES</v>
      </c>
      <c r="G1595">
        <f t="shared" si="24"/>
        <v>202210</v>
      </c>
    </row>
    <row r="1596" spans="1:7" ht="12" customHeight="1">
      <c r="A1596" s="6">
        <v>44854</v>
      </c>
      <c r="B1596" s="7">
        <v>143399043</v>
      </c>
      <c r="C1596" s="3">
        <v>5540246192148</v>
      </c>
      <c r="D1596" s="6">
        <v>44865</v>
      </c>
      <c r="E1596" s="8">
        <v>29232</v>
      </c>
      <c r="F1596" s="23" t="str">
        <f>IFERROR(VLOOKUP(C1596, 'Catégorie des articles'!$A:$D, 4, FALSE), "")</f>
        <v>MIX LEGUMES</v>
      </c>
      <c r="G1596">
        <f t="shared" si="24"/>
        <v>202210</v>
      </c>
    </row>
    <row r="1597" spans="1:7" ht="12" customHeight="1">
      <c r="A1597" s="9">
        <v>44854</v>
      </c>
      <c r="B1597" s="10">
        <v>143399044</v>
      </c>
      <c r="C1597" s="3">
        <v>5540246173906</v>
      </c>
      <c r="D1597" s="9">
        <v>44866</v>
      </c>
      <c r="E1597" s="11">
        <v>5717</v>
      </c>
      <c r="F1597" s="23" t="str">
        <f>IFERROR(VLOOKUP(C1597, 'Catégorie des articles'!$A:$D, 4, FALSE), "")</f>
        <v>VOLAILLE</v>
      </c>
      <c r="G1597">
        <f t="shared" si="24"/>
        <v>202211</v>
      </c>
    </row>
    <row r="1598" spans="1:7" ht="12" customHeight="1">
      <c r="A1598" s="6">
        <v>44854</v>
      </c>
      <c r="B1598" s="7">
        <v>143399044</v>
      </c>
      <c r="C1598" s="3">
        <v>5540246181016</v>
      </c>
      <c r="D1598" s="6">
        <v>44866</v>
      </c>
      <c r="E1598" s="8">
        <v>10691</v>
      </c>
      <c r="F1598" s="23" t="str">
        <f>IFERROR(VLOOKUP(C1598, 'Catégorie des articles'!$A:$D, 4, FALSE), "")</f>
        <v>VOLAILLE</v>
      </c>
      <c r="G1598">
        <f t="shared" si="24"/>
        <v>202211</v>
      </c>
    </row>
    <row r="1599" spans="1:7" ht="12" customHeight="1">
      <c r="A1599" s="9">
        <v>44854</v>
      </c>
      <c r="B1599" s="10">
        <v>143399048</v>
      </c>
      <c r="C1599" s="3">
        <v>5540246191594</v>
      </c>
      <c r="D1599" s="9">
        <v>44859</v>
      </c>
      <c r="E1599" s="11">
        <v>1504</v>
      </c>
      <c r="F1599" s="23" t="str">
        <f>IFERROR(VLOOKUP(C1599, 'Catégorie des articles'!$A:$D, 4, FALSE), "")</f>
        <v>CREMERIE</v>
      </c>
      <c r="G1599">
        <f t="shared" si="24"/>
        <v>202210</v>
      </c>
    </row>
    <row r="1600" spans="1:7" ht="12" customHeight="1">
      <c r="A1600" s="6">
        <v>44854</v>
      </c>
      <c r="B1600" s="7">
        <v>143399049</v>
      </c>
      <c r="C1600" s="3">
        <v>5540246175047</v>
      </c>
      <c r="D1600" s="6">
        <v>44861</v>
      </c>
      <c r="E1600" s="8">
        <v>279</v>
      </c>
      <c r="F1600" s="23" t="str">
        <f>IFERROR(VLOOKUP(C1600, 'Catégorie des articles'!$A:$D, 4, FALSE), "")</f>
        <v>CREMERIE</v>
      </c>
      <c r="G1600">
        <f t="shared" si="24"/>
        <v>202210</v>
      </c>
    </row>
    <row r="1601" spans="1:7" ht="12" customHeight="1">
      <c r="A1601" s="6">
        <v>44857</v>
      </c>
      <c r="B1601" s="7">
        <v>143409059</v>
      </c>
      <c r="C1601" s="3">
        <v>5540246174174</v>
      </c>
      <c r="D1601" s="6">
        <v>44859</v>
      </c>
      <c r="E1601" s="8">
        <v>464</v>
      </c>
      <c r="F1601" s="23" t="str">
        <f>IFERROR(VLOOKUP(C1601, 'Catégorie des articles'!$A:$D, 4, FALSE), "")</f>
        <v>CREMERIE</v>
      </c>
      <c r="G1601">
        <f t="shared" si="24"/>
        <v>202210</v>
      </c>
    </row>
    <row r="1602" spans="1:7" ht="12" customHeight="1">
      <c r="A1602" s="6">
        <v>44857</v>
      </c>
      <c r="B1602" s="7">
        <v>143409059</v>
      </c>
      <c r="C1602" s="3">
        <v>5540246176699</v>
      </c>
      <c r="D1602" s="6">
        <v>44859</v>
      </c>
      <c r="E1602" s="8">
        <v>4176</v>
      </c>
      <c r="F1602" s="23" t="str">
        <f>IFERROR(VLOOKUP(C1602, 'Catégorie des articles'!$A:$D, 4, FALSE), "")</f>
        <v>CREMERIE</v>
      </c>
      <c r="G1602">
        <f t="shared" si="24"/>
        <v>202210</v>
      </c>
    </row>
    <row r="1603" spans="1:7" ht="12" customHeight="1">
      <c r="A1603" s="9">
        <v>44857</v>
      </c>
      <c r="B1603" s="10">
        <v>143409061</v>
      </c>
      <c r="C1603" s="3">
        <v>5540246188200</v>
      </c>
      <c r="D1603" s="9">
        <v>44859</v>
      </c>
      <c r="E1603" s="11">
        <v>1485</v>
      </c>
      <c r="F1603" s="23" t="str">
        <f>IFERROR(VLOOKUP(C1603, 'Catégorie des articles'!$A:$D, 4, FALSE), "")</f>
        <v>CREMERIE</v>
      </c>
      <c r="G1603">
        <f t="shared" ref="G1603:G1666" si="25">YEAR(D1603)*100 + MONTH(D1603)</f>
        <v>202210</v>
      </c>
    </row>
    <row r="1604" spans="1:7" ht="12" customHeight="1">
      <c r="A1604" s="6">
        <v>44857</v>
      </c>
      <c r="B1604" s="7">
        <v>143409062</v>
      </c>
      <c r="C1604" s="3">
        <v>5540246195653</v>
      </c>
      <c r="D1604" s="6">
        <v>44872</v>
      </c>
      <c r="E1604" s="8">
        <v>446</v>
      </c>
      <c r="F1604" s="23" t="str">
        <f>IFERROR(VLOOKUP(C1604, 'Catégorie des articles'!$A:$D, 4, FALSE), "")</f>
        <v>EMBALLAGES</v>
      </c>
      <c r="G1604">
        <f t="shared" si="25"/>
        <v>202211</v>
      </c>
    </row>
    <row r="1605" spans="1:7" ht="12" customHeight="1">
      <c r="A1605" s="9">
        <v>44857</v>
      </c>
      <c r="B1605" s="10">
        <v>143409072</v>
      </c>
      <c r="C1605" s="3">
        <v>5540246173492</v>
      </c>
      <c r="D1605" s="9">
        <v>44861</v>
      </c>
      <c r="E1605" s="11">
        <v>9188</v>
      </c>
      <c r="F1605" s="23" t="str">
        <f>IFERROR(VLOOKUP(C1605, 'Catégorie des articles'!$A:$D, 4, FALSE), "")</f>
        <v>VOLAILLE</v>
      </c>
      <c r="G1605">
        <f t="shared" si="25"/>
        <v>202210</v>
      </c>
    </row>
    <row r="1606" spans="1:7" ht="12" customHeight="1">
      <c r="A1606" s="6">
        <v>44857</v>
      </c>
      <c r="B1606" s="7">
        <v>143409082</v>
      </c>
      <c r="C1606" s="3">
        <v>5540246177133</v>
      </c>
      <c r="D1606" s="6">
        <v>44867</v>
      </c>
      <c r="E1606" s="8">
        <v>7239</v>
      </c>
      <c r="F1606" s="23" t="str">
        <f>IFERROR(VLOOKUP(C1606, 'Catégorie des articles'!$A:$D, 4, FALSE), "")</f>
        <v>MIX LEGUMES</v>
      </c>
      <c r="G1606">
        <f t="shared" si="25"/>
        <v>202211</v>
      </c>
    </row>
    <row r="1607" spans="1:7" ht="12" customHeight="1">
      <c r="A1607" s="9">
        <v>44857</v>
      </c>
      <c r="B1607" s="10">
        <v>143409082</v>
      </c>
      <c r="C1607" s="3">
        <v>5540246192148</v>
      </c>
      <c r="D1607" s="9">
        <v>44867</v>
      </c>
      <c r="E1607" s="11">
        <v>11136</v>
      </c>
      <c r="F1607" s="23" t="str">
        <f>IFERROR(VLOOKUP(C1607, 'Catégorie des articles'!$A:$D, 4, FALSE), "")</f>
        <v>MIX LEGUMES</v>
      </c>
      <c r="G1607">
        <f t="shared" si="25"/>
        <v>202211</v>
      </c>
    </row>
    <row r="1608" spans="1:7" ht="12" customHeight="1">
      <c r="A1608" s="6">
        <v>44857</v>
      </c>
      <c r="B1608" s="7">
        <v>143409082</v>
      </c>
      <c r="C1608" s="3">
        <v>5540246192518</v>
      </c>
      <c r="D1608" s="6">
        <v>44867</v>
      </c>
      <c r="E1608" s="8">
        <v>11693</v>
      </c>
      <c r="F1608" s="23" t="str">
        <f>IFERROR(VLOOKUP(C1608, 'Catégorie des articles'!$A:$D, 4, FALSE), "")</f>
        <v>MIX LEGUMES</v>
      </c>
      <c r="G1608">
        <f t="shared" si="25"/>
        <v>202211</v>
      </c>
    </row>
    <row r="1609" spans="1:7" ht="12" customHeight="1">
      <c r="A1609" s="6">
        <v>44857</v>
      </c>
      <c r="B1609" s="7">
        <v>143409095</v>
      </c>
      <c r="C1609" s="3">
        <v>5540246196046</v>
      </c>
      <c r="D1609" s="6">
        <v>44861</v>
      </c>
      <c r="E1609" s="8">
        <v>418</v>
      </c>
      <c r="F1609" s="23" t="str">
        <f>IFERROR(VLOOKUP(C1609, 'Catégorie des articles'!$A:$D, 4, FALSE), "")</f>
        <v>BOULANGERIE</v>
      </c>
      <c r="G1609">
        <f t="shared" si="25"/>
        <v>202210</v>
      </c>
    </row>
    <row r="1610" spans="1:7" ht="12" customHeight="1">
      <c r="A1610" s="6">
        <v>44858</v>
      </c>
      <c r="B1610" s="7">
        <v>143409121</v>
      </c>
      <c r="C1610" s="3">
        <v>5540246191598</v>
      </c>
      <c r="D1610" s="6">
        <v>44861</v>
      </c>
      <c r="E1610" s="8">
        <v>1601</v>
      </c>
      <c r="F1610" s="23" t="str">
        <f>IFERROR(VLOOKUP(C1610, 'Catégorie des articles'!$A:$D, 4, FALSE), "")</f>
        <v>CREMERIE</v>
      </c>
      <c r="G1610">
        <f t="shared" si="25"/>
        <v>202210</v>
      </c>
    </row>
    <row r="1611" spans="1:7" ht="12" customHeight="1">
      <c r="A1611" s="6">
        <v>44858</v>
      </c>
      <c r="B1611" s="7">
        <v>143409134</v>
      </c>
      <c r="C1611" s="3">
        <v>5540246183130</v>
      </c>
      <c r="D1611" s="6">
        <v>44873</v>
      </c>
      <c r="E1611" s="8">
        <v>4511</v>
      </c>
      <c r="F1611" s="23" t="str">
        <f>IFERROR(VLOOKUP(C1611, 'Catégorie des articles'!$A:$D, 4, FALSE), "")</f>
        <v>MIX LEGUMES</v>
      </c>
      <c r="G1611">
        <f t="shared" si="25"/>
        <v>202211</v>
      </c>
    </row>
    <row r="1612" spans="1:7" ht="12" customHeight="1">
      <c r="A1612" s="9">
        <v>44858</v>
      </c>
      <c r="B1612" s="10">
        <v>143409134</v>
      </c>
      <c r="C1612" s="3">
        <v>5540246183538</v>
      </c>
      <c r="D1612" s="9">
        <v>44873</v>
      </c>
      <c r="E1612" s="11">
        <v>919</v>
      </c>
      <c r="F1612" s="23" t="str">
        <f>IFERROR(VLOOKUP(C1612, 'Catégorie des articles'!$A:$D, 4, FALSE), "")</f>
        <v>MIX LEGUMES</v>
      </c>
      <c r="G1612">
        <f t="shared" si="25"/>
        <v>202211</v>
      </c>
    </row>
    <row r="1613" spans="1:7" ht="12" customHeight="1">
      <c r="A1613" s="6">
        <v>44858</v>
      </c>
      <c r="B1613" s="7">
        <v>143409134</v>
      </c>
      <c r="C1613" s="3">
        <v>5540246192571</v>
      </c>
      <c r="D1613" s="6">
        <v>44873</v>
      </c>
      <c r="E1613" s="8">
        <v>669</v>
      </c>
      <c r="F1613" s="23" t="str">
        <f>IFERROR(VLOOKUP(C1613, 'Catégorie des articles'!$A:$D, 4, FALSE), "")</f>
        <v>MIX LEGUMES</v>
      </c>
      <c r="G1613">
        <f t="shared" si="25"/>
        <v>202211</v>
      </c>
    </row>
    <row r="1614" spans="1:7" ht="12" customHeight="1">
      <c r="A1614" s="9">
        <v>44858</v>
      </c>
      <c r="B1614" s="10">
        <v>143409136</v>
      </c>
      <c r="C1614" s="3">
        <v>5540246192148</v>
      </c>
      <c r="D1614" s="9">
        <v>44871</v>
      </c>
      <c r="E1614" s="11">
        <v>45936</v>
      </c>
      <c r="F1614" s="23" t="str">
        <f>IFERROR(VLOOKUP(C1614, 'Catégorie des articles'!$A:$D, 4, FALSE), "")</f>
        <v>MIX LEGUMES</v>
      </c>
      <c r="G1614">
        <f t="shared" si="25"/>
        <v>202211</v>
      </c>
    </row>
    <row r="1615" spans="1:7" ht="12" customHeight="1">
      <c r="A1615" s="9">
        <v>44858</v>
      </c>
      <c r="B1615" s="10">
        <v>143409137</v>
      </c>
      <c r="C1615" s="3">
        <v>5540246171759</v>
      </c>
      <c r="D1615" s="9">
        <v>44873</v>
      </c>
      <c r="E1615" s="11">
        <v>3341</v>
      </c>
      <c r="F1615" s="23" t="str">
        <f>IFERROR(VLOOKUP(C1615, 'Catégorie des articles'!$A:$D, 4, FALSE), "")</f>
        <v>MIX LEGUMES</v>
      </c>
      <c r="G1615">
        <f t="shared" si="25"/>
        <v>202211</v>
      </c>
    </row>
    <row r="1616" spans="1:7" ht="12" customHeight="1">
      <c r="A1616" s="6">
        <v>44858</v>
      </c>
      <c r="B1616" s="7">
        <v>143409137</v>
      </c>
      <c r="C1616" s="3">
        <v>5540246177133</v>
      </c>
      <c r="D1616" s="6">
        <v>44873</v>
      </c>
      <c r="E1616" s="8">
        <v>11693</v>
      </c>
      <c r="F1616" s="23" t="str">
        <f>IFERROR(VLOOKUP(C1616, 'Catégorie des articles'!$A:$D, 4, FALSE), "")</f>
        <v>MIX LEGUMES</v>
      </c>
      <c r="G1616">
        <f t="shared" si="25"/>
        <v>202211</v>
      </c>
    </row>
    <row r="1617" spans="1:7" ht="12" customHeight="1">
      <c r="A1617" s="9">
        <v>44858</v>
      </c>
      <c r="B1617" s="10">
        <v>143409137</v>
      </c>
      <c r="C1617" s="3">
        <v>5540246192518</v>
      </c>
      <c r="D1617" s="9">
        <v>44873</v>
      </c>
      <c r="E1617" s="11">
        <v>2924</v>
      </c>
      <c r="F1617" s="23" t="str">
        <f>IFERROR(VLOOKUP(C1617, 'Catégorie des articles'!$A:$D, 4, FALSE), "")</f>
        <v>MIX LEGUMES</v>
      </c>
      <c r="G1617">
        <f t="shared" si="25"/>
        <v>202211</v>
      </c>
    </row>
    <row r="1618" spans="1:7" ht="12" customHeight="1">
      <c r="A1618" s="9">
        <v>44858</v>
      </c>
      <c r="B1618" s="10">
        <v>143409140</v>
      </c>
      <c r="C1618" s="3">
        <v>5540246183558</v>
      </c>
      <c r="D1618" s="9">
        <v>44872</v>
      </c>
      <c r="E1618" s="11">
        <v>5197</v>
      </c>
      <c r="F1618" s="23" t="str">
        <f>IFERROR(VLOOKUP(C1618, 'Catégorie des articles'!$A:$D, 4, FALSE), "")</f>
        <v>MIX LEGUMES</v>
      </c>
      <c r="G1618">
        <f t="shared" si="25"/>
        <v>202211</v>
      </c>
    </row>
    <row r="1619" spans="1:7" ht="12" customHeight="1">
      <c r="A1619" s="6">
        <v>44858</v>
      </c>
      <c r="B1619" s="7">
        <v>143409140</v>
      </c>
      <c r="C1619" s="3">
        <v>5540246183560</v>
      </c>
      <c r="D1619" s="6">
        <v>44872</v>
      </c>
      <c r="E1619" s="8">
        <v>446</v>
      </c>
      <c r="F1619" s="23" t="str">
        <f>IFERROR(VLOOKUP(C1619, 'Catégorie des articles'!$A:$D, 4, FALSE), "")</f>
        <v>MIX LEGUMES</v>
      </c>
      <c r="G1619">
        <f t="shared" si="25"/>
        <v>202211</v>
      </c>
    </row>
    <row r="1620" spans="1:7" ht="12" customHeight="1">
      <c r="A1620" s="9">
        <v>44858</v>
      </c>
      <c r="B1620" s="10">
        <v>143409140</v>
      </c>
      <c r="C1620" s="3">
        <v>5540246192209</v>
      </c>
      <c r="D1620" s="9">
        <v>44872</v>
      </c>
      <c r="E1620" s="11">
        <v>2228</v>
      </c>
      <c r="F1620" s="23" t="str">
        <f>IFERROR(VLOOKUP(C1620, 'Catégorie des articles'!$A:$D, 4, FALSE), "")</f>
        <v>MIX LEGUMES</v>
      </c>
      <c r="G1620">
        <f t="shared" si="25"/>
        <v>202211</v>
      </c>
    </row>
    <row r="1621" spans="1:7" ht="12" customHeight="1">
      <c r="A1621" s="6">
        <v>44858</v>
      </c>
      <c r="B1621" s="7">
        <v>143409140</v>
      </c>
      <c r="C1621" s="3">
        <v>5540246192462</v>
      </c>
      <c r="D1621" s="6">
        <v>44872</v>
      </c>
      <c r="E1621" s="8">
        <v>1114</v>
      </c>
      <c r="F1621" s="23" t="str">
        <f>IFERROR(VLOOKUP(C1621, 'Catégorie des articles'!$A:$D, 4, FALSE), "")</f>
        <v>MIX LEGUMES</v>
      </c>
      <c r="G1621">
        <f t="shared" si="25"/>
        <v>202211</v>
      </c>
    </row>
    <row r="1622" spans="1:7" ht="12" customHeight="1">
      <c r="A1622" s="9">
        <v>44858</v>
      </c>
      <c r="B1622" s="10">
        <v>143409140</v>
      </c>
      <c r="C1622" s="3">
        <v>5540246192594</v>
      </c>
      <c r="D1622" s="9">
        <v>44872</v>
      </c>
      <c r="E1622" s="11">
        <v>743</v>
      </c>
      <c r="F1622" s="23" t="str">
        <f>IFERROR(VLOOKUP(C1622, 'Catégorie des articles'!$A:$D, 4, FALSE), "")</f>
        <v>MIX LEGUMES</v>
      </c>
      <c r="G1622">
        <f t="shared" si="25"/>
        <v>202211</v>
      </c>
    </row>
    <row r="1623" spans="1:7" ht="12" customHeight="1">
      <c r="A1623" s="6">
        <v>44858</v>
      </c>
      <c r="B1623" s="7">
        <v>143409142</v>
      </c>
      <c r="C1623" s="3">
        <v>5540246183589</v>
      </c>
      <c r="D1623" s="6">
        <v>44874</v>
      </c>
      <c r="E1623" s="8">
        <v>1949</v>
      </c>
      <c r="F1623" s="23" t="str">
        <f>IFERROR(VLOOKUP(C1623, 'Catégorie des articles'!$A:$D, 4, FALSE), "")</f>
        <v>MIX LEGUMES</v>
      </c>
      <c r="G1623">
        <f t="shared" si="25"/>
        <v>202211</v>
      </c>
    </row>
    <row r="1624" spans="1:7" ht="12" customHeight="1">
      <c r="A1624" s="6">
        <v>44858</v>
      </c>
      <c r="B1624" s="7">
        <v>143409154</v>
      </c>
      <c r="C1624" s="3">
        <v>5540246180522</v>
      </c>
      <c r="D1624" s="6">
        <v>44868</v>
      </c>
      <c r="E1624" s="8">
        <v>1114</v>
      </c>
      <c r="F1624" s="23" t="str">
        <f>IFERROR(VLOOKUP(C1624, 'Catégorie des articles'!$A:$D, 4, FALSE), "")</f>
        <v>BOULANGERIE</v>
      </c>
      <c r="G1624">
        <f t="shared" si="25"/>
        <v>202211</v>
      </c>
    </row>
    <row r="1625" spans="1:7" ht="12" customHeight="1">
      <c r="A1625" s="9">
        <v>44858</v>
      </c>
      <c r="B1625" s="10">
        <v>143409155</v>
      </c>
      <c r="C1625" s="3">
        <v>5540246182684</v>
      </c>
      <c r="D1625" s="9">
        <v>44879</v>
      </c>
      <c r="E1625" s="11">
        <v>232</v>
      </c>
      <c r="F1625" s="23" t="str">
        <f>IFERROR(VLOOKUP(C1625, 'Catégorie des articles'!$A:$D, 4, FALSE), "")</f>
        <v>BOULANGERIE</v>
      </c>
      <c r="G1625">
        <f t="shared" si="25"/>
        <v>202211</v>
      </c>
    </row>
    <row r="1626" spans="1:7" ht="12" customHeight="1">
      <c r="A1626" s="9">
        <v>44858</v>
      </c>
      <c r="B1626" s="10">
        <v>143409155</v>
      </c>
      <c r="C1626" s="3">
        <v>5540246194467</v>
      </c>
      <c r="D1626" s="9">
        <v>44879</v>
      </c>
      <c r="E1626" s="11">
        <v>42095</v>
      </c>
      <c r="F1626" s="23" t="str">
        <f>IFERROR(VLOOKUP(C1626, 'Catégorie des articles'!$A:$D, 4, FALSE), "")</f>
        <v>BOULANGERIE</v>
      </c>
      <c r="G1626">
        <f t="shared" si="25"/>
        <v>202211</v>
      </c>
    </row>
    <row r="1627" spans="1:7" ht="12" customHeight="1">
      <c r="A1627" s="6">
        <v>44859</v>
      </c>
      <c r="B1627" s="7">
        <v>143409164</v>
      </c>
      <c r="C1627" s="3">
        <v>5540246193316</v>
      </c>
      <c r="D1627" s="6">
        <v>44879</v>
      </c>
      <c r="E1627" s="8">
        <v>780</v>
      </c>
      <c r="F1627" s="23" t="str">
        <f>IFERROR(VLOOKUP(C1627, 'Catégorie des articles'!$A:$D, 4, FALSE), "")</f>
        <v>BOULANGERIE</v>
      </c>
      <c r="G1627">
        <f t="shared" si="25"/>
        <v>202211</v>
      </c>
    </row>
    <row r="1628" spans="1:7" ht="12" customHeight="1">
      <c r="A1628" s="9">
        <v>44859</v>
      </c>
      <c r="B1628" s="10">
        <v>143409166</v>
      </c>
      <c r="C1628" s="3">
        <v>5540246176295</v>
      </c>
      <c r="D1628" s="9">
        <v>44861</v>
      </c>
      <c r="E1628" s="11">
        <v>11136</v>
      </c>
      <c r="F1628" s="23" t="str">
        <f>IFERROR(VLOOKUP(C1628, 'Catégorie des articles'!$A:$D, 4, FALSE), "")</f>
        <v>CREMERIE</v>
      </c>
      <c r="G1628">
        <f t="shared" si="25"/>
        <v>202210</v>
      </c>
    </row>
    <row r="1629" spans="1:7" ht="12" customHeight="1">
      <c r="A1629" s="6">
        <v>44859</v>
      </c>
      <c r="B1629" s="7">
        <v>143409166</v>
      </c>
      <c r="C1629" s="3">
        <v>5540246187987</v>
      </c>
      <c r="D1629" s="6">
        <v>44861</v>
      </c>
      <c r="E1629" s="8">
        <v>6682</v>
      </c>
      <c r="F1629" s="23" t="str">
        <f>IFERROR(VLOOKUP(C1629, 'Catégorie des articles'!$A:$D, 4, FALSE), "")</f>
        <v>CREMERIE</v>
      </c>
      <c r="G1629">
        <f t="shared" si="25"/>
        <v>202210</v>
      </c>
    </row>
    <row r="1630" spans="1:7" ht="12" customHeight="1">
      <c r="A1630" s="9">
        <v>44859</v>
      </c>
      <c r="B1630" s="10">
        <v>143409166</v>
      </c>
      <c r="C1630" s="3">
        <v>5540246188200</v>
      </c>
      <c r="D1630" s="9">
        <v>44861</v>
      </c>
      <c r="E1630" s="11">
        <v>1485</v>
      </c>
      <c r="F1630" s="23" t="str">
        <f>IFERROR(VLOOKUP(C1630, 'Catégorie des articles'!$A:$D, 4, FALSE), "")</f>
        <v>CREMERIE</v>
      </c>
      <c r="G1630">
        <f t="shared" si="25"/>
        <v>202210</v>
      </c>
    </row>
    <row r="1631" spans="1:7" ht="12" customHeight="1">
      <c r="A1631" s="6">
        <v>44859</v>
      </c>
      <c r="B1631" s="7">
        <v>143409167</v>
      </c>
      <c r="C1631" s="3">
        <v>5540246176699</v>
      </c>
      <c r="D1631" s="6">
        <v>44861</v>
      </c>
      <c r="E1631" s="8">
        <v>4176</v>
      </c>
      <c r="F1631" s="23" t="str">
        <f>IFERROR(VLOOKUP(C1631, 'Catégorie des articles'!$A:$D, 4, FALSE), "")</f>
        <v>CREMERIE</v>
      </c>
      <c r="G1631">
        <f t="shared" si="25"/>
        <v>202210</v>
      </c>
    </row>
    <row r="1632" spans="1:7" ht="12" customHeight="1">
      <c r="A1632" s="9">
        <v>44859</v>
      </c>
      <c r="B1632" s="10">
        <v>143409167</v>
      </c>
      <c r="C1632" s="3">
        <v>5540246192102</v>
      </c>
      <c r="D1632" s="9">
        <v>44861</v>
      </c>
      <c r="E1632" s="11">
        <v>2005</v>
      </c>
      <c r="F1632" s="23" t="str">
        <f>IFERROR(VLOOKUP(C1632, 'Catégorie des articles'!$A:$D, 4, FALSE), "")</f>
        <v>CREMERIE</v>
      </c>
      <c r="G1632">
        <f t="shared" si="25"/>
        <v>202210</v>
      </c>
    </row>
    <row r="1633" spans="1:7" ht="12" customHeight="1">
      <c r="A1633" s="6">
        <v>44859</v>
      </c>
      <c r="B1633" s="7">
        <v>143409168</v>
      </c>
      <c r="C1633" s="3">
        <v>5540246186325</v>
      </c>
      <c r="D1633" s="6">
        <v>44866</v>
      </c>
      <c r="E1633" s="8">
        <v>140</v>
      </c>
      <c r="F1633" s="23" t="str">
        <f>IFERROR(VLOOKUP(C1633, 'Catégorie des articles'!$A:$D, 4, FALSE), "")</f>
        <v>CREMERIE</v>
      </c>
      <c r="G1633">
        <f t="shared" si="25"/>
        <v>202211</v>
      </c>
    </row>
    <row r="1634" spans="1:7" ht="12" customHeight="1">
      <c r="A1634" s="6">
        <v>44859</v>
      </c>
      <c r="B1634" s="7">
        <v>143409176</v>
      </c>
      <c r="C1634" s="3">
        <v>5540246194632</v>
      </c>
      <c r="D1634" s="6">
        <v>44872</v>
      </c>
      <c r="E1634" s="8">
        <v>1253</v>
      </c>
      <c r="F1634" s="23" t="str">
        <f>IFERROR(VLOOKUP(C1634, 'Catégorie des articles'!$A:$D, 4, FALSE), "")</f>
        <v>BOULANGERIE</v>
      </c>
      <c r="G1634">
        <f t="shared" si="25"/>
        <v>202211</v>
      </c>
    </row>
    <row r="1635" spans="1:7" ht="12" customHeight="1">
      <c r="A1635" s="9">
        <v>44859</v>
      </c>
      <c r="B1635" s="10">
        <v>143409176</v>
      </c>
      <c r="C1635" s="3">
        <v>5540246195250</v>
      </c>
      <c r="D1635" s="9">
        <v>44872</v>
      </c>
      <c r="E1635" s="11">
        <v>168</v>
      </c>
      <c r="F1635" s="23" t="str">
        <f>IFERROR(VLOOKUP(C1635, 'Catégorie des articles'!$A:$D, 4, FALSE), "")</f>
        <v>BOULANGERIE</v>
      </c>
      <c r="G1635">
        <f t="shared" si="25"/>
        <v>202211</v>
      </c>
    </row>
    <row r="1636" spans="1:7" ht="12" customHeight="1">
      <c r="A1636" s="6">
        <v>44859</v>
      </c>
      <c r="B1636" s="7">
        <v>143409176</v>
      </c>
      <c r="C1636" s="3">
        <v>5540246196046</v>
      </c>
      <c r="D1636" s="6">
        <v>44872</v>
      </c>
      <c r="E1636" s="8">
        <v>251</v>
      </c>
      <c r="F1636" s="23" t="str">
        <f>IFERROR(VLOOKUP(C1636, 'Catégorie des articles'!$A:$D, 4, FALSE), "")</f>
        <v>BOULANGERIE</v>
      </c>
      <c r="G1636">
        <f t="shared" si="25"/>
        <v>202211</v>
      </c>
    </row>
    <row r="1637" spans="1:7" ht="12" customHeight="1">
      <c r="A1637" s="9">
        <v>44859</v>
      </c>
      <c r="B1637" s="10">
        <v>143409186</v>
      </c>
      <c r="C1637" s="3">
        <v>5540246170256</v>
      </c>
      <c r="D1637" s="9">
        <v>44873</v>
      </c>
      <c r="E1637" s="11">
        <v>2822</v>
      </c>
      <c r="F1637" s="23" t="str">
        <f>IFERROR(VLOOKUP(C1637, 'Catégorie des articles'!$A:$D, 4, FALSE), "")</f>
        <v>BOULANGERIE</v>
      </c>
      <c r="G1637">
        <f t="shared" si="25"/>
        <v>202211</v>
      </c>
    </row>
    <row r="1638" spans="1:7" ht="12" customHeight="1">
      <c r="A1638" s="6">
        <v>44859</v>
      </c>
      <c r="B1638" s="7">
        <v>143409186</v>
      </c>
      <c r="C1638" s="3">
        <v>5540246171888</v>
      </c>
      <c r="D1638" s="6">
        <v>44873</v>
      </c>
      <c r="E1638" s="8">
        <v>780</v>
      </c>
      <c r="F1638" s="23" t="str">
        <f>IFERROR(VLOOKUP(C1638, 'Catégorie des articles'!$A:$D, 4, FALSE), "")</f>
        <v>BOULANGERIE</v>
      </c>
      <c r="G1638">
        <f t="shared" si="25"/>
        <v>202211</v>
      </c>
    </row>
    <row r="1639" spans="1:7" ht="12" customHeight="1">
      <c r="A1639" s="6">
        <v>44859</v>
      </c>
      <c r="B1639" s="7">
        <v>143409188</v>
      </c>
      <c r="C1639" s="3">
        <v>5540246181061</v>
      </c>
      <c r="D1639" s="6">
        <v>44865</v>
      </c>
      <c r="E1639" s="8">
        <v>3446</v>
      </c>
      <c r="F1639" s="23" t="str">
        <f>IFERROR(VLOOKUP(C1639, 'Catégorie des articles'!$A:$D, 4, FALSE), "")</f>
        <v>VOLAILLE</v>
      </c>
      <c r="G1639">
        <f t="shared" si="25"/>
        <v>202210</v>
      </c>
    </row>
    <row r="1640" spans="1:7" ht="12" customHeight="1">
      <c r="A1640" s="9">
        <v>44859</v>
      </c>
      <c r="B1640" s="10">
        <v>143409188</v>
      </c>
      <c r="C1640" s="3">
        <v>5540246185278</v>
      </c>
      <c r="D1640" s="9">
        <v>44865</v>
      </c>
      <c r="E1640" s="11">
        <v>1120</v>
      </c>
      <c r="F1640" s="23" t="str">
        <f>IFERROR(VLOOKUP(C1640, 'Catégorie des articles'!$A:$D, 4, FALSE), "")</f>
        <v>VOLAILLE</v>
      </c>
      <c r="G1640">
        <f t="shared" si="25"/>
        <v>202210</v>
      </c>
    </row>
    <row r="1641" spans="1:7" ht="12" customHeight="1">
      <c r="A1641" s="6">
        <v>44859</v>
      </c>
      <c r="B1641" s="7">
        <v>143409204</v>
      </c>
      <c r="C1641" s="3">
        <v>5540246187995</v>
      </c>
      <c r="D1641" s="6">
        <v>44874</v>
      </c>
      <c r="E1641" s="8">
        <v>2135</v>
      </c>
      <c r="F1641" s="23" t="str">
        <f>IFERROR(VLOOKUP(C1641, 'Catégorie des articles'!$A:$D, 4, FALSE), "")</f>
        <v>EMBALLAGES</v>
      </c>
      <c r="G1641">
        <f t="shared" si="25"/>
        <v>202211</v>
      </c>
    </row>
    <row r="1642" spans="1:7" ht="12" customHeight="1">
      <c r="A1642" s="9">
        <v>44859</v>
      </c>
      <c r="B1642" s="10">
        <v>143409204</v>
      </c>
      <c r="C1642" s="3">
        <v>5540246187998</v>
      </c>
      <c r="D1642" s="9">
        <v>44874</v>
      </c>
      <c r="E1642" s="11">
        <v>1230</v>
      </c>
      <c r="F1642" s="23" t="str">
        <f>IFERROR(VLOOKUP(C1642, 'Catégorie des articles'!$A:$D, 4, FALSE), "")</f>
        <v>EMBALLAGES</v>
      </c>
      <c r="G1642">
        <f t="shared" si="25"/>
        <v>202211</v>
      </c>
    </row>
    <row r="1643" spans="1:7" ht="12" customHeight="1">
      <c r="A1643" s="6">
        <v>44860</v>
      </c>
      <c r="B1643" s="7">
        <v>143409205</v>
      </c>
      <c r="C1643" s="3">
        <v>5540246196092</v>
      </c>
      <c r="D1643" s="6">
        <v>44934</v>
      </c>
      <c r="E1643" s="8">
        <v>3620</v>
      </c>
      <c r="F1643" s="23" t="str">
        <f>IFERROR(VLOOKUP(C1643, 'Catégorie des articles'!$A:$D, 4, FALSE), "")</f>
        <v>VOLAILLE</v>
      </c>
      <c r="G1643">
        <f t="shared" si="25"/>
        <v>202301</v>
      </c>
    </row>
    <row r="1644" spans="1:7" ht="12" customHeight="1">
      <c r="A1644" s="6">
        <v>44860</v>
      </c>
      <c r="B1644" s="7">
        <v>143409209</v>
      </c>
      <c r="C1644" s="3">
        <v>5540246172978</v>
      </c>
      <c r="D1644" s="6">
        <v>44864</v>
      </c>
      <c r="E1644" s="8">
        <v>2506</v>
      </c>
      <c r="F1644" s="23" t="str">
        <f>IFERROR(VLOOKUP(C1644, 'Catégorie des articles'!$A:$D, 4, FALSE), "")</f>
        <v>CREMERIE</v>
      </c>
      <c r="G1644">
        <f t="shared" si="25"/>
        <v>202210</v>
      </c>
    </row>
    <row r="1645" spans="1:7" ht="12" customHeight="1">
      <c r="A1645" s="6">
        <v>44860</v>
      </c>
      <c r="B1645" s="7">
        <v>143409209</v>
      </c>
      <c r="C1645" s="3">
        <v>5540246174174</v>
      </c>
      <c r="D1645" s="6">
        <v>44864</v>
      </c>
      <c r="E1645" s="8">
        <v>232</v>
      </c>
      <c r="F1645" s="23" t="str">
        <f>IFERROR(VLOOKUP(C1645, 'Catégorie des articles'!$A:$D, 4, FALSE), "")</f>
        <v>CREMERIE</v>
      </c>
      <c r="G1645">
        <f t="shared" si="25"/>
        <v>202210</v>
      </c>
    </row>
    <row r="1646" spans="1:7" ht="12" customHeight="1">
      <c r="A1646" s="6">
        <v>44860</v>
      </c>
      <c r="B1646" s="7">
        <v>143409209</v>
      </c>
      <c r="C1646" s="3">
        <v>5540246176699</v>
      </c>
      <c r="D1646" s="6">
        <v>44864</v>
      </c>
      <c r="E1646" s="8">
        <v>4176</v>
      </c>
      <c r="F1646" s="23" t="str">
        <f>IFERROR(VLOOKUP(C1646, 'Catégorie des articles'!$A:$D, 4, FALSE), "")</f>
        <v>CREMERIE</v>
      </c>
      <c r="G1646">
        <f t="shared" si="25"/>
        <v>202210</v>
      </c>
    </row>
    <row r="1647" spans="1:7" ht="12" customHeight="1">
      <c r="A1647" s="6">
        <v>44860</v>
      </c>
      <c r="B1647" s="7">
        <v>143409211</v>
      </c>
      <c r="C1647" s="3">
        <v>5540246176295</v>
      </c>
      <c r="D1647" s="6">
        <v>44864</v>
      </c>
      <c r="E1647" s="8">
        <v>4455</v>
      </c>
      <c r="F1647" s="23" t="str">
        <f>IFERROR(VLOOKUP(C1647, 'Catégorie des articles'!$A:$D, 4, FALSE), "")</f>
        <v>CREMERIE</v>
      </c>
      <c r="G1647">
        <f t="shared" si="25"/>
        <v>202210</v>
      </c>
    </row>
    <row r="1648" spans="1:7" ht="12" customHeight="1">
      <c r="A1648" s="6">
        <v>44860</v>
      </c>
      <c r="B1648" s="7">
        <v>143409211</v>
      </c>
      <c r="C1648" s="3">
        <v>5540246187987</v>
      </c>
      <c r="D1648" s="6">
        <v>44864</v>
      </c>
      <c r="E1648" s="8">
        <v>4455</v>
      </c>
      <c r="F1648" s="23" t="str">
        <f>IFERROR(VLOOKUP(C1648, 'Catégorie des articles'!$A:$D, 4, FALSE), "")</f>
        <v>CREMERIE</v>
      </c>
      <c r="G1648">
        <f t="shared" si="25"/>
        <v>202210</v>
      </c>
    </row>
    <row r="1649" spans="1:7" ht="12" customHeight="1">
      <c r="A1649" s="6">
        <v>44860</v>
      </c>
      <c r="B1649" s="7">
        <v>143409216</v>
      </c>
      <c r="C1649" s="3">
        <v>5540246175049</v>
      </c>
      <c r="D1649" s="6">
        <v>44868</v>
      </c>
      <c r="E1649" s="8">
        <v>557</v>
      </c>
      <c r="F1649" s="23" t="str">
        <f>IFERROR(VLOOKUP(C1649, 'Catégorie des articles'!$A:$D, 4, FALSE), "")</f>
        <v>CREMERIE</v>
      </c>
      <c r="G1649">
        <f t="shared" si="25"/>
        <v>202211</v>
      </c>
    </row>
    <row r="1650" spans="1:7" ht="12" customHeight="1">
      <c r="A1650" s="9">
        <v>44860</v>
      </c>
      <c r="B1650" s="10">
        <v>143409216</v>
      </c>
      <c r="C1650" s="3">
        <v>5540246190743</v>
      </c>
      <c r="D1650" s="9">
        <v>44868</v>
      </c>
      <c r="E1650" s="11">
        <v>418</v>
      </c>
      <c r="F1650" s="23" t="str">
        <f>IFERROR(VLOOKUP(C1650, 'Catégorie des articles'!$A:$D, 4, FALSE), "")</f>
        <v>CREMERIE</v>
      </c>
      <c r="G1650">
        <f t="shared" si="25"/>
        <v>202211</v>
      </c>
    </row>
    <row r="1651" spans="1:7" ht="12" customHeight="1">
      <c r="A1651" s="9">
        <v>44860</v>
      </c>
      <c r="B1651" s="10">
        <v>143409224</v>
      </c>
      <c r="C1651" s="3">
        <v>5540246196092</v>
      </c>
      <c r="D1651" s="9">
        <v>44866</v>
      </c>
      <c r="E1651" s="11">
        <v>4826</v>
      </c>
      <c r="F1651" s="23" t="str">
        <f>IFERROR(VLOOKUP(C1651, 'Catégorie des articles'!$A:$D, 4, FALSE), "")</f>
        <v>VOLAILLE</v>
      </c>
      <c r="G1651">
        <f t="shared" si="25"/>
        <v>202211</v>
      </c>
    </row>
    <row r="1652" spans="1:7" ht="12" customHeight="1">
      <c r="A1652" s="9">
        <v>44860</v>
      </c>
      <c r="B1652" s="10">
        <v>143409235</v>
      </c>
      <c r="C1652" s="3">
        <v>5540246183547</v>
      </c>
      <c r="D1652" s="9">
        <v>44872</v>
      </c>
      <c r="E1652" s="11">
        <v>11136</v>
      </c>
      <c r="F1652" s="23" t="str">
        <f>IFERROR(VLOOKUP(C1652, 'Catégorie des articles'!$A:$D, 4, FALSE), "")</f>
        <v>VOLAILLE</v>
      </c>
      <c r="G1652">
        <f t="shared" si="25"/>
        <v>202211</v>
      </c>
    </row>
    <row r="1653" spans="1:7" ht="12" customHeight="1">
      <c r="A1653" s="9">
        <v>44860</v>
      </c>
      <c r="B1653" s="10">
        <v>143409237</v>
      </c>
      <c r="C1653" s="3">
        <v>5540246196065</v>
      </c>
      <c r="D1653" s="9">
        <v>44881</v>
      </c>
      <c r="E1653" s="11">
        <v>891</v>
      </c>
      <c r="F1653" s="23" t="str">
        <f>IFERROR(VLOOKUP(C1653, 'Catégorie des articles'!$A:$D, 4, FALSE), "")</f>
        <v>BOULANGERIE</v>
      </c>
      <c r="G1653">
        <f t="shared" si="25"/>
        <v>202211</v>
      </c>
    </row>
    <row r="1654" spans="1:7" ht="12" customHeight="1">
      <c r="A1654" s="9">
        <v>44861</v>
      </c>
      <c r="B1654" s="10">
        <v>143409250</v>
      </c>
      <c r="C1654" s="3">
        <v>5540246176699</v>
      </c>
      <c r="D1654" s="9">
        <v>44865</v>
      </c>
      <c r="E1654" s="11">
        <v>4176</v>
      </c>
      <c r="F1654" s="23" t="str">
        <f>IFERROR(VLOOKUP(C1654, 'Catégorie des articles'!$A:$D, 4, FALSE), "")</f>
        <v>CREMERIE</v>
      </c>
      <c r="G1654">
        <f t="shared" si="25"/>
        <v>202210</v>
      </c>
    </row>
    <row r="1655" spans="1:7" ht="12" customHeight="1">
      <c r="A1655" s="9">
        <v>44861</v>
      </c>
      <c r="B1655" s="10">
        <v>143409251</v>
      </c>
      <c r="C1655" s="3">
        <v>5540246171933</v>
      </c>
      <c r="D1655" s="9">
        <v>44865</v>
      </c>
      <c r="E1655" s="11">
        <v>2228</v>
      </c>
      <c r="F1655" s="23" t="str">
        <f>IFERROR(VLOOKUP(C1655, 'Catégorie des articles'!$A:$D, 4, FALSE), "")</f>
        <v>CREMERIE</v>
      </c>
      <c r="G1655">
        <f t="shared" si="25"/>
        <v>202210</v>
      </c>
    </row>
    <row r="1656" spans="1:7" ht="12" customHeight="1">
      <c r="A1656" s="9">
        <v>44861</v>
      </c>
      <c r="B1656" s="10">
        <v>143409251</v>
      </c>
      <c r="C1656" s="3">
        <v>5540246176294</v>
      </c>
      <c r="D1656" s="9">
        <v>44865</v>
      </c>
      <c r="E1656" s="11">
        <v>1485</v>
      </c>
      <c r="F1656" s="23" t="str">
        <f>IFERROR(VLOOKUP(C1656, 'Catégorie des articles'!$A:$D, 4, FALSE), "")</f>
        <v>CREMERIE</v>
      </c>
      <c r="G1656">
        <f t="shared" si="25"/>
        <v>202210</v>
      </c>
    </row>
    <row r="1657" spans="1:7" ht="12" customHeight="1">
      <c r="A1657" s="6">
        <v>44861</v>
      </c>
      <c r="B1657" s="7">
        <v>143409251</v>
      </c>
      <c r="C1657" s="3">
        <v>5540246187987</v>
      </c>
      <c r="D1657" s="6">
        <v>44865</v>
      </c>
      <c r="E1657" s="8">
        <v>2228</v>
      </c>
      <c r="F1657" s="23" t="str">
        <f>IFERROR(VLOOKUP(C1657, 'Catégorie des articles'!$A:$D, 4, FALSE), "")</f>
        <v>CREMERIE</v>
      </c>
      <c r="G1657">
        <f t="shared" si="25"/>
        <v>202210</v>
      </c>
    </row>
    <row r="1658" spans="1:7" ht="12" customHeight="1">
      <c r="A1658" s="9">
        <v>44861</v>
      </c>
      <c r="B1658" s="10">
        <v>143409269</v>
      </c>
      <c r="C1658" s="3">
        <v>5540246196092</v>
      </c>
      <c r="D1658" s="9">
        <v>44861</v>
      </c>
      <c r="E1658" s="11">
        <v>3620</v>
      </c>
      <c r="F1658" s="23" t="str">
        <f>IFERROR(VLOOKUP(C1658, 'Catégorie des articles'!$A:$D, 4, FALSE), "")</f>
        <v>VOLAILLE</v>
      </c>
      <c r="G1658">
        <f t="shared" si="25"/>
        <v>202210</v>
      </c>
    </row>
    <row r="1659" spans="1:7" ht="12" customHeight="1">
      <c r="A1659" s="9">
        <v>44864</v>
      </c>
      <c r="B1659" s="10">
        <v>143419283</v>
      </c>
      <c r="C1659" s="3">
        <v>5540246188175</v>
      </c>
      <c r="D1659" s="9">
        <v>44866</v>
      </c>
      <c r="E1659" s="11">
        <v>232</v>
      </c>
      <c r="F1659" s="23" t="str">
        <f>IFERROR(VLOOKUP(C1659, 'Catégorie des articles'!$A:$D, 4, FALSE), "")</f>
        <v>CREMERIE</v>
      </c>
      <c r="G1659">
        <f t="shared" si="25"/>
        <v>202211</v>
      </c>
    </row>
    <row r="1660" spans="1:7" ht="12" customHeight="1">
      <c r="A1660" s="9">
        <v>44864</v>
      </c>
      <c r="B1660" s="10">
        <v>143419284</v>
      </c>
      <c r="C1660" s="3">
        <v>5540246171933</v>
      </c>
      <c r="D1660" s="9">
        <v>44866</v>
      </c>
      <c r="E1660" s="11">
        <v>1114</v>
      </c>
      <c r="F1660" s="23" t="str">
        <f>IFERROR(VLOOKUP(C1660, 'Catégorie des articles'!$A:$D, 4, FALSE), "")</f>
        <v>CREMERIE</v>
      </c>
      <c r="G1660">
        <f t="shared" si="25"/>
        <v>202211</v>
      </c>
    </row>
    <row r="1661" spans="1:7" ht="12" customHeight="1">
      <c r="A1661" s="6">
        <v>44864</v>
      </c>
      <c r="B1661" s="7">
        <v>143419284</v>
      </c>
      <c r="C1661" s="3">
        <v>5540246176295</v>
      </c>
      <c r="D1661" s="6">
        <v>44866</v>
      </c>
      <c r="E1661" s="8">
        <v>7424</v>
      </c>
      <c r="F1661" s="23" t="str">
        <f>IFERROR(VLOOKUP(C1661, 'Catégorie des articles'!$A:$D, 4, FALSE), "")</f>
        <v>CREMERIE</v>
      </c>
      <c r="G1661">
        <f t="shared" si="25"/>
        <v>202211</v>
      </c>
    </row>
    <row r="1662" spans="1:7" ht="12" customHeight="1">
      <c r="A1662" s="9">
        <v>44864</v>
      </c>
      <c r="B1662" s="10">
        <v>143419284</v>
      </c>
      <c r="C1662" s="3">
        <v>5540246188200</v>
      </c>
      <c r="D1662" s="9">
        <v>44866</v>
      </c>
      <c r="E1662" s="11">
        <v>1485</v>
      </c>
      <c r="F1662" s="23" t="str">
        <f>IFERROR(VLOOKUP(C1662, 'Catégorie des articles'!$A:$D, 4, FALSE), "")</f>
        <v>CREMERIE</v>
      </c>
      <c r="G1662">
        <f t="shared" si="25"/>
        <v>202211</v>
      </c>
    </row>
    <row r="1663" spans="1:7" ht="12" customHeight="1">
      <c r="A1663" s="6">
        <v>44864</v>
      </c>
      <c r="B1663" s="7">
        <v>143419285</v>
      </c>
      <c r="C1663" s="3">
        <v>5540246191594</v>
      </c>
      <c r="D1663" s="6">
        <v>44867</v>
      </c>
      <c r="E1663" s="8">
        <v>1504</v>
      </c>
      <c r="F1663" s="23" t="str">
        <f>IFERROR(VLOOKUP(C1663, 'Catégorie des articles'!$A:$D, 4, FALSE), "")</f>
        <v>CREMERIE</v>
      </c>
      <c r="G1663">
        <f t="shared" si="25"/>
        <v>202211</v>
      </c>
    </row>
    <row r="1664" spans="1:7" ht="12" customHeight="1">
      <c r="A1664" s="6">
        <v>44864</v>
      </c>
      <c r="B1664" s="7">
        <v>143419300</v>
      </c>
      <c r="C1664" s="3">
        <v>5540246192907</v>
      </c>
      <c r="D1664" s="6">
        <v>44880</v>
      </c>
      <c r="E1664" s="8">
        <v>11136</v>
      </c>
      <c r="F1664" s="23" t="str">
        <f>IFERROR(VLOOKUP(C1664, 'Catégorie des articles'!$A:$D, 4, FALSE), "")</f>
        <v>VOLAILLE</v>
      </c>
      <c r="G1664">
        <f t="shared" si="25"/>
        <v>202211</v>
      </c>
    </row>
    <row r="1665" spans="1:7" ht="12" customHeight="1">
      <c r="A1665" s="9">
        <v>44864</v>
      </c>
      <c r="B1665" s="10">
        <v>143419301</v>
      </c>
      <c r="C1665" s="3">
        <v>5540246193878</v>
      </c>
      <c r="D1665" s="9">
        <v>44878</v>
      </c>
      <c r="E1665" s="11">
        <v>22272</v>
      </c>
      <c r="F1665" s="23" t="str">
        <f>IFERROR(VLOOKUP(C1665, 'Catégorie des articles'!$A:$D, 4, FALSE), "")</f>
        <v>VOLAILLE</v>
      </c>
      <c r="G1665">
        <f t="shared" si="25"/>
        <v>202211</v>
      </c>
    </row>
    <row r="1666" spans="1:7" ht="12" customHeight="1">
      <c r="A1666" s="6">
        <v>44865</v>
      </c>
      <c r="B1666" s="7">
        <v>143419307</v>
      </c>
      <c r="C1666" s="3">
        <v>5540246171933</v>
      </c>
      <c r="D1666" s="6">
        <v>44867</v>
      </c>
      <c r="E1666" s="8">
        <v>1671</v>
      </c>
      <c r="F1666" s="23" t="str">
        <f>IFERROR(VLOOKUP(C1666, 'Catégorie des articles'!$A:$D, 4, FALSE), "")</f>
        <v>CREMERIE</v>
      </c>
      <c r="G1666">
        <f t="shared" si="25"/>
        <v>202211</v>
      </c>
    </row>
    <row r="1667" spans="1:7" ht="12" customHeight="1">
      <c r="A1667" s="9">
        <v>44865</v>
      </c>
      <c r="B1667" s="10">
        <v>143419307</v>
      </c>
      <c r="C1667" s="3">
        <v>5540246176295</v>
      </c>
      <c r="D1667" s="9">
        <v>44867</v>
      </c>
      <c r="E1667" s="11">
        <v>5940</v>
      </c>
      <c r="F1667" s="23" t="str">
        <f>IFERROR(VLOOKUP(C1667, 'Catégorie des articles'!$A:$D, 4, FALSE), "")</f>
        <v>CREMERIE</v>
      </c>
      <c r="G1667">
        <f t="shared" ref="G1667:G1730" si="26">YEAR(D1667)*100 + MONTH(D1667)</f>
        <v>202211</v>
      </c>
    </row>
    <row r="1668" spans="1:7" ht="12" customHeight="1">
      <c r="A1668" s="6">
        <v>44865</v>
      </c>
      <c r="B1668" s="7">
        <v>143419307</v>
      </c>
      <c r="C1668" s="3">
        <v>5540246187987</v>
      </c>
      <c r="D1668" s="6">
        <v>44867</v>
      </c>
      <c r="E1668" s="8">
        <v>3341</v>
      </c>
      <c r="F1668" s="23" t="str">
        <f>IFERROR(VLOOKUP(C1668, 'Catégorie des articles'!$A:$D, 4, FALSE), "")</f>
        <v>CREMERIE</v>
      </c>
      <c r="G1668">
        <f t="shared" si="26"/>
        <v>202211</v>
      </c>
    </row>
    <row r="1669" spans="1:7" ht="12" customHeight="1">
      <c r="A1669" s="9">
        <v>44865</v>
      </c>
      <c r="B1669" s="10">
        <v>143419307</v>
      </c>
      <c r="C1669" s="3">
        <v>5540246188200</v>
      </c>
      <c r="D1669" s="9">
        <v>44867</v>
      </c>
      <c r="E1669" s="11">
        <v>1485</v>
      </c>
      <c r="F1669" s="23" t="str">
        <f>IFERROR(VLOOKUP(C1669, 'Catégorie des articles'!$A:$D, 4, FALSE), "")</f>
        <v>CREMERIE</v>
      </c>
      <c r="G1669">
        <f t="shared" si="26"/>
        <v>202211</v>
      </c>
    </row>
    <row r="1670" spans="1:7" ht="12" customHeight="1">
      <c r="A1670" s="6">
        <v>44865</v>
      </c>
      <c r="B1670" s="7">
        <v>143419308</v>
      </c>
      <c r="C1670" s="3">
        <v>5540246172669</v>
      </c>
      <c r="D1670" s="6">
        <v>44867</v>
      </c>
      <c r="E1670" s="8">
        <v>140</v>
      </c>
      <c r="F1670" s="23" t="str">
        <f>IFERROR(VLOOKUP(C1670, 'Catégorie des articles'!$A:$D, 4, FALSE), "")</f>
        <v>CREMERIE</v>
      </c>
      <c r="G1670">
        <f t="shared" si="26"/>
        <v>202211</v>
      </c>
    </row>
    <row r="1671" spans="1:7" ht="12" customHeight="1">
      <c r="A1671" s="9">
        <v>44865</v>
      </c>
      <c r="B1671" s="10">
        <v>143419308</v>
      </c>
      <c r="C1671" s="3">
        <v>5540246172978</v>
      </c>
      <c r="D1671" s="9">
        <v>44867</v>
      </c>
      <c r="E1671" s="11">
        <v>1671</v>
      </c>
      <c r="F1671" s="23" t="str">
        <f>IFERROR(VLOOKUP(C1671, 'Catégorie des articles'!$A:$D, 4, FALSE), "")</f>
        <v>CREMERIE</v>
      </c>
      <c r="G1671">
        <f t="shared" si="26"/>
        <v>202211</v>
      </c>
    </row>
    <row r="1672" spans="1:7" ht="12" customHeight="1">
      <c r="A1672" s="6">
        <v>44865</v>
      </c>
      <c r="B1672" s="7">
        <v>143419310</v>
      </c>
      <c r="C1672" s="3">
        <v>5540246173472</v>
      </c>
      <c r="D1672" s="6">
        <v>44872</v>
      </c>
      <c r="E1672" s="8">
        <v>279</v>
      </c>
      <c r="F1672" s="23" t="str">
        <f>IFERROR(VLOOKUP(C1672, 'Catégorie des articles'!$A:$D, 4, FALSE), "")</f>
        <v>CREMERIE</v>
      </c>
      <c r="G1672">
        <f t="shared" si="26"/>
        <v>202211</v>
      </c>
    </row>
    <row r="1673" spans="1:7" ht="12" customHeight="1">
      <c r="A1673" s="9">
        <v>44865</v>
      </c>
      <c r="B1673" s="10">
        <v>143419310</v>
      </c>
      <c r="C1673" s="3">
        <v>5540246175047</v>
      </c>
      <c r="D1673" s="9">
        <v>44872</v>
      </c>
      <c r="E1673" s="11">
        <v>279</v>
      </c>
      <c r="F1673" s="23" t="str">
        <f>IFERROR(VLOOKUP(C1673, 'Catégorie des articles'!$A:$D, 4, FALSE), "")</f>
        <v>CREMERIE</v>
      </c>
      <c r="G1673">
        <f t="shared" si="26"/>
        <v>202211</v>
      </c>
    </row>
    <row r="1674" spans="1:7" ht="12" customHeight="1">
      <c r="A1674" s="6">
        <v>44865</v>
      </c>
      <c r="B1674" s="7">
        <v>143419310</v>
      </c>
      <c r="C1674" s="3">
        <v>5540246175049</v>
      </c>
      <c r="D1674" s="6">
        <v>44872</v>
      </c>
      <c r="E1674" s="8">
        <v>836</v>
      </c>
      <c r="F1674" s="23" t="str">
        <f>IFERROR(VLOOKUP(C1674, 'Catégorie des articles'!$A:$D, 4, FALSE), "")</f>
        <v>CREMERIE</v>
      </c>
      <c r="G1674">
        <f t="shared" si="26"/>
        <v>202211</v>
      </c>
    </row>
    <row r="1675" spans="1:7" ht="12" customHeight="1">
      <c r="A1675" s="9">
        <v>44865</v>
      </c>
      <c r="B1675" s="10">
        <v>143419310</v>
      </c>
      <c r="C1675" s="3">
        <v>5540246175050</v>
      </c>
      <c r="D1675" s="9">
        <v>44872</v>
      </c>
      <c r="E1675" s="11">
        <v>557</v>
      </c>
      <c r="F1675" s="23" t="str">
        <f>IFERROR(VLOOKUP(C1675, 'Catégorie des articles'!$A:$D, 4, FALSE), "")</f>
        <v>CREMERIE</v>
      </c>
      <c r="G1675">
        <f t="shared" si="26"/>
        <v>202211</v>
      </c>
    </row>
    <row r="1676" spans="1:7" ht="12" customHeight="1">
      <c r="A1676" s="6">
        <v>44866</v>
      </c>
      <c r="B1676" s="7">
        <v>143419332</v>
      </c>
      <c r="C1676" s="3">
        <v>5540246171933</v>
      </c>
      <c r="D1676" s="6">
        <v>44868</v>
      </c>
      <c r="E1676" s="8">
        <v>1114</v>
      </c>
      <c r="F1676" s="23" t="str">
        <f>IFERROR(VLOOKUP(C1676, 'Catégorie des articles'!$A:$D, 4, FALSE), "")</f>
        <v>CREMERIE</v>
      </c>
      <c r="G1676">
        <f t="shared" si="26"/>
        <v>202211</v>
      </c>
    </row>
    <row r="1677" spans="1:7" ht="12" customHeight="1">
      <c r="A1677" s="6">
        <v>44866</v>
      </c>
      <c r="B1677" s="7">
        <v>143419332</v>
      </c>
      <c r="C1677" s="3">
        <v>5540246176295</v>
      </c>
      <c r="D1677" s="6">
        <v>44868</v>
      </c>
      <c r="E1677" s="8">
        <v>7424</v>
      </c>
      <c r="F1677" s="23" t="str">
        <f>IFERROR(VLOOKUP(C1677, 'Catégorie des articles'!$A:$D, 4, FALSE), "")</f>
        <v>CREMERIE</v>
      </c>
      <c r="G1677">
        <f t="shared" si="26"/>
        <v>202211</v>
      </c>
    </row>
    <row r="1678" spans="1:7" ht="12" customHeight="1">
      <c r="A1678" s="9">
        <v>44866</v>
      </c>
      <c r="B1678" s="10">
        <v>143419332</v>
      </c>
      <c r="C1678" s="3">
        <v>5540246187987</v>
      </c>
      <c r="D1678" s="9">
        <v>44868</v>
      </c>
      <c r="E1678" s="11">
        <v>4455</v>
      </c>
      <c r="F1678" s="23" t="str">
        <f>IFERROR(VLOOKUP(C1678, 'Catégorie des articles'!$A:$D, 4, FALSE), "")</f>
        <v>CREMERIE</v>
      </c>
      <c r="G1678">
        <f t="shared" si="26"/>
        <v>202211</v>
      </c>
    </row>
    <row r="1679" spans="1:7" ht="12" customHeight="1">
      <c r="A1679" s="6">
        <v>44866</v>
      </c>
      <c r="B1679" s="7">
        <v>143419332</v>
      </c>
      <c r="C1679" s="3">
        <v>5540246188200</v>
      </c>
      <c r="D1679" s="6">
        <v>44868</v>
      </c>
      <c r="E1679" s="8">
        <v>1485</v>
      </c>
      <c r="F1679" s="23" t="str">
        <f>IFERROR(VLOOKUP(C1679, 'Catégorie des articles'!$A:$D, 4, FALSE), "")</f>
        <v>CREMERIE</v>
      </c>
      <c r="G1679">
        <f t="shared" si="26"/>
        <v>202211</v>
      </c>
    </row>
    <row r="1680" spans="1:7" ht="12" customHeight="1">
      <c r="A1680" s="9">
        <v>44866</v>
      </c>
      <c r="B1680" s="10">
        <v>143419333</v>
      </c>
      <c r="C1680" s="3">
        <v>5540246172978</v>
      </c>
      <c r="D1680" s="9">
        <v>44868</v>
      </c>
      <c r="E1680" s="11">
        <v>836</v>
      </c>
      <c r="F1680" s="23" t="str">
        <f>IFERROR(VLOOKUP(C1680, 'Catégorie des articles'!$A:$D, 4, FALSE), "")</f>
        <v>CREMERIE</v>
      </c>
      <c r="G1680">
        <f t="shared" si="26"/>
        <v>202211</v>
      </c>
    </row>
    <row r="1681" spans="1:7" ht="12" customHeight="1">
      <c r="A1681" s="6">
        <v>44866</v>
      </c>
      <c r="B1681" s="7">
        <v>143419333</v>
      </c>
      <c r="C1681" s="3">
        <v>5540246174174</v>
      </c>
      <c r="D1681" s="6">
        <v>44868</v>
      </c>
      <c r="E1681" s="8">
        <v>464</v>
      </c>
      <c r="F1681" s="23" t="str">
        <f>IFERROR(VLOOKUP(C1681, 'Catégorie des articles'!$A:$D, 4, FALSE), "")</f>
        <v>CREMERIE</v>
      </c>
      <c r="G1681">
        <f t="shared" si="26"/>
        <v>202211</v>
      </c>
    </row>
    <row r="1682" spans="1:7" ht="12" customHeight="1">
      <c r="A1682" s="6">
        <v>44866</v>
      </c>
      <c r="B1682" s="7">
        <v>143419333</v>
      </c>
      <c r="C1682" s="3">
        <v>5540246176699</v>
      </c>
      <c r="D1682" s="6">
        <v>44868</v>
      </c>
      <c r="E1682" s="8">
        <v>4176</v>
      </c>
      <c r="F1682" s="23" t="str">
        <f>IFERROR(VLOOKUP(C1682, 'Catégorie des articles'!$A:$D, 4, FALSE), "")</f>
        <v>CREMERIE</v>
      </c>
      <c r="G1682">
        <f t="shared" si="26"/>
        <v>202211</v>
      </c>
    </row>
    <row r="1683" spans="1:7" ht="12" customHeight="1">
      <c r="A1683" s="9">
        <v>44866</v>
      </c>
      <c r="B1683" s="10">
        <v>143419333</v>
      </c>
      <c r="C1683" s="3">
        <v>5540246188175</v>
      </c>
      <c r="D1683" s="9">
        <v>44868</v>
      </c>
      <c r="E1683" s="11">
        <v>232</v>
      </c>
      <c r="F1683" s="23" t="str">
        <f>IFERROR(VLOOKUP(C1683, 'Catégorie des articles'!$A:$D, 4, FALSE), "")</f>
        <v>CREMERIE</v>
      </c>
      <c r="G1683">
        <f t="shared" si="26"/>
        <v>202211</v>
      </c>
    </row>
    <row r="1684" spans="1:7" ht="12" customHeight="1">
      <c r="A1684" s="6">
        <v>44866</v>
      </c>
      <c r="B1684" s="7">
        <v>143419343</v>
      </c>
      <c r="C1684" s="3">
        <v>5540246174095</v>
      </c>
      <c r="D1684" s="6">
        <v>44875</v>
      </c>
      <c r="E1684" s="8">
        <v>140</v>
      </c>
      <c r="F1684" s="23" t="str">
        <f>IFERROR(VLOOKUP(C1684, 'Catégorie des articles'!$A:$D, 4, FALSE), "")</f>
        <v>CREMERIE</v>
      </c>
      <c r="G1684">
        <f t="shared" si="26"/>
        <v>202211</v>
      </c>
    </row>
    <row r="1685" spans="1:7" ht="12" customHeight="1">
      <c r="A1685" s="9">
        <v>44866</v>
      </c>
      <c r="B1685" s="10">
        <v>143419343</v>
      </c>
      <c r="C1685" s="3">
        <v>5540246175047</v>
      </c>
      <c r="D1685" s="9">
        <v>44875</v>
      </c>
      <c r="E1685" s="11">
        <v>279</v>
      </c>
      <c r="F1685" s="23" t="str">
        <f>IFERROR(VLOOKUP(C1685, 'Catégorie des articles'!$A:$D, 4, FALSE), "")</f>
        <v>CREMERIE</v>
      </c>
      <c r="G1685">
        <f t="shared" si="26"/>
        <v>202211</v>
      </c>
    </row>
    <row r="1686" spans="1:7" ht="12" customHeight="1">
      <c r="A1686" s="6">
        <v>44866</v>
      </c>
      <c r="B1686" s="7">
        <v>143419343</v>
      </c>
      <c r="C1686" s="3">
        <v>5540246175049</v>
      </c>
      <c r="D1686" s="6">
        <v>44875</v>
      </c>
      <c r="E1686" s="8">
        <v>1114</v>
      </c>
      <c r="F1686" s="23" t="str">
        <f>IFERROR(VLOOKUP(C1686, 'Catégorie des articles'!$A:$D, 4, FALSE), "")</f>
        <v>CREMERIE</v>
      </c>
      <c r="G1686">
        <f t="shared" si="26"/>
        <v>202211</v>
      </c>
    </row>
    <row r="1687" spans="1:7" ht="12" customHeight="1">
      <c r="A1687" s="9">
        <v>44866</v>
      </c>
      <c r="B1687" s="10">
        <v>143419343</v>
      </c>
      <c r="C1687" s="3">
        <v>5540246175050</v>
      </c>
      <c r="D1687" s="9">
        <v>44875</v>
      </c>
      <c r="E1687" s="11">
        <v>418</v>
      </c>
      <c r="F1687" s="23" t="str">
        <f>IFERROR(VLOOKUP(C1687, 'Catégorie des articles'!$A:$D, 4, FALSE), "")</f>
        <v>CREMERIE</v>
      </c>
      <c r="G1687">
        <f t="shared" si="26"/>
        <v>202211</v>
      </c>
    </row>
    <row r="1688" spans="1:7" ht="12" customHeight="1">
      <c r="A1688" s="6">
        <v>44867</v>
      </c>
      <c r="B1688" s="7">
        <v>143419356</v>
      </c>
      <c r="C1688" s="3">
        <v>5540246171933</v>
      </c>
      <c r="D1688" s="6">
        <v>44871</v>
      </c>
      <c r="E1688" s="8">
        <v>1671</v>
      </c>
      <c r="F1688" s="23" t="str">
        <f>IFERROR(VLOOKUP(C1688, 'Catégorie des articles'!$A:$D, 4, FALSE), "")</f>
        <v>CREMERIE</v>
      </c>
      <c r="G1688">
        <f t="shared" si="26"/>
        <v>202211</v>
      </c>
    </row>
    <row r="1689" spans="1:7" ht="12" customHeight="1">
      <c r="A1689" s="9">
        <v>44867</v>
      </c>
      <c r="B1689" s="10">
        <v>143419356</v>
      </c>
      <c r="C1689" s="3">
        <v>5540246176295</v>
      </c>
      <c r="D1689" s="9">
        <v>44871</v>
      </c>
      <c r="E1689" s="11">
        <v>5940</v>
      </c>
      <c r="F1689" s="23" t="str">
        <f>IFERROR(VLOOKUP(C1689, 'Catégorie des articles'!$A:$D, 4, FALSE), "")</f>
        <v>CREMERIE</v>
      </c>
      <c r="G1689">
        <f t="shared" si="26"/>
        <v>202211</v>
      </c>
    </row>
    <row r="1690" spans="1:7" ht="12" customHeight="1">
      <c r="A1690" s="9">
        <v>44867</v>
      </c>
      <c r="B1690" s="10">
        <v>143419356</v>
      </c>
      <c r="C1690" s="3">
        <v>5540246187987</v>
      </c>
      <c r="D1690" s="9">
        <v>44871</v>
      </c>
      <c r="E1690" s="11">
        <v>4455</v>
      </c>
      <c r="F1690" s="23" t="str">
        <f>IFERROR(VLOOKUP(C1690, 'Catégorie des articles'!$A:$D, 4, FALSE), "")</f>
        <v>CREMERIE</v>
      </c>
      <c r="G1690">
        <f t="shared" si="26"/>
        <v>202211</v>
      </c>
    </row>
    <row r="1691" spans="1:7" ht="12" customHeight="1">
      <c r="A1691" s="6">
        <v>44867</v>
      </c>
      <c r="B1691" s="7">
        <v>143419356</v>
      </c>
      <c r="C1691" s="3">
        <v>5540246188200</v>
      </c>
      <c r="D1691" s="6">
        <v>44871</v>
      </c>
      <c r="E1691" s="8">
        <v>2970</v>
      </c>
      <c r="F1691" s="23" t="str">
        <f>IFERROR(VLOOKUP(C1691, 'Catégorie des articles'!$A:$D, 4, FALSE), "")</f>
        <v>CREMERIE</v>
      </c>
      <c r="G1691">
        <f t="shared" si="26"/>
        <v>202211</v>
      </c>
    </row>
    <row r="1692" spans="1:7" ht="12" customHeight="1">
      <c r="A1692" s="9">
        <v>44867</v>
      </c>
      <c r="B1692" s="10">
        <v>143419360</v>
      </c>
      <c r="C1692" s="3">
        <v>5540246174174</v>
      </c>
      <c r="D1692" s="9">
        <v>44871</v>
      </c>
      <c r="E1692" s="11">
        <v>464</v>
      </c>
      <c r="F1692" s="23" t="str">
        <f>IFERROR(VLOOKUP(C1692, 'Catégorie des articles'!$A:$D, 4, FALSE), "")</f>
        <v>CREMERIE</v>
      </c>
      <c r="G1692">
        <f t="shared" si="26"/>
        <v>202211</v>
      </c>
    </row>
    <row r="1693" spans="1:7" ht="12" customHeight="1">
      <c r="A1693" s="6">
        <v>44867</v>
      </c>
      <c r="B1693" s="7">
        <v>143419360</v>
      </c>
      <c r="C1693" s="3">
        <v>5540246176699</v>
      </c>
      <c r="D1693" s="6">
        <v>44871</v>
      </c>
      <c r="E1693" s="8">
        <v>8352</v>
      </c>
      <c r="F1693" s="23" t="str">
        <f>IFERROR(VLOOKUP(C1693, 'Catégorie des articles'!$A:$D, 4, FALSE), "")</f>
        <v>CREMERIE</v>
      </c>
      <c r="G1693">
        <f t="shared" si="26"/>
        <v>202211</v>
      </c>
    </row>
    <row r="1694" spans="1:7" ht="12" customHeight="1">
      <c r="A1694" s="9">
        <v>44867</v>
      </c>
      <c r="B1694" s="10">
        <v>143419360</v>
      </c>
      <c r="C1694" s="3">
        <v>5540246192102</v>
      </c>
      <c r="D1694" s="9">
        <v>44871</v>
      </c>
      <c r="E1694" s="11">
        <v>2005</v>
      </c>
      <c r="F1694" s="23" t="str">
        <f>IFERROR(VLOOKUP(C1694, 'Catégorie des articles'!$A:$D, 4, FALSE), "")</f>
        <v>CREMERIE</v>
      </c>
      <c r="G1694">
        <f t="shared" si="26"/>
        <v>202211</v>
      </c>
    </row>
    <row r="1695" spans="1:7" ht="12" customHeight="1">
      <c r="A1695" s="6">
        <v>44867</v>
      </c>
      <c r="B1695" s="7">
        <v>143419365</v>
      </c>
      <c r="C1695" s="3">
        <v>5540246186325</v>
      </c>
      <c r="D1695" s="6">
        <v>44872</v>
      </c>
      <c r="E1695" s="8">
        <v>140</v>
      </c>
      <c r="F1695" s="23" t="str">
        <f>IFERROR(VLOOKUP(C1695, 'Catégorie des articles'!$A:$D, 4, FALSE), "")</f>
        <v>CREMERIE</v>
      </c>
      <c r="G1695">
        <f t="shared" si="26"/>
        <v>202211</v>
      </c>
    </row>
    <row r="1696" spans="1:7" ht="12" customHeight="1">
      <c r="A1696" s="6">
        <v>44867</v>
      </c>
      <c r="B1696" s="7">
        <v>143419376</v>
      </c>
      <c r="C1696" s="3">
        <v>5540246196148</v>
      </c>
      <c r="D1696" s="6">
        <v>44875</v>
      </c>
      <c r="E1696" s="8">
        <v>780</v>
      </c>
      <c r="F1696" s="23" t="str">
        <f>IFERROR(VLOOKUP(C1696, 'Catégorie des articles'!$A:$D, 4, FALSE), "")</f>
        <v>EMBALLAGES</v>
      </c>
      <c r="G1696">
        <f t="shared" si="26"/>
        <v>202211</v>
      </c>
    </row>
    <row r="1697" spans="1:7" ht="12" customHeight="1">
      <c r="A1697" s="6">
        <v>44868</v>
      </c>
      <c r="B1697" s="7">
        <v>143419407</v>
      </c>
      <c r="C1697" s="3">
        <v>5540246172669</v>
      </c>
      <c r="D1697" s="6">
        <v>44872</v>
      </c>
      <c r="E1697" s="8">
        <v>279</v>
      </c>
      <c r="F1697" s="23" t="str">
        <f>IFERROR(VLOOKUP(C1697, 'Catégorie des articles'!$A:$D, 4, FALSE), "")</f>
        <v>CREMERIE</v>
      </c>
      <c r="G1697">
        <f t="shared" si="26"/>
        <v>202211</v>
      </c>
    </row>
    <row r="1698" spans="1:7" ht="12" customHeight="1">
      <c r="A1698" s="9">
        <v>44868</v>
      </c>
      <c r="B1698" s="10">
        <v>143419407</v>
      </c>
      <c r="C1698" s="3">
        <v>5540246174174</v>
      </c>
      <c r="D1698" s="9">
        <v>44872</v>
      </c>
      <c r="E1698" s="11">
        <v>464</v>
      </c>
      <c r="F1698" s="23" t="str">
        <f>IFERROR(VLOOKUP(C1698, 'Catégorie des articles'!$A:$D, 4, FALSE), "")</f>
        <v>CREMERIE</v>
      </c>
      <c r="G1698">
        <f t="shared" si="26"/>
        <v>202211</v>
      </c>
    </row>
    <row r="1699" spans="1:7" ht="12" customHeight="1">
      <c r="A1699" s="9">
        <v>44868</v>
      </c>
      <c r="B1699" s="10">
        <v>143419409</v>
      </c>
      <c r="C1699" s="3">
        <v>5540246176294</v>
      </c>
      <c r="D1699" s="9">
        <v>44872</v>
      </c>
      <c r="E1699" s="11">
        <v>1114</v>
      </c>
      <c r="F1699" s="23" t="str">
        <f>IFERROR(VLOOKUP(C1699, 'Catégorie des articles'!$A:$D, 4, FALSE), "")</f>
        <v>CREMERIE</v>
      </c>
      <c r="G1699">
        <f t="shared" si="26"/>
        <v>202211</v>
      </c>
    </row>
    <row r="1700" spans="1:7" ht="12" customHeight="1">
      <c r="A1700" s="6">
        <v>44868</v>
      </c>
      <c r="B1700" s="7">
        <v>143419409</v>
      </c>
      <c r="C1700" s="3">
        <v>5540246176295</v>
      </c>
      <c r="D1700" s="6">
        <v>44872</v>
      </c>
      <c r="E1700" s="8">
        <v>5940</v>
      </c>
      <c r="F1700" s="23" t="str">
        <f>IFERROR(VLOOKUP(C1700, 'Catégorie des articles'!$A:$D, 4, FALSE), "")</f>
        <v>CREMERIE</v>
      </c>
      <c r="G1700">
        <f t="shared" si="26"/>
        <v>202211</v>
      </c>
    </row>
    <row r="1701" spans="1:7" ht="12" customHeight="1">
      <c r="A1701" s="6">
        <v>44868</v>
      </c>
      <c r="B1701" s="7">
        <v>143419418</v>
      </c>
      <c r="C1701" s="3">
        <v>5540246195241</v>
      </c>
      <c r="D1701" s="6">
        <v>44885</v>
      </c>
      <c r="E1701" s="8">
        <v>743</v>
      </c>
      <c r="F1701" s="23" t="str">
        <f>IFERROR(VLOOKUP(C1701, 'Catégorie des articles'!$A:$D, 4, FALSE), "")</f>
        <v>MIX LEGUMES</v>
      </c>
      <c r="G1701">
        <f t="shared" si="26"/>
        <v>202211</v>
      </c>
    </row>
    <row r="1702" spans="1:7" ht="12" customHeight="1">
      <c r="A1702" s="9">
        <v>44868</v>
      </c>
      <c r="B1702" s="10">
        <v>143419418</v>
      </c>
      <c r="C1702" s="3">
        <v>5540246195242</v>
      </c>
      <c r="D1702" s="9">
        <v>44885</v>
      </c>
      <c r="E1702" s="11">
        <v>743</v>
      </c>
      <c r="F1702" s="23" t="str">
        <f>IFERROR(VLOOKUP(C1702, 'Catégorie des articles'!$A:$D, 4, FALSE), "")</f>
        <v>MIX LEGUMES</v>
      </c>
      <c r="G1702">
        <f t="shared" si="26"/>
        <v>202211</v>
      </c>
    </row>
    <row r="1703" spans="1:7" ht="12" customHeight="1">
      <c r="A1703" s="9">
        <v>44868</v>
      </c>
      <c r="B1703" s="10">
        <v>143419428</v>
      </c>
      <c r="C1703" s="3">
        <v>5540246195653</v>
      </c>
      <c r="D1703" s="9">
        <v>44894</v>
      </c>
      <c r="E1703" s="11">
        <v>446</v>
      </c>
      <c r="F1703" s="23" t="str">
        <f>IFERROR(VLOOKUP(C1703, 'Catégorie des articles'!$A:$D, 4, FALSE), "")</f>
        <v>EMBALLAGES</v>
      </c>
      <c r="G1703">
        <f t="shared" si="26"/>
        <v>202211</v>
      </c>
    </row>
    <row r="1704" spans="1:7" ht="12" customHeight="1">
      <c r="A1704" s="9">
        <v>44871</v>
      </c>
      <c r="B1704" s="10">
        <v>143429435</v>
      </c>
      <c r="C1704" s="3">
        <v>5540246172978</v>
      </c>
      <c r="D1704" s="9">
        <v>44873</v>
      </c>
      <c r="E1704" s="11">
        <v>1671</v>
      </c>
      <c r="F1704" s="23" t="str">
        <f>IFERROR(VLOOKUP(C1704, 'Catégorie des articles'!$A:$D, 4, FALSE), "")</f>
        <v>CREMERIE</v>
      </c>
      <c r="G1704">
        <f t="shared" si="26"/>
        <v>202211</v>
      </c>
    </row>
    <row r="1705" spans="1:7" ht="12" customHeight="1">
      <c r="A1705" s="9">
        <v>44871</v>
      </c>
      <c r="B1705" s="10">
        <v>143429435</v>
      </c>
      <c r="C1705" s="3">
        <v>5540246176699</v>
      </c>
      <c r="D1705" s="9">
        <v>44873</v>
      </c>
      <c r="E1705" s="11">
        <v>8352</v>
      </c>
      <c r="F1705" s="23" t="str">
        <f>IFERROR(VLOOKUP(C1705, 'Catégorie des articles'!$A:$D, 4, FALSE), "")</f>
        <v>CREMERIE</v>
      </c>
      <c r="G1705">
        <f t="shared" si="26"/>
        <v>202211</v>
      </c>
    </row>
    <row r="1706" spans="1:7" ht="12" customHeight="1">
      <c r="A1706" s="9">
        <v>44871</v>
      </c>
      <c r="B1706" s="10">
        <v>143429435</v>
      </c>
      <c r="C1706" s="3">
        <v>5540246188175</v>
      </c>
      <c r="D1706" s="9">
        <v>44873</v>
      </c>
      <c r="E1706" s="11">
        <v>232</v>
      </c>
      <c r="F1706" s="23" t="str">
        <f>IFERROR(VLOOKUP(C1706, 'Catégorie des articles'!$A:$D, 4, FALSE), "")</f>
        <v>CREMERIE</v>
      </c>
      <c r="G1706">
        <f t="shared" si="26"/>
        <v>202211</v>
      </c>
    </row>
    <row r="1707" spans="1:7" ht="12" customHeight="1">
      <c r="A1707" s="6">
        <v>44871</v>
      </c>
      <c r="B1707" s="7">
        <v>143429436</v>
      </c>
      <c r="C1707" s="3">
        <v>5540246171933</v>
      </c>
      <c r="D1707" s="6">
        <v>44873</v>
      </c>
      <c r="E1707" s="8">
        <v>557</v>
      </c>
      <c r="F1707" s="23" t="str">
        <f>IFERROR(VLOOKUP(C1707, 'Catégorie des articles'!$A:$D, 4, FALSE), "")</f>
        <v>CREMERIE</v>
      </c>
      <c r="G1707">
        <f t="shared" si="26"/>
        <v>202211</v>
      </c>
    </row>
    <row r="1708" spans="1:7" ht="12" customHeight="1">
      <c r="A1708" s="9">
        <v>44871</v>
      </c>
      <c r="B1708" s="10">
        <v>143429442</v>
      </c>
      <c r="C1708" s="3">
        <v>5540246181016</v>
      </c>
      <c r="D1708" s="9">
        <v>44881</v>
      </c>
      <c r="E1708" s="11">
        <v>14255</v>
      </c>
      <c r="F1708" s="23" t="str">
        <f>IFERROR(VLOOKUP(C1708, 'Catégorie des articles'!$A:$D, 4, FALSE), "")</f>
        <v>VOLAILLE</v>
      </c>
      <c r="G1708">
        <f t="shared" si="26"/>
        <v>202211</v>
      </c>
    </row>
    <row r="1709" spans="1:7" ht="12" customHeight="1">
      <c r="A1709" s="6">
        <v>44871</v>
      </c>
      <c r="B1709" s="7">
        <v>143429450</v>
      </c>
      <c r="C1709" s="3">
        <v>5540246195943</v>
      </c>
      <c r="D1709" s="6">
        <v>44875</v>
      </c>
      <c r="E1709" s="8">
        <v>859</v>
      </c>
      <c r="F1709" s="23" t="str">
        <f>IFERROR(VLOOKUP(C1709, 'Catégorie des articles'!$A:$D, 4, FALSE), "")</f>
        <v>CREMERIE</v>
      </c>
      <c r="G1709">
        <f t="shared" si="26"/>
        <v>202211</v>
      </c>
    </row>
    <row r="1710" spans="1:7" ht="12" customHeight="1">
      <c r="A1710" s="6">
        <v>44871</v>
      </c>
      <c r="B1710" s="7">
        <v>143429456</v>
      </c>
      <c r="C1710" s="3">
        <v>5540246171759</v>
      </c>
      <c r="D1710" s="6">
        <v>44878</v>
      </c>
      <c r="E1710" s="8">
        <v>3341</v>
      </c>
      <c r="F1710" s="23" t="str">
        <f>IFERROR(VLOOKUP(C1710, 'Catégorie des articles'!$A:$D, 4, FALSE), "")</f>
        <v>MIX LEGUMES</v>
      </c>
      <c r="G1710">
        <f t="shared" si="26"/>
        <v>202211</v>
      </c>
    </row>
    <row r="1711" spans="1:7" ht="12" customHeight="1">
      <c r="A1711" s="9">
        <v>44871</v>
      </c>
      <c r="B1711" s="10">
        <v>143429456</v>
      </c>
      <c r="C1711" s="3">
        <v>5540246177133</v>
      </c>
      <c r="D1711" s="9">
        <v>44878</v>
      </c>
      <c r="E1711" s="11">
        <v>7239</v>
      </c>
      <c r="F1711" s="23" t="str">
        <f>IFERROR(VLOOKUP(C1711, 'Catégorie des articles'!$A:$D, 4, FALSE), "")</f>
        <v>MIX LEGUMES</v>
      </c>
      <c r="G1711">
        <f t="shared" si="26"/>
        <v>202211</v>
      </c>
    </row>
    <row r="1712" spans="1:7" ht="12" customHeight="1">
      <c r="A1712" s="6">
        <v>44871</v>
      </c>
      <c r="B1712" s="7">
        <v>143429456</v>
      </c>
      <c r="C1712" s="3">
        <v>5540246192518</v>
      </c>
      <c r="D1712" s="6">
        <v>44878</v>
      </c>
      <c r="E1712" s="8">
        <v>17540</v>
      </c>
      <c r="F1712" s="23" t="str">
        <f>IFERROR(VLOOKUP(C1712, 'Catégorie des articles'!$A:$D, 4, FALSE), "")</f>
        <v>MIX LEGUMES</v>
      </c>
      <c r="G1712">
        <f t="shared" si="26"/>
        <v>202211</v>
      </c>
    </row>
    <row r="1713" spans="1:7" ht="12" customHeight="1">
      <c r="A1713" s="6">
        <v>44872</v>
      </c>
      <c r="B1713" s="7">
        <v>143429464</v>
      </c>
      <c r="C1713" s="3">
        <v>5540246172539</v>
      </c>
      <c r="D1713" s="6">
        <v>44874</v>
      </c>
      <c r="E1713" s="8">
        <v>47</v>
      </c>
      <c r="F1713" s="23" t="str">
        <f>IFERROR(VLOOKUP(C1713, 'Catégorie des articles'!$A:$D, 4, FALSE), "")</f>
        <v>CREMERIE</v>
      </c>
      <c r="G1713">
        <f t="shared" si="26"/>
        <v>202211</v>
      </c>
    </row>
    <row r="1714" spans="1:7" ht="12" customHeight="1">
      <c r="A1714" s="9">
        <v>44872</v>
      </c>
      <c r="B1714" s="10">
        <v>143429465</v>
      </c>
      <c r="C1714" s="3">
        <v>5540246176294</v>
      </c>
      <c r="D1714" s="9">
        <v>44874</v>
      </c>
      <c r="E1714" s="11">
        <v>1114</v>
      </c>
      <c r="F1714" s="23" t="str">
        <f>IFERROR(VLOOKUP(C1714, 'Catégorie des articles'!$A:$D, 4, FALSE), "")</f>
        <v>CREMERIE</v>
      </c>
      <c r="G1714">
        <f t="shared" si="26"/>
        <v>202211</v>
      </c>
    </row>
    <row r="1715" spans="1:7" ht="12" customHeight="1">
      <c r="A1715" s="6">
        <v>44872</v>
      </c>
      <c r="B1715" s="7">
        <v>143429465</v>
      </c>
      <c r="C1715" s="3">
        <v>5540246176295</v>
      </c>
      <c r="D1715" s="6">
        <v>44874</v>
      </c>
      <c r="E1715" s="8">
        <v>4455</v>
      </c>
      <c r="F1715" s="23" t="str">
        <f>IFERROR(VLOOKUP(C1715, 'Catégorie des articles'!$A:$D, 4, FALSE), "")</f>
        <v>CREMERIE</v>
      </c>
      <c r="G1715">
        <f t="shared" si="26"/>
        <v>202211</v>
      </c>
    </row>
    <row r="1716" spans="1:7" ht="12" customHeight="1">
      <c r="A1716" s="9">
        <v>44872</v>
      </c>
      <c r="B1716" s="10">
        <v>143429465</v>
      </c>
      <c r="C1716" s="3">
        <v>5540246187987</v>
      </c>
      <c r="D1716" s="9">
        <v>44874</v>
      </c>
      <c r="E1716" s="11">
        <v>2228</v>
      </c>
      <c r="F1716" s="23" t="str">
        <f>IFERROR(VLOOKUP(C1716, 'Catégorie des articles'!$A:$D, 4, FALSE), "")</f>
        <v>CREMERIE</v>
      </c>
      <c r="G1716">
        <f t="shared" si="26"/>
        <v>202211</v>
      </c>
    </row>
    <row r="1717" spans="1:7" ht="12" customHeight="1">
      <c r="A1717" s="6">
        <v>44872</v>
      </c>
      <c r="B1717" s="7">
        <v>143429471</v>
      </c>
      <c r="C1717" s="3">
        <v>5540246192907</v>
      </c>
      <c r="D1717" s="6">
        <v>44881</v>
      </c>
      <c r="E1717" s="8">
        <v>11136</v>
      </c>
      <c r="F1717" s="23" t="str">
        <f>IFERROR(VLOOKUP(C1717, 'Catégorie des articles'!$A:$D, 4, FALSE), "")</f>
        <v>VOLAILLE</v>
      </c>
      <c r="G1717">
        <f t="shared" si="26"/>
        <v>202211</v>
      </c>
    </row>
    <row r="1718" spans="1:7" ht="12" customHeight="1">
      <c r="A1718" s="9">
        <v>44872</v>
      </c>
      <c r="B1718" s="10">
        <v>143429472</v>
      </c>
      <c r="C1718" s="3">
        <v>5540246192907</v>
      </c>
      <c r="D1718" s="9">
        <v>44887</v>
      </c>
      <c r="E1718" s="11">
        <v>11136</v>
      </c>
      <c r="F1718" s="23" t="str">
        <f>IFERROR(VLOOKUP(C1718, 'Catégorie des articles'!$A:$D, 4, FALSE), "")</f>
        <v>VOLAILLE</v>
      </c>
      <c r="G1718">
        <f t="shared" si="26"/>
        <v>202211</v>
      </c>
    </row>
    <row r="1719" spans="1:7" ht="12" customHeight="1">
      <c r="A1719" s="6">
        <v>44872</v>
      </c>
      <c r="B1719" s="7">
        <v>143429475</v>
      </c>
      <c r="C1719" s="3">
        <v>5540246194632</v>
      </c>
      <c r="D1719" s="6">
        <v>44879</v>
      </c>
      <c r="E1719" s="8">
        <v>1337</v>
      </c>
      <c r="F1719" s="23" t="str">
        <f>IFERROR(VLOOKUP(C1719, 'Catégorie des articles'!$A:$D, 4, FALSE), "")</f>
        <v>BOULANGERIE</v>
      </c>
      <c r="G1719">
        <f t="shared" si="26"/>
        <v>202211</v>
      </c>
    </row>
    <row r="1720" spans="1:7" ht="12" customHeight="1">
      <c r="A1720" s="9">
        <v>44872</v>
      </c>
      <c r="B1720" s="10">
        <v>143429475</v>
      </c>
      <c r="C1720" s="3">
        <v>5540246196046</v>
      </c>
      <c r="D1720" s="9">
        <v>44879</v>
      </c>
      <c r="E1720" s="11">
        <v>335</v>
      </c>
      <c r="F1720" s="23" t="str">
        <f>IFERROR(VLOOKUP(C1720, 'Catégorie des articles'!$A:$D, 4, FALSE), "")</f>
        <v>BOULANGERIE</v>
      </c>
      <c r="G1720">
        <f t="shared" si="26"/>
        <v>202211</v>
      </c>
    </row>
    <row r="1721" spans="1:7" ht="12" customHeight="1">
      <c r="A1721" s="9">
        <v>44872</v>
      </c>
      <c r="B1721" s="10">
        <v>143429476</v>
      </c>
      <c r="C1721" s="3">
        <v>5540246194632</v>
      </c>
      <c r="D1721" s="9">
        <v>44882</v>
      </c>
      <c r="E1721" s="11">
        <v>919</v>
      </c>
      <c r="F1721" s="23" t="str">
        <f>IFERROR(VLOOKUP(C1721, 'Catégorie des articles'!$A:$D, 4, FALSE), "")</f>
        <v>BOULANGERIE</v>
      </c>
      <c r="G1721">
        <f t="shared" si="26"/>
        <v>202211</v>
      </c>
    </row>
    <row r="1722" spans="1:7" ht="12" customHeight="1">
      <c r="A1722" s="6">
        <v>44872</v>
      </c>
      <c r="B1722" s="7">
        <v>143429476</v>
      </c>
      <c r="C1722" s="3">
        <v>5540246196046</v>
      </c>
      <c r="D1722" s="6">
        <v>44882</v>
      </c>
      <c r="E1722" s="8">
        <v>335</v>
      </c>
      <c r="F1722" s="23" t="str">
        <f>IFERROR(VLOOKUP(C1722, 'Catégorie des articles'!$A:$D, 4, FALSE), "")</f>
        <v>BOULANGERIE</v>
      </c>
      <c r="G1722">
        <f t="shared" si="26"/>
        <v>202211</v>
      </c>
    </row>
    <row r="1723" spans="1:7" ht="12" customHeight="1">
      <c r="A1723" s="9">
        <v>44872</v>
      </c>
      <c r="B1723" s="10">
        <v>143429477</v>
      </c>
      <c r="C1723" s="3">
        <v>5540246191598</v>
      </c>
      <c r="D1723" s="9">
        <v>44875</v>
      </c>
      <c r="E1723" s="11">
        <v>1601</v>
      </c>
      <c r="F1723" s="23" t="str">
        <f>IFERROR(VLOOKUP(C1723, 'Catégorie des articles'!$A:$D, 4, FALSE), "")</f>
        <v>CREMERIE</v>
      </c>
      <c r="G1723">
        <f t="shared" si="26"/>
        <v>202211</v>
      </c>
    </row>
    <row r="1724" spans="1:7" ht="12" customHeight="1">
      <c r="A1724" s="6">
        <v>44872</v>
      </c>
      <c r="B1724" s="7">
        <v>143429478</v>
      </c>
      <c r="C1724" s="3">
        <v>5540246170256</v>
      </c>
      <c r="D1724" s="6">
        <v>44880</v>
      </c>
      <c r="E1724" s="8">
        <v>3174</v>
      </c>
      <c r="F1724" s="23" t="str">
        <f>IFERROR(VLOOKUP(C1724, 'Catégorie des articles'!$A:$D, 4, FALSE), "")</f>
        <v>BOULANGERIE</v>
      </c>
      <c r="G1724">
        <f t="shared" si="26"/>
        <v>202211</v>
      </c>
    </row>
    <row r="1725" spans="1:7" ht="12" customHeight="1">
      <c r="A1725" s="9">
        <v>44872</v>
      </c>
      <c r="B1725" s="10">
        <v>143429478</v>
      </c>
      <c r="C1725" s="3">
        <v>5540246171888</v>
      </c>
      <c r="D1725" s="9">
        <v>44880</v>
      </c>
      <c r="E1725" s="11">
        <v>520</v>
      </c>
      <c r="F1725" s="23" t="str">
        <f>IFERROR(VLOOKUP(C1725, 'Catégorie des articles'!$A:$D, 4, FALSE), "")</f>
        <v>BOULANGERIE</v>
      </c>
      <c r="G1725">
        <f t="shared" si="26"/>
        <v>202211</v>
      </c>
    </row>
    <row r="1726" spans="1:7" ht="12" customHeight="1">
      <c r="A1726" s="6">
        <v>44872</v>
      </c>
      <c r="B1726" s="7">
        <v>143429479</v>
      </c>
      <c r="C1726" s="3">
        <v>5540246170256</v>
      </c>
      <c r="D1726" s="6">
        <v>44887</v>
      </c>
      <c r="E1726" s="8">
        <v>3174</v>
      </c>
      <c r="F1726" s="23" t="str">
        <f>IFERROR(VLOOKUP(C1726, 'Catégorie des articles'!$A:$D, 4, FALSE), "")</f>
        <v>BOULANGERIE</v>
      </c>
      <c r="G1726">
        <f t="shared" si="26"/>
        <v>202211</v>
      </c>
    </row>
    <row r="1727" spans="1:7" ht="12" customHeight="1">
      <c r="A1727" s="9">
        <v>44872</v>
      </c>
      <c r="B1727" s="10">
        <v>143429479</v>
      </c>
      <c r="C1727" s="3">
        <v>5540246171888</v>
      </c>
      <c r="D1727" s="9">
        <v>44887</v>
      </c>
      <c r="E1727" s="11">
        <v>520</v>
      </c>
      <c r="F1727" s="23" t="str">
        <f>IFERROR(VLOOKUP(C1727, 'Catégorie des articles'!$A:$D, 4, FALSE), "")</f>
        <v>BOULANGERIE</v>
      </c>
      <c r="G1727">
        <f t="shared" si="26"/>
        <v>202211</v>
      </c>
    </row>
    <row r="1728" spans="1:7" ht="12" customHeight="1">
      <c r="A1728" s="6">
        <v>44872</v>
      </c>
      <c r="B1728" s="7">
        <v>143429480</v>
      </c>
      <c r="C1728" s="3">
        <v>5540246173472</v>
      </c>
      <c r="D1728" s="6">
        <v>44879</v>
      </c>
      <c r="E1728" s="8">
        <v>279</v>
      </c>
      <c r="F1728" s="23" t="str">
        <f>IFERROR(VLOOKUP(C1728, 'Catégorie des articles'!$A:$D, 4, FALSE), "")</f>
        <v>CREMERIE</v>
      </c>
      <c r="G1728">
        <f t="shared" si="26"/>
        <v>202211</v>
      </c>
    </row>
    <row r="1729" spans="1:7" ht="12" customHeight="1">
      <c r="A1729" s="9">
        <v>44872</v>
      </c>
      <c r="B1729" s="10">
        <v>143429480</v>
      </c>
      <c r="C1729" s="3">
        <v>5540246175049</v>
      </c>
      <c r="D1729" s="9">
        <v>44879</v>
      </c>
      <c r="E1729" s="11">
        <v>836</v>
      </c>
      <c r="F1729" s="23" t="str">
        <f>IFERROR(VLOOKUP(C1729, 'Catégorie des articles'!$A:$D, 4, FALSE), "")</f>
        <v>CREMERIE</v>
      </c>
      <c r="G1729">
        <f t="shared" si="26"/>
        <v>202211</v>
      </c>
    </row>
    <row r="1730" spans="1:7" ht="12" customHeight="1">
      <c r="A1730" s="6">
        <v>44872</v>
      </c>
      <c r="B1730" s="7">
        <v>143429480</v>
      </c>
      <c r="C1730" s="3">
        <v>5540246175050</v>
      </c>
      <c r="D1730" s="6">
        <v>44879</v>
      </c>
      <c r="E1730" s="8">
        <v>836</v>
      </c>
      <c r="F1730" s="23" t="str">
        <f>IFERROR(VLOOKUP(C1730, 'Catégorie des articles'!$A:$D, 4, FALSE), "")</f>
        <v>CREMERIE</v>
      </c>
      <c r="G1730">
        <f t="shared" si="26"/>
        <v>202211</v>
      </c>
    </row>
    <row r="1731" spans="1:7" ht="12" customHeight="1">
      <c r="A1731" s="6">
        <v>44872</v>
      </c>
      <c r="B1731" s="7">
        <v>143429483</v>
      </c>
      <c r="C1731" s="3">
        <v>5540246195999</v>
      </c>
      <c r="D1731" s="6">
        <v>44907</v>
      </c>
      <c r="E1731" s="8">
        <v>7517</v>
      </c>
      <c r="F1731" s="23" t="str">
        <f>IFERROR(VLOOKUP(C1731, 'Catégorie des articles'!$A:$D, 4, FALSE), "")</f>
        <v>MIX LEGUMES</v>
      </c>
      <c r="G1731">
        <f t="shared" ref="G1731:G1794" si="27">YEAR(D1731)*100 + MONTH(D1731)</f>
        <v>202212</v>
      </c>
    </row>
    <row r="1732" spans="1:7" ht="12" customHeight="1">
      <c r="A1732" s="6">
        <v>44872</v>
      </c>
      <c r="B1732" s="7">
        <v>143429490</v>
      </c>
      <c r="C1732" s="3">
        <v>5540246177133</v>
      </c>
      <c r="D1732" s="6">
        <v>44881</v>
      </c>
      <c r="E1732" s="8">
        <v>3898</v>
      </c>
      <c r="F1732" s="23" t="str">
        <f>IFERROR(VLOOKUP(C1732, 'Catégorie des articles'!$A:$D, 4, FALSE), "")</f>
        <v>MIX LEGUMES</v>
      </c>
      <c r="G1732">
        <f t="shared" si="27"/>
        <v>202211</v>
      </c>
    </row>
    <row r="1733" spans="1:7" ht="12" customHeight="1">
      <c r="A1733" s="9">
        <v>44872</v>
      </c>
      <c r="B1733" s="10">
        <v>143429490</v>
      </c>
      <c r="C1733" s="3">
        <v>5540246192148</v>
      </c>
      <c r="D1733" s="9">
        <v>44881</v>
      </c>
      <c r="E1733" s="11">
        <v>22272</v>
      </c>
      <c r="F1733" s="23" t="str">
        <f>IFERROR(VLOOKUP(C1733, 'Catégorie des articles'!$A:$D, 4, FALSE), "")</f>
        <v>MIX LEGUMES</v>
      </c>
      <c r="G1733">
        <f t="shared" si="27"/>
        <v>202211</v>
      </c>
    </row>
    <row r="1734" spans="1:7" ht="12" customHeight="1">
      <c r="A1734" s="6">
        <v>44872</v>
      </c>
      <c r="B1734" s="7">
        <v>143429490</v>
      </c>
      <c r="C1734" s="3">
        <v>5540246192518</v>
      </c>
      <c r="D1734" s="6">
        <v>44881</v>
      </c>
      <c r="E1734" s="8">
        <v>4385</v>
      </c>
      <c r="F1734" s="23" t="str">
        <f>IFERROR(VLOOKUP(C1734, 'Catégorie des articles'!$A:$D, 4, FALSE), "")</f>
        <v>MIX LEGUMES</v>
      </c>
      <c r="G1734">
        <f t="shared" si="27"/>
        <v>202211</v>
      </c>
    </row>
    <row r="1735" spans="1:7" ht="12" customHeight="1">
      <c r="A1735" s="6">
        <v>44873</v>
      </c>
      <c r="B1735" s="7">
        <v>143429508</v>
      </c>
      <c r="C1735" s="3">
        <v>5540246176294</v>
      </c>
      <c r="D1735" s="6">
        <v>44875</v>
      </c>
      <c r="E1735" s="8">
        <v>1114</v>
      </c>
      <c r="F1735" s="23" t="str">
        <f>IFERROR(VLOOKUP(C1735, 'Catégorie des articles'!$A:$D, 4, FALSE), "")</f>
        <v>CREMERIE</v>
      </c>
      <c r="G1735">
        <f t="shared" si="27"/>
        <v>202211</v>
      </c>
    </row>
    <row r="1736" spans="1:7" ht="12" customHeight="1">
      <c r="A1736" s="9">
        <v>44873</v>
      </c>
      <c r="B1736" s="10">
        <v>143429508</v>
      </c>
      <c r="C1736" s="3">
        <v>5540246176295</v>
      </c>
      <c r="D1736" s="9">
        <v>44875</v>
      </c>
      <c r="E1736" s="11">
        <v>7424</v>
      </c>
      <c r="F1736" s="23" t="str">
        <f>IFERROR(VLOOKUP(C1736, 'Catégorie des articles'!$A:$D, 4, FALSE), "")</f>
        <v>CREMERIE</v>
      </c>
      <c r="G1736">
        <f t="shared" si="27"/>
        <v>202211</v>
      </c>
    </row>
    <row r="1737" spans="1:7" ht="12" customHeight="1">
      <c r="A1737" s="9">
        <v>44873</v>
      </c>
      <c r="B1737" s="10">
        <v>143429508</v>
      </c>
      <c r="C1737" s="3">
        <v>5540246187987</v>
      </c>
      <c r="D1737" s="9">
        <v>44875</v>
      </c>
      <c r="E1737" s="11">
        <v>4455</v>
      </c>
      <c r="F1737" s="23" t="str">
        <f>IFERROR(VLOOKUP(C1737, 'Catégorie des articles'!$A:$D, 4, FALSE), "")</f>
        <v>CREMERIE</v>
      </c>
      <c r="G1737">
        <f t="shared" si="27"/>
        <v>202211</v>
      </c>
    </row>
    <row r="1738" spans="1:7" ht="12" customHeight="1">
      <c r="A1738" s="9">
        <v>44873</v>
      </c>
      <c r="B1738" s="10">
        <v>143429509</v>
      </c>
      <c r="C1738" s="3">
        <v>5540246172978</v>
      </c>
      <c r="D1738" s="9">
        <v>44875</v>
      </c>
      <c r="E1738" s="11">
        <v>1671</v>
      </c>
      <c r="F1738" s="23" t="str">
        <f>IFERROR(VLOOKUP(C1738, 'Catégorie des articles'!$A:$D, 4, FALSE), "")</f>
        <v>CREMERIE</v>
      </c>
      <c r="G1738">
        <f t="shared" si="27"/>
        <v>202211</v>
      </c>
    </row>
    <row r="1739" spans="1:7" ht="12" customHeight="1">
      <c r="A1739" s="9">
        <v>44873</v>
      </c>
      <c r="B1739" s="10">
        <v>143429509</v>
      </c>
      <c r="C1739" s="3">
        <v>5540246188175</v>
      </c>
      <c r="D1739" s="9">
        <v>44875</v>
      </c>
      <c r="E1739" s="11">
        <v>232</v>
      </c>
      <c r="F1739" s="23" t="str">
        <f>IFERROR(VLOOKUP(C1739, 'Catégorie des articles'!$A:$D, 4, FALSE), "")</f>
        <v>CREMERIE</v>
      </c>
      <c r="G1739">
        <f t="shared" si="27"/>
        <v>202211</v>
      </c>
    </row>
    <row r="1740" spans="1:7" ht="12" customHeight="1">
      <c r="A1740" s="6">
        <v>44874</v>
      </c>
      <c r="B1740" s="7">
        <v>143429538</v>
      </c>
      <c r="C1740" s="3">
        <v>5540246172978</v>
      </c>
      <c r="D1740" s="6">
        <v>44878</v>
      </c>
      <c r="E1740" s="8">
        <v>836</v>
      </c>
      <c r="F1740" s="23" t="str">
        <f>IFERROR(VLOOKUP(C1740, 'Catégorie des articles'!$A:$D, 4, FALSE), "")</f>
        <v>CREMERIE</v>
      </c>
      <c r="G1740">
        <f t="shared" si="27"/>
        <v>202211</v>
      </c>
    </row>
    <row r="1741" spans="1:7" ht="12" customHeight="1">
      <c r="A1741" s="6">
        <v>44874</v>
      </c>
      <c r="B1741" s="7">
        <v>143429538</v>
      </c>
      <c r="C1741" s="3">
        <v>5540246176699</v>
      </c>
      <c r="D1741" s="6">
        <v>44878</v>
      </c>
      <c r="E1741" s="8">
        <v>4176</v>
      </c>
      <c r="F1741" s="23" t="str">
        <f>IFERROR(VLOOKUP(C1741, 'Catégorie des articles'!$A:$D, 4, FALSE), "")</f>
        <v>CREMERIE</v>
      </c>
      <c r="G1741">
        <f t="shared" si="27"/>
        <v>202211</v>
      </c>
    </row>
    <row r="1742" spans="1:7" ht="12" customHeight="1">
      <c r="A1742" s="9">
        <v>44874</v>
      </c>
      <c r="B1742" s="10">
        <v>143429538</v>
      </c>
      <c r="C1742" s="3">
        <v>5540246192102</v>
      </c>
      <c r="D1742" s="9">
        <v>44878</v>
      </c>
      <c r="E1742" s="11">
        <v>4009</v>
      </c>
      <c r="F1742" s="23" t="str">
        <f>IFERROR(VLOOKUP(C1742, 'Catégorie des articles'!$A:$D, 4, FALSE), "")</f>
        <v>CREMERIE</v>
      </c>
      <c r="G1742">
        <f t="shared" si="27"/>
        <v>202211</v>
      </c>
    </row>
    <row r="1743" spans="1:7" ht="12" customHeight="1">
      <c r="A1743" s="6">
        <v>44874</v>
      </c>
      <c r="B1743" s="7">
        <v>143429539</v>
      </c>
      <c r="C1743" s="3">
        <v>5540246187987</v>
      </c>
      <c r="D1743" s="6">
        <v>44878</v>
      </c>
      <c r="E1743" s="8">
        <v>6682</v>
      </c>
      <c r="F1743" s="23" t="str">
        <f>IFERROR(VLOOKUP(C1743, 'Catégorie des articles'!$A:$D, 4, FALSE), "")</f>
        <v>CREMERIE</v>
      </c>
      <c r="G1743">
        <f t="shared" si="27"/>
        <v>202211</v>
      </c>
    </row>
    <row r="1744" spans="1:7" ht="12" customHeight="1">
      <c r="A1744" s="9">
        <v>44874</v>
      </c>
      <c r="B1744" s="10">
        <v>143429539</v>
      </c>
      <c r="C1744" s="3">
        <v>5540246188200</v>
      </c>
      <c r="D1744" s="9">
        <v>44878</v>
      </c>
      <c r="E1744" s="11">
        <v>2970</v>
      </c>
      <c r="F1744" s="23" t="str">
        <f>IFERROR(VLOOKUP(C1744, 'Catégorie des articles'!$A:$D, 4, FALSE), "")</f>
        <v>CREMERIE</v>
      </c>
      <c r="G1744">
        <f t="shared" si="27"/>
        <v>202211</v>
      </c>
    </row>
    <row r="1745" spans="1:7" ht="12" customHeight="1">
      <c r="A1745" s="6">
        <v>44874</v>
      </c>
      <c r="B1745" s="7">
        <v>143429553</v>
      </c>
      <c r="C1745" s="3">
        <v>5540246185429</v>
      </c>
      <c r="D1745" s="6">
        <v>44879</v>
      </c>
      <c r="E1745" s="8">
        <v>279</v>
      </c>
      <c r="F1745" s="23" t="str">
        <f>IFERROR(VLOOKUP(C1745, 'Catégorie des articles'!$A:$D, 4, FALSE), "")</f>
        <v>CREMERIE</v>
      </c>
      <c r="G1745">
        <f t="shared" si="27"/>
        <v>202211</v>
      </c>
    </row>
    <row r="1746" spans="1:7" ht="12" customHeight="1">
      <c r="A1746" s="6">
        <v>44875</v>
      </c>
      <c r="B1746" s="7">
        <v>143429584</v>
      </c>
      <c r="C1746" s="3">
        <v>5540246172539</v>
      </c>
      <c r="D1746" s="6">
        <v>44879</v>
      </c>
      <c r="E1746" s="8">
        <v>24</v>
      </c>
      <c r="F1746" s="23" t="str">
        <f>IFERROR(VLOOKUP(C1746, 'Catégorie des articles'!$A:$D, 4, FALSE), "")</f>
        <v>CREMERIE</v>
      </c>
      <c r="G1746">
        <f t="shared" si="27"/>
        <v>202211</v>
      </c>
    </row>
    <row r="1747" spans="1:7" ht="12" customHeight="1">
      <c r="A1747" s="9">
        <v>44875</v>
      </c>
      <c r="B1747" s="10">
        <v>143429584</v>
      </c>
      <c r="C1747" s="3">
        <v>5540246172669</v>
      </c>
      <c r="D1747" s="9">
        <v>44879</v>
      </c>
      <c r="E1747" s="11">
        <v>140</v>
      </c>
      <c r="F1747" s="23" t="str">
        <f>IFERROR(VLOOKUP(C1747, 'Catégorie des articles'!$A:$D, 4, FALSE), "")</f>
        <v>CREMERIE</v>
      </c>
      <c r="G1747">
        <f t="shared" si="27"/>
        <v>202211</v>
      </c>
    </row>
    <row r="1748" spans="1:7" ht="12" customHeight="1">
      <c r="A1748" s="6">
        <v>44875</v>
      </c>
      <c r="B1748" s="7">
        <v>143429584</v>
      </c>
      <c r="C1748" s="3">
        <v>5540246172978</v>
      </c>
      <c r="D1748" s="6">
        <v>44879</v>
      </c>
      <c r="E1748" s="8">
        <v>836</v>
      </c>
      <c r="F1748" s="23" t="str">
        <f>IFERROR(VLOOKUP(C1748, 'Catégorie des articles'!$A:$D, 4, FALSE), "")</f>
        <v>CREMERIE</v>
      </c>
      <c r="G1748">
        <f t="shared" si="27"/>
        <v>202211</v>
      </c>
    </row>
    <row r="1749" spans="1:7" ht="12" customHeight="1">
      <c r="A1749" s="6">
        <v>44875</v>
      </c>
      <c r="B1749" s="7">
        <v>143429584</v>
      </c>
      <c r="C1749" s="3">
        <v>5540246174174</v>
      </c>
      <c r="D1749" s="6">
        <v>44879</v>
      </c>
      <c r="E1749" s="8">
        <v>696</v>
      </c>
      <c r="F1749" s="23" t="str">
        <f>IFERROR(VLOOKUP(C1749, 'Catégorie des articles'!$A:$D, 4, FALSE), "")</f>
        <v>CREMERIE</v>
      </c>
      <c r="G1749">
        <f t="shared" si="27"/>
        <v>202211</v>
      </c>
    </row>
    <row r="1750" spans="1:7" ht="12" customHeight="1">
      <c r="A1750" s="6">
        <v>44875</v>
      </c>
      <c r="B1750" s="7">
        <v>143429584</v>
      </c>
      <c r="C1750" s="3">
        <v>5540246176699</v>
      </c>
      <c r="D1750" s="6">
        <v>44879</v>
      </c>
      <c r="E1750" s="8">
        <v>8352</v>
      </c>
      <c r="F1750" s="23" t="str">
        <f>IFERROR(VLOOKUP(C1750, 'Catégorie des articles'!$A:$D, 4, FALSE), "")</f>
        <v>CREMERIE</v>
      </c>
      <c r="G1750">
        <f t="shared" si="27"/>
        <v>202211</v>
      </c>
    </row>
    <row r="1751" spans="1:7" ht="12" customHeight="1">
      <c r="A1751" s="9">
        <v>44875</v>
      </c>
      <c r="B1751" s="10">
        <v>143429585</v>
      </c>
      <c r="C1751" s="3">
        <v>5540246176294</v>
      </c>
      <c r="D1751" s="9">
        <v>44879</v>
      </c>
      <c r="E1751" s="11">
        <v>1485</v>
      </c>
      <c r="F1751" s="23" t="str">
        <f>IFERROR(VLOOKUP(C1751, 'Catégorie des articles'!$A:$D, 4, FALSE), "")</f>
        <v>CREMERIE</v>
      </c>
      <c r="G1751">
        <f t="shared" si="27"/>
        <v>202211</v>
      </c>
    </row>
    <row r="1752" spans="1:7" ht="12" customHeight="1">
      <c r="A1752" s="6">
        <v>44875</v>
      </c>
      <c r="B1752" s="7">
        <v>143429585</v>
      </c>
      <c r="C1752" s="3">
        <v>5540246176295</v>
      </c>
      <c r="D1752" s="6">
        <v>44879</v>
      </c>
      <c r="E1752" s="8">
        <v>4455</v>
      </c>
      <c r="F1752" s="23" t="str">
        <f>IFERROR(VLOOKUP(C1752, 'Catégorie des articles'!$A:$D, 4, FALSE), "")</f>
        <v>CREMERIE</v>
      </c>
      <c r="G1752">
        <f t="shared" si="27"/>
        <v>202211</v>
      </c>
    </row>
    <row r="1753" spans="1:7" ht="12" customHeight="1">
      <c r="A1753" s="9">
        <v>44875</v>
      </c>
      <c r="B1753" s="10">
        <v>143429585</v>
      </c>
      <c r="C1753" s="3">
        <v>5540246187987</v>
      </c>
      <c r="D1753" s="9">
        <v>44879</v>
      </c>
      <c r="E1753" s="11">
        <v>4455</v>
      </c>
      <c r="F1753" s="23" t="str">
        <f>IFERROR(VLOOKUP(C1753, 'Catégorie des articles'!$A:$D, 4, FALSE), "")</f>
        <v>CREMERIE</v>
      </c>
      <c r="G1753">
        <f t="shared" si="27"/>
        <v>202211</v>
      </c>
    </row>
    <row r="1754" spans="1:7" ht="12" customHeight="1">
      <c r="A1754" s="6">
        <v>44875</v>
      </c>
      <c r="B1754" s="7">
        <v>143429586</v>
      </c>
      <c r="C1754" s="3">
        <v>5540246185429</v>
      </c>
      <c r="D1754" s="6">
        <v>44881</v>
      </c>
      <c r="E1754" s="8">
        <v>140</v>
      </c>
      <c r="F1754" s="23" t="str">
        <f>IFERROR(VLOOKUP(C1754, 'Catégorie des articles'!$A:$D, 4, FALSE), "")</f>
        <v>CREMERIE</v>
      </c>
      <c r="G1754">
        <f t="shared" si="27"/>
        <v>202211</v>
      </c>
    </row>
    <row r="1755" spans="1:7" ht="12" customHeight="1">
      <c r="A1755" s="9">
        <v>44875</v>
      </c>
      <c r="B1755" s="10">
        <v>143429586</v>
      </c>
      <c r="C1755" s="3">
        <v>5540246185562</v>
      </c>
      <c r="D1755" s="9">
        <v>44881</v>
      </c>
      <c r="E1755" s="11">
        <v>209</v>
      </c>
      <c r="F1755" s="23" t="str">
        <f>IFERROR(VLOOKUP(C1755, 'Catégorie des articles'!$A:$D, 4, FALSE), "")</f>
        <v>CREMERIE</v>
      </c>
      <c r="G1755">
        <f t="shared" si="27"/>
        <v>202211</v>
      </c>
    </row>
    <row r="1756" spans="1:7" ht="12" customHeight="1">
      <c r="A1756" s="6">
        <v>44875</v>
      </c>
      <c r="B1756" s="7">
        <v>143429586</v>
      </c>
      <c r="C1756" s="3">
        <v>5540246186325</v>
      </c>
      <c r="D1756" s="6">
        <v>44881</v>
      </c>
      <c r="E1756" s="8">
        <v>279</v>
      </c>
      <c r="F1756" s="23" t="str">
        <f>IFERROR(VLOOKUP(C1756, 'Catégorie des articles'!$A:$D, 4, FALSE), "")</f>
        <v>CREMERIE</v>
      </c>
      <c r="G1756">
        <f t="shared" si="27"/>
        <v>202211</v>
      </c>
    </row>
    <row r="1757" spans="1:7" ht="12" customHeight="1">
      <c r="A1757" s="6">
        <v>44875</v>
      </c>
      <c r="B1757" s="7">
        <v>143429592</v>
      </c>
      <c r="C1757" s="3">
        <v>5540246181061</v>
      </c>
      <c r="D1757" s="6">
        <v>44887</v>
      </c>
      <c r="E1757" s="8">
        <v>6615</v>
      </c>
      <c r="F1757" s="23" t="str">
        <f>IFERROR(VLOOKUP(C1757, 'Catégorie des articles'!$A:$D, 4, FALSE), "")</f>
        <v>VOLAILLE</v>
      </c>
      <c r="G1757">
        <f t="shared" si="27"/>
        <v>202211</v>
      </c>
    </row>
    <row r="1758" spans="1:7" ht="12" customHeight="1">
      <c r="A1758" s="9">
        <v>44875</v>
      </c>
      <c r="B1758" s="10">
        <v>143429592</v>
      </c>
      <c r="C1758" s="3">
        <v>5540246183547</v>
      </c>
      <c r="D1758" s="9">
        <v>44887</v>
      </c>
      <c r="E1758" s="11">
        <v>13364</v>
      </c>
      <c r="F1758" s="23" t="str">
        <f>IFERROR(VLOOKUP(C1758, 'Catégorie des articles'!$A:$D, 4, FALSE), "")</f>
        <v>VOLAILLE</v>
      </c>
      <c r="G1758">
        <f t="shared" si="27"/>
        <v>202211</v>
      </c>
    </row>
    <row r="1759" spans="1:7" ht="12" customHeight="1">
      <c r="A1759" s="6">
        <v>44875</v>
      </c>
      <c r="B1759" s="7">
        <v>143429592</v>
      </c>
      <c r="C1759" s="3">
        <v>5540246185278</v>
      </c>
      <c r="D1759" s="6">
        <v>44887</v>
      </c>
      <c r="E1759" s="8">
        <v>3358</v>
      </c>
      <c r="F1759" s="23" t="str">
        <f>IFERROR(VLOOKUP(C1759, 'Catégorie des articles'!$A:$D, 4, FALSE), "")</f>
        <v>VOLAILLE</v>
      </c>
      <c r="G1759">
        <f t="shared" si="27"/>
        <v>202211</v>
      </c>
    </row>
    <row r="1760" spans="1:7" ht="12" customHeight="1">
      <c r="A1760" s="9">
        <v>44875</v>
      </c>
      <c r="B1760" s="10">
        <v>143429593</v>
      </c>
      <c r="C1760" s="3">
        <v>5540246183587</v>
      </c>
      <c r="D1760" s="9">
        <v>44892</v>
      </c>
      <c r="E1760" s="11">
        <v>1003</v>
      </c>
      <c r="F1760" s="23" t="str">
        <f>IFERROR(VLOOKUP(C1760, 'Catégorie des articles'!$A:$D, 4, FALSE), "")</f>
        <v>MIX LEGUMES</v>
      </c>
      <c r="G1760">
        <f t="shared" si="27"/>
        <v>202211</v>
      </c>
    </row>
    <row r="1761" spans="1:7" ht="12" customHeight="1">
      <c r="A1761" s="6">
        <v>44875</v>
      </c>
      <c r="B1761" s="7">
        <v>143429593</v>
      </c>
      <c r="C1761" s="3">
        <v>5540246183589</v>
      </c>
      <c r="D1761" s="6">
        <v>44892</v>
      </c>
      <c r="E1761" s="8">
        <v>1300</v>
      </c>
      <c r="F1761" s="23" t="str">
        <f>IFERROR(VLOOKUP(C1761, 'Catégorie des articles'!$A:$D, 4, FALSE), "")</f>
        <v>MIX LEGUMES</v>
      </c>
      <c r="G1761">
        <f t="shared" si="27"/>
        <v>202211</v>
      </c>
    </row>
    <row r="1762" spans="1:7" ht="12" customHeight="1">
      <c r="A1762" s="9">
        <v>44875</v>
      </c>
      <c r="B1762" s="10">
        <v>143429599</v>
      </c>
      <c r="C1762" s="3">
        <v>5540246177376</v>
      </c>
      <c r="D1762" s="9">
        <v>44892</v>
      </c>
      <c r="E1762" s="11">
        <v>1420</v>
      </c>
      <c r="F1762" s="23" t="str">
        <f>IFERROR(VLOOKUP(C1762, 'Catégorie des articles'!$A:$D, 4, FALSE), "")</f>
        <v>BOULANGERIE</v>
      </c>
      <c r="G1762">
        <f t="shared" si="27"/>
        <v>202211</v>
      </c>
    </row>
    <row r="1763" spans="1:7" ht="12" customHeight="1">
      <c r="A1763" s="6">
        <v>44875</v>
      </c>
      <c r="B1763" s="7">
        <v>143429600</v>
      </c>
      <c r="C1763" s="3">
        <v>5540246180522</v>
      </c>
      <c r="D1763" s="6">
        <v>44895</v>
      </c>
      <c r="E1763" s="8">
        <v>1671</v>
      </c>
      <c r="F1763" s="23" t="str">
        <f>IFERROR(VLOOKUP(C1763, 'Catégorie des articles'!$A:$D, 4, FALSE), "")</f>
        <v>BOULANGERIE</v>
      </c>
      <c r="G1763">
        <f t="shared" si="27"/>
        <v>202211</v>
      </c>
    </row>
    <row r="1764" spans="1:7" ht="12" customHeight="1">
      <c r="A1764" s="6">
        <v>44875</v>
      </c>
      <c r="B1764" s="7">
        <v>143429604</v>
      </c>
      <c r="C1764" s="3">
        <v>5540246182684</v>
      </c>
      <c r="D1764" s="6">
        <v>44892</v>
      </c>
      <c r="E1764" s="8">
        <v>232</v>
      </c>
      <c r="F1764" s="23" t="str">
        <f>IFERROR(VLOOKUP(C1764, 'Catégorie des articles'!$A:$D, 4, FALSE), "")</f>
        <v>BOULANGERIE</v>
      </c>
      <c r="G1764">
        <f t="shared" si="27"/>
        <v>202211</v>
      </c>
    </row>
    <row r="1765" spans="1:7" ht="12" customHeight="1">
      <c r="A1765" s="9">
        <v>44875</v>
      </c>
      <c r="B1765" s="10">
        <v>143429604</v>
      </c>
      <c r="C1765" s="3">
        <v>5540246183844</v>
      </c>
      <c r="D1765" s="9">
        <v>44892</v>
      </c>
      <c r="E1765" s="11">
        <v>464</v>
      </c>
      <c r="F1765" s="23" t="str">
        <f>IFERROR(VLOOKUP(C1765, 'Catégorie des articles'!$A:$D, 4, FALSE), "")</f>
        <v>BOULANGERIE</v>
      </c>
      <c r="G1765">
        <f t="shared" si="27"/>
        <v>202211</v>
      </c>
    </row>
    <row r="1766" spans="1:7" ht="12" customHeight="1">
      <c r="A1766" s="6">
        <v>44875</v>
      </c>
      <c r="B1766" s="7">
        <v>143429604</v>
      </c>
      <c r="C1766" s="3">
        <v>5540246194467</v>
      </c>
      <c r="D1766" s="6">
        <v>44892</v>
      </c>
      <c r="E1766" s="8">
        <v>17818</v>
      </c>
      <c r="F1766" s="23" t="str">
        <f>IFERROR(VLOOKUP(C1766, 'Catégorie des articles'!$A:$D, 4, FALSE), "")</f>
        <v>BOULANGERIE</v>
      </c>
      <c r="G1766">
        <f t="shared" si="27"/>
        <v>202211</v>
      </c>
    </row>
    <row r="1767" spans="1:7" ht="12" customHeight="1">
      <c r="A1767" s="6">
        <v>44875</v>
      </c>
      <c r="B1767" s="7">
        <v>143429614</v>
      </c>
      <c r="C1767" s="3">
        <v>5540246183130</v>
      </c>
      <c r="D1767" s="6">
        <v>44895</v>
      </c>
      <c r="E1767" s="8">
        <v>3383</v>
      </c>
      <c r="F1767" s="23" t="str">
        <f>IFERROR(VLOOKUP(C1767, 'Catégorie des articles'!$A:$D, 4, FALSE), "")</f>
        <v>MIX LEGUMES</v>
      </c>
      <c r="G1767">
        <f t="shared" si="27"/>
        <v>202211</v>
      </c>
    </row>
    <row r="1768" spans="1:7" ht="12" customHeight="1">
      <c r="A1768" s="9">
        <v>44875</v>
      </c>
      <c r="B1768" s="10">
        <v>143429614</v>
      </c>
      <c r="C1768" s="3">
        <v>5540246183455</v>
      </c>
      <c r="D1768" s="9">
        <v>44895</v>
      </c>
      <c r="E1768" s="11">
        <v>1044</v>
      </c>
      <c r="F1768" s="23" t="str">
        <f>IFERROR(VLOOKUP(C1768, 'Catégorie des articles'!$A:$D, 4, FALSE), "")</f>
        <v>MIX LEGUMES</v>
      </c>
      <c r="G1768">
        <f t="shared" si="27"/>
        <v>202211</v>
      </c>
    </row>
    <row r="1769" spans="1:7" ht="12" customHeight="1">
      <c r="A1769" s="6">
        <v>44875</v>
      </c>
      <c r="B1769" s="7">
        <v>143429614</v>
      </c>
      <c r="C1769" s="3">
        <v>5540246183555</v>
      </c>
      <c r="D1769" s="6">
        <v>44895</v>
      </c>
      <c r="E1769" s="8">
        <v>543</v>
      </c>
      <c r="F1769" s="23" t="str">
        <f>IFERROR(VLOOKUP(C1769, 'Catégorie des articles'!$A:$D, 4, FALSE), "")</f>
        <v>MIX LEGUMES</v>
      </c>
      <c r="G1769">
        <f t="shared" si="27"/>
        <v>202211</v>
      </c>
    </row>
    <row r="1770" spans="1:7" ht="12" customHeight="1">
      <c r="A1770" s="9">
        <v>44875</v>
      </c>
      <c r="B1770" s="10">
        <v>143429615</v>
      </c>
      <c r="C1770" s="3">
        <v>5540246195943</v>
      </c>
      <c r="D1770" s="9">
        <v>44906</v>
      </c>
      <c r="E1770" s="11">
        <v>928</v>
      </c>
      <c r="F1770" s="23" t="str">
        <f>IFERROR(VLOOKUP(C1770, 'Catégorie des articles'!$A:$D, 4, FALSE), "")</f>
        <v>CREMERIE</v>
      </c>
      <c r="G1770">
        <f t="shared" si="27"/>
        <v>202212</v>
      </c>
    </row>
    <row r="1771" spans="1:7" ht="12" customHeight="1">
      <c r="A1771" s="6">
        <v>44875</v>
      </c>
      <c r="B1771" s="7">
        <v>143429615</v>
      </c>
      <c r="C1771" s="3">
        <v>5540246195944</v>
      </c>
      <c r="D1771" s="6">
        <v>44906</v>
      </c>
      <c r="E1771" s="8">
        <v>928</v>
      </c>
      <c r="F1771" s="23" t="str">
        <f>IFERROR(VLOOKUP(C1771, 'Catégorie des articles'!$A:$D, 4, FALSE), "")</f>
        <v>CREMERIE</v>
      </c>
      <c r="G1771">
        <f t="shared" si="27"/>
        <v>202212</v>
      </c>
    </row>
    <row r="1772" spans="1:7" ht="12" customHeight="1">
      <c r="A1772" s="9">
        <v>44875</v>
      </c>
      <c r="B1772" s="10">
        <v>143429616</v>
      </c>
      <c r="C1772" s="3">
        <v>5540246183558</v>
      </c>
      <c r="D1772" s="9">
        <v>44886</v>
      </c>
      <c r="E1772" s="11">
        <v>5197</v>
      </c>
      <c r="F1772" s="23" t="str">
        <f>IFERROR(VLOOKUP(C1772, 'Catégorie des articles'!$A:$D, 4, FALSE), "")</f>
        <v>MIX LEGUMES</v>
      </c>
      <c r="G1772">
        <f t="shared" si="27"/>
        <v>202211</v>
      </c>
    </row>
    <row r="1773" spans="1:7" ht="12" customHeight="1">
      <c r="A1773" s="6">
        <v>44875</v>
      </c>
      <c r="B1773" s="7">
        <v>143429616</v>
      </c>
      <c r="C1773" s="3">
        <v>5540246192209</v>
      </c>
      <c r="D1773" s="6">
        <v>44886</v>
      </c>
      <c r="E1773" s="8">
        <v>2228</v>
      </c>
      <c r="F1773" s="23" t="str">
        <f>IFERROR(VLOOKUP(C1773, 'Catégorie des articles'!$A:$D, 4, FALSE), "")</f>
        <v>MIX LEGUMES</v>
      </c>
      <c r="G1773">
        <f t="shared" si="27"/>
        <v>202211</v>
      </c>
    </row>
    <row r="1774" spans="1:7" ht="12" customHeight="1">
      <c r="A1774" s="9">
        <v>44875</v>
      </c>
      <c r="B1774" s="10">
        <v>143429618</v>
      </c>
      <c r="C1774" s="3">
        <v>5540246190727</v>
      </c>
      <c r="D1774" s="9">
        <v>44894</v>
      </c>
      <c r="E1774" s="11">
        <v>877</v>
      </c>
      <c r="F1774" s="23" t="str">
        <f>IFERROR(VLOOKUP(C1774, 'Catégorie des articles'!$A:$D, 4, FALSE), "")</f>
        <v>BOULANGERIE</v>
      </c>
      <c r="G1774">
        <f t="shared" si="27"/>
        <v>202211</v>
      </c>
    </row>
    <row r="1775" spans="1:7" ht="12" customHeight="1">
      <c r="A1775" s="9">
        <v>44875</v>
      </c>
      <c r="B1775" s="10">
        <v>143429651</v>
      </c>
      <c r="C1775" s="3">
        <v>5540246194947</v>
      </c>
      <c r="D1775" s="9">
        <v>44903</v>
      </c>
      <c r="E1775" s="11">
        <v>232</v>
      </c>
      <c r="F1775" s="23" t="str">
        <f>IFERROR(VLOOKUP(C1775, 'Catégorie des articles'!$A:$D, 4, FALSE), "")</f>
        <v>EMBALLAGES</v>
      </c>
      <c r="G1775">
        <f t="shared" si="27"/>
        <v>202212</v>
      </c>
    </row>
    <row r="1776" spans="1:7" ht="12" customHeight="1">
      <c r="A1776" s="6">
        <v>44878</v>
      </c>
      <c r="B1776" s="7">
        <v>143439653</v>
      </c>
      <c r="C1776" s="3">
        <v>5540246172539</v>
      </c>
      <c r="D1776" s="6">
        <v>44880</v>
      </c>
      <c r="E1776" s="8">
        <v>24</v>
      </c>
      <c r="F1776" s="23" t="str">
        <f>IFERROR(VLOOKUP(C1776, 'Catégorie des articles'!$A:$D, 4, FALSE), "")</f>
        <v>CREMERIE</v>
      </c>
      <c r="G1776">
        <f t="shared" si="27"/>
        <v>202211</v>
      </c>
    </row>
    <row r="1777" spans="1:7" ht="12" customHeight="1">
      <c r="A1777" s="9">
        <v>44878</v>
      </c>
      <c r="B1777" s="10">
        <v>143439653</v>
      </c>
      <c r="C1777" s="3">
        <v>5540246172669</v>
      </c>
      <c r="D1777" s="9">
        <v>44880</v>
      </c>
      <c r="E1777" s="11">
        <v>140</v>
      </c>
      <c r="F1777" s="23" t="str">
        <f>IFERROR(VLOOKUP(C1777, 'Catégorie des articles'!$A:$D, 4, FALSE), "")</f>
        <v>CREMERIE</v>
      </c>
      <c r="G1777">
        <f t="shared" si="27"/>
        <v>202211</v>
      </c>
    </row>
    <row r="1778" spans="1:7" ht="12" customHeight="1">
      <c r="A1778" s="6">
        <v>44878</v>
      </c>
      <c r="B1778" s="7">
        <v>143439655</v>
      </c>
      <c r="C1778" s="3">
        <v>5540246176294</v>
      </c>
      <c r="D1778" s="6">
        <v>44880</v>
      </c>
      <c r="E1778" s="8">
        <v>1485</v>
      </c>
      <c r="F1778" s="23" t="str">
        <f>IFERROR(VLOOKUP(C1778, 'Catégorie des articles'!$A:$D, 4, FALSE), "")</f>
        <v>CREMERIE</v>
      </c>
      <c r="G1778">
        <f t="shared" si="27"/>
        <v>202211</v>
      </c>
    </row>
    <row r="1779" spans="1:7" ht="12" customHeight="1">
      <c r="A1779" s="9">
        <v>44878</v>
      </c>
      <c r="B1779" s="10">
        <v>143439655</v>
      </c>
      <c r="C1779" s="3">
        <v>5540246176295</v>
      </c>
      <c r="D1779" s="9">
        <v>44880</v>
      </c>
      <c r="E1779" s="11">
        <v>4455</v>
      </c>
      <c r="F1779" s="23" t="str">
        <f>IFERROR(VLOOKUP(C1779, 'Catégorie des articles'!$A:$D, 4, FALSE), "")</f>
        <v>CREMERIE</v>
      </c>
      <c r="G1779">
        <f t="shared" si="27"/>
        <v>202211</v>
      </c>
    </row>
    <row r="1780" spans="1:7" ht="12" customHeight="1">
      <c r="A1780" s="6">
        <v>44878</v>
      </c>
      <c r="B1780" s="7">
        <v>143439655</v>
      </c>
      <c r="C1780" s="3">
        <v>5540246187987</v>
      </c>
      <c r="D1780" s="6">
        <v>44880</v>
      </c>
      <c r="E1780" s="8">
        <v>2228</v>
      </c>
      <c r="F1780" s="23" t="str">
        <f>IFERROR(VLOOKUP(C1780, 'Catégorie des articles'!$A:$D, 4, FALSE), "")</f>
        <v>CREMERIE</v>
      </c>
      <c r="G1780">
        <f t="shared" si="27"/>
        <v>202211</v>
      </c>
    </row>
    <row r="1781" spans="1:7" ht="12" customHeight="1">
      <c r="A1781" s="9">
        <v>44878</v>
      </c>
      <c r="B1781" s="10">
        <v>143439655</v>
      </c>
      <c r="C1781" s="3">
        <v>5540246188200</v>
      </c>
      <c r="D1781" s="9">
        <v>44880</v>
      </c>
      <c r="E1781" s="11">
        <v>2228</v>
      </c>
      <c r="F1781" s="23" t="str">
        <f>IFERROR(VLOOKUP(C1781, 'Catégorie des articles'!$A:$D, 4, FALSE), "")</f>
        <v>CREMERIE</v>
      </c>
      <c r="G1781">
        <f t="shared" si="27"/>
        <v>202211</v>
      </c>
    </row>
    <row r="1782" spans="1:7" ht="12" customHeight="1">
      <c r="A1782" s="9">
        <v>44878</v>
      </c>
      <c r="B1782" s="10">
        <v>143439659</v>
      </c>
      <c r="C1782" s="3">
        <v>5540246173472</v>
      </c>
      <c r="D1782" s="9">
        <v>44882</v>
      </c>
      <c r="E1782" s="11">
        <v>279</v>
      </c>
      <c r="F1782" s="23" t="str">
        <f>IFERROR(VLOOKUP(C1782, 'Catégorie des articles'!$A:$D, 4, FALSE), "")</f>
        <v>CREMERIE</v>
      </c>
      <c r="G1782">
        <f t="shared" si="27"/>
        <v>202211</v>
      </c>
    </row>
    <row r="1783" spans="1:7" ht="12" customHeight="1">
      <c r="A1783" s="6">
        <v>44878</v>
      </c>
      <c r="B1783" s="7">
        <v>143439659</v>
      </c>
      <c r="C1783" s="3">
        <v>5540246175049</v>
      </c>
      <c r="D1783" s="6">
        <v>44882</v>
      </c>
      <c r="E1783" s="8">
        <v>836</v>
      </c>
      <c r="F1783" s="23" t="str">
        <f>IFERROR(VLOOKUP(C1783, 'Catégorie des articles'!$A:$D, 4, FALSE), "")</f>
        <v>CREMERIE</v>
      </c>
      <c r="G1783">
        <f t="shared" si="27"/>
        <v>202211</v>
      </c>
    </row>
    <row r="1784" spans="1:7" ht="12" customHeight="1">
      <c r="A1784" s="9">
        <v>44878</v>
      </c>
      <c r="B1784" s="10">
        <v>143439659</v>
      </c>
      <c r="C1784" s="3">
        <v>5540246175050</v>
      </c>
      <c r="D1784" s="9">
        <v>44882</v>
      </c>
      <c r="E1784" s="11">
        <v>836</v>
      </c>
      <c r="F1784" s="23" t="str">
        <f>IFERROR(VLOOKUP(C1784, 'Catégorie des articles'!$A:$D, 4, FALSE), "")</f>
        <v>CREMERIE</v>
      </c>
      <c r="G1784">
        <f t="shared" si="27"/>
        <v>202211</v>
      </c>
    </row>
    <row r="1785" spans="1:7" ht="12" customHeight="1">
      <c r="A1785" s="9">
        <v>44879</v>
      </c>
      <c r="B1785" s="10">
        <v>143439679</v>
      </c>
      <c r="C1785" s="3">
        <v>5540246171759</v>
      </c>
      <c r="D1785" s="9">
        <v>44886</v>
      </c>
      <c r="E1785" s="11">
        <v>6682</v>
      </c>
      <c r="F1785" s="23" t="str">
        <f>IFERROR(VLOOKUP(C1785, 'Catégorie des articles'!$A:$D, 4, FALSE), "")</f>
        <v>MIX LEGUMES</v>
      </c>
      <c r="G1785">
        <f t="shared" si="27"/>
        <v>202211</v>
      </c>
    </row>
    <row r="1786" spans="1:7" ht="12" customHeight="1">
      <c r="A1786" s="6">
        <v>44879</v>
      </c>
      <c r="B1786" s="7">
        <v>143439679</v>
      </c>
      <c r="C1786" s="3">
        <v>5540246177133</v>
      </c>
      <c r="D1786" s="6">
        <v>44886</v>
      </c>
      <c r="E1786" s="8">
        <v>8909</v>
      </c>
      <c r="F1786" s="23" t="str">
        <f>IFERROR(VLOOKUP(C1786, 'Catégorie des articles'!$A:$D, 4, FALSE), "")</f>
        <v>MIX LEGUMES</v>
      </c>
      <c r="G1786">
        <f t="shared" si="27"/>
        <v>202211</v>
      </c>
    </row>
    <row r="1787" spans="1:7" ht="12" customHeight="1">
      <c r="A1787" s="6">
        <v>44879</v>
      </c>
      <c r="B1787" s="7">
        <v>143439682</v>
      </c>
      <c r="C1787" s="3">
        <v>5540246176699</v>
      </c>
      <c r="D1787" s="6">
        <v>44881</v>
      </c>
      <c r="E1787" s="8">
        <v>8352</v>
      </c>
      <c r="F1787" s="23" t="str">
        <f>IFERROR(VLOOKUP(C1787, 'Catégorie des articles'!$A:$D, 4, FALSE), "")</f>
        <v>CREMERIE</v>
      </c>
      <c r="G1787">
        <f t="shared" si="27"/>
        <v>202211</v>
      </c>
    </row>
    <row r="1788" spans="1:7" ht="12" customHeight="1">
      <c r="A1788" s="6">
        <v>44879</v>
      </c>
      <c r="B1788" s="7">
        <v>143439683</v>
      </c>
      <c r="C1788" s="3">
        <v>5540246176295</v>
      </c>
      <c r="D1788" s="6">
        <v>44881</v>
      </c>
      <c r="E1788" s="8">
        <v>4455</v>
      </c>
      <c r="F1788" s="23" t="str">
        <f>IFERROR(VLOOKUP(C1788, 'Catégorie des articles'!$A:$D, 4, FALSE), "")</f>
        <v>CREMERIE</v>
      </c>
      <c r="G1788">
        <f t="shared" si="27"/>
        <v>202211</v>
      </c>
    </row>
    <row r="1789" spans="1:7" ht="12" customHeight="1">
      <c r="A1789" s="9">
        <v>44879</v>
      </c>
      <c r="B1789" s="10">
        <v>143439690</v>
      </c>
      <c r="C1789" s="3">
        <v>5540246191598</v>
      </c>
      <c r="D1789" s="9">
        <v>44885</v>
      </c>
      <c r="E1789" s="11">
        <v>1601</v>
      </c>
      <c r="F1789" s="23" t="str">
        <f>IFERROR(VLOOKUP(C1789, 'Catégorie des articles'!$A:$D, 4, FALSE), "")</f>
        <v>CREMERIE</v>
      </c>
      <c r="G1789">
        <f t="shared" si="27"/>
        <v>202211</v>
      </c>
    </row>
    <row r="1790" spans="1:7" ht="12" customHeight="1">
      <c r="A1790" s="9">
        <v>44879</v>
      </c>
      <c r="B1790" s="10">
        <v>143439691</v>
      </c>
      <c r="C1790" s="3">
        <v>5540246195943</v>
      </c>
      <c r="D1790" s="9">
        <v>44914</v>
      </c>
      <c r="E1790" s="11">
        <v>928</v>
      </c>
      <c r="F1790" s="23" t="str">
        <f>IFERROR(VLOOKUP(C1790, 'Catégorie des articles'!$A:$D, 4, FALSE), "")</f>
        <v>CREMERIE</v>
      </c>
      <c r="G1790">
        <f t="shared" si="27"/>
        <v>202212</v>
      </c>
    </row>
    <row r="1791" spans="1:7" ht="12" customHeight="1">
      <c r="A1791" s="6">
        <v>44879</v>
      </c>
      <c r="B1791" s="7">
        <v>143439691</v>
      </c>
      <c r="C1791" s="3">
        <v>5540246195944</v>
      </c>
      <c r="D1791" s="6">
        <v>44914</v>
      </c>
      <c r="E1791" s="8">
        <v>928</v>
      </c>
      <c r="F1791" s="23" t="str">
        <f>IFERROR(VLOOKUP(C1791, 'Catégorie des articles'!$A:$D, 4, FALSE), "")</f>
        <v>CREMERIE</v>
      </c>
      <c r="G1791">
        <f t="shared" si="27"/>
        <v>202212</v>
      </c>
    </row>
    <row r="1792" spans="1:7" ht="12" customHeight="1">
      <c r="A1792" s="9">
        <v>44880</v>
      </c>
      <c r="B1792" s="10">
        <v>143439720</v>
      </c>
      <c r="C1792" s="3">
        <v>5540246172669</v>
      </c>
      <c r="D1792" s="9">
        <v>44882</v>
      </c>
      <c r="E1792" s="11">
        <v>140</v>
      </c>
      <c r="F1792" s="23" t="str">
        <f>IFERROR(VLOOKUP(C1792, 'Catégorie des articles'!$A:$D, 4, FALSE), "")</f>
        <v>CREMERIE</v>
      </c>
      <c r="G1792">
        <f t="shared" si="27"/>
        <v>202211</v>
      </c>
    </row>
    <row r="1793" spans="1:7" ht="12" customHeight="1">
      <c r="A1793" s="6">
        <v>44880</v>
      </c>
      <c r="B1793" s="7">
        <v>143439720</v>
      </c>
      <c r="C1793" s="3">
        <v>5540246172978</v>
      </c>
      <c r="D1793" s="6">
        <v>44882</v>
      </c>
      <c r="E1793" s="8">
        <v>1671</v>
      </c>
      <c r="F1793" s="23" t="str">
        <f>IFERROR(VLOOKUP(C1793, 'Catégorie des articles'!$A:$D, 4, FALSE), "")</f>
        <v>CREMERIE</v>
      </c>
      <c r="G1793">
        <f t="shared" si="27"/>
        <v>202211</v>
      </c>
    </row>
    <row r="1794" spans="1:7" ht="12" customHeight="1">
      <c r="A1794" s="6">
        <v>44880</v>
      </c>
      <c r="B1794" s="7">
        <v>143439720</v>
      </c>
      <c r="C1794" s="3">
        <v>5540246174174</v>
      </c>
      <c r="D1794" s="6">
        <v>44882</v>
      </c>
      <c r="E1794" s="8">
        <v>232</v>
      </c>
      <c r="F1794" s="23" t="str">
        <f>IFERROR(VLOOKUP(C1794, 'Catégorie des articles'!$A:$D, 4, FALSE), "")</f>
        <v>CREMERIE</v>
      </c>
      <c r="G1794">
        <f t="shared" si="27"/>
        <v>202211</v>
      </c>
    </row>
    <row r="1795" spans="1:7" ht="12" customHeight="1">
      <c r="A1795" s="6">
        <v>44880</v>
      </c>
      <c r="B1795" s="7">
        <v>143439720</v>
      </c>
      <c r="C1795" s="3">
        <v>5540246188175</v>
      </c>
      <c r="D1795" s="6">
        <v>44882</v>
      </c>
      <c r="E1795" s="8">
        <v>232</v>
      </c>
      <c r="F1795" s="23" t="str">
        <f>IFERROR(VLOOKUP(C1795, 'Catégorie des articles'!$A:$D, 4, FALSE), "")</f>
        <v>CREMERIE</v>
      </c>
      <c r="G1795">
        <f t="shared" ref="G1795:G1858" si="28">YEAR(D1795)*100 + MONTH(D1795)</f>
        <v>202211</v>
      </c>
    </row>
    <row r="1796" spans="1:7" ht="12" customHeight="1">
      <c r="A1796" s="6">
        <v>44880</v>
      </c>
      <c r="B1796" s="7">
        <v>143439723</v>
      </c>
      <c r="C1796" s="3">
        <v>5540246171933</v>
      </c>
      <c r="D1796" s="6">
        <v>44882</v>
      </c>
      <c r="E1796" s="8">
        <v>1671</v>
      </c>
      <c r="F1796" s="23" t="str">
        <f>IFERROR(VLOOKUP(C1796, 'Catégorie des articles'!$A:$D, 4, FALSE), "")</f>
        <v>CREMERIE</v>
      </c>
      <c r="G1796">
        <f t="shared" si="28"/>
        <v>202211</v>
      </c>
    </row>
    <row r="1797" spans="1:7" ht="12" customHeight="1">
      <c r="A1797" s="6">
        <v>44880</v>
      </c>
      <c r="B1797" s="7">
        <v>143439723</v>
      </c>
      <c r="C1797" s="3">
        <v>5540246176294</v>
      </c>
      <c r="D1797" s="6">
        <v>44882</v>
      </c>
      <c r="E1797" s="8">
        <v>743</v>
      </c>
      <c r="F1797" s="23" t="str">
        <f>IFERROR(VLOOKUP(C1797, 'Catégorie des articles'!$A:$D, 4, FALSE), "")</f>
        <v>CREMERIE</v>
      </c>
      <c r="G1797">
        <f t="shared" si="28"/>
        <v>202211</v>
      </c>
    </row>
    <row r="1798" spans="1:7" ht="12" customHeight="1">
      <c r="A1798" s="9">
        <v>44880</v>
      </c>
      <c r="B1798" s="10">
        <v>143439723</v>
      </c>
      <c r="C1798" s="3">
        <v>5540246176295</v>
      </c>
      <c r="D1798" s="9">
        <v>44882</v>
      </c>
      <c r="E1798" s="11">
        <v>7424</v>
      </c>
      <c r="F1798" s="23" t="str">
        <f>IFERROR(VLOOKUP(C1798, 'Catégorie des articles'!$A:$D, 4, FALSE), "")</f>
        <v>CREMERIE</v>
      </c>
      <c r="G1798">
        <f t="shared" si="28"/>
        <v>202211</v>
      </c>
    </row>
    <row r="1799" spans="1:7" ht="12" customHeight="1">
      <c r="A1799" s="9">
        <v>44880</v>
      </c>
      <c r="B1799" s="10">
        <v>143439723</v>
      </c>
      <c r="C1799" s="3">
        <v>5540246187987</v>
      </c>
      <c r="D1799" s="9">
        <v>44882</v>
      </c>
      <c r="E1799" s="11">
        <v>4455</v>
      </c>
      <c r="F1799" s="23" t="str">
        <f>IFERROR(VLOOKUP(C1799, 'Catégorie des articles'!$A:$D, 4, FALSE), "")</f>
        <v>CREMERIE</v>
      </c>
      <c r="G1799">
        <f t="shared" si="28"/>
        <v>202211</v>
      </c>
    </row>
    <row r="1800" spans="1:7" ht="12" customHeight="1">
      <c r="A1800" s="6">
        <v>44880</v>
      </c>
      <c r="B1800" s="7">
        <v>143439723</v>
      </c>
      <c r="C1800" s="3">
        <v>5540246188200</v>
      </c>
      <c r="D1800" s="6">
        <v>44882</v>
      </c>
      <c r="E1800" s="8">
        <v>1485</v>
      </c>
      <c r="F1800" s="23" t="str">
        <f>IFERROR(VLOOKUP(C1800, 'Catégorie des articles'!$A:$D, 4, FALSE), "")</f>
        <v>CREMERIE</v>
      </c>
      <c r="G1800">
        <f t="shared" si="28"/>
        <v>202211</v>
      </c>
    </row>
    <row r="1801" spans="1:7" ht="12" customHeight="1">
      <c r="A1801" s="9">
        <v>44880</v>
      </c>
      <c r="B1801" s="10">
        <v>143439726</v>
      </c>
      <c r="C1801" s="3">
        <v>5540246194632</v>
      </c>
      <c r="D1801" s="9">
        <v>44887</v>
      </c>
      <c r="E1801" s="11">
        <v>1003</v>
      </c>
      <c r="F1801" s="23" t="str">
        <f>IFERROR(VLOOKUP(C1801, 'Catégorie des articles'!$A:$D, 4, FALSE), "")</f>
        <v>BOULANGERIE</v>
      </c>
      <c r="G1801">
        <f t="shared" si="28"/>
        <v>202211</v>
      </c>
    </row>
    <row r="1802" spans="1:7" ht="12" customHeight="1">
      <c r="A1802" s="6">
        <v>44880</v>
      </c>
      <c r="B1802" s="7">
        <v>143439726</v>
      </c>
      <c r="C1802" s="3">
        <v>5540246196046</v>
      </c>
      <c r="D1802" s="6">
        <v>44887</v>
      </c>
      <c r="E1802" s="8">
        <v>251</v>
      </c>
      <c r="F1802" s="23" t="str">
        <f>IFERROR(VLOOKUP(C1802, 'Catégorie des articles'!$A:$D, 4, FALSE), "")</f>
        <v>BOULANGERIE</v>
      </c>
      <c r="G1802">
        <f t="shared" si="28"/>
        <v>202211</v>
      </c>
    </row>
    <row r="1803" spans="1:7" ht="12" customHeight="1">
      <c r="A1803" s="9">
        <v>44880</v>
      </c>
      <c r="B1803" s="10">
        <v>143439731</v>
      </c>
      <c r="C1803" s="3">
        <v>5540246194632</v>
      </c>
      <c r="D1803" s="9">
        <v>44889</v>
      </c>
      <c r="E1803" s="11">
        <v>1170</v>
      </c>
      <c r="F1803" s="23" t="str">
        <f>IFERROR(VLOOKUP(C1803, 'Catégorie des articles'!$A:$D, 4, FALSE), "")</f>
        <v>BOULANGERIE</v>
      </c>
      <c r="G1803">
        <f t="shared" si="28"/>
        <v>202211</v>
      </c>
    </row>
    <row r="1804" spans="1:7" ht="12" customHeight="1">
      <c r="A1804" s="6">
        <v>44880</v>
      </c>
      <c r="B1804" s="7">
        <v>143439747</v>
      </c>
      <c r="C1804" s="3">
        <v>5540246170256</v>
      </c>
      <c r="D1804" s="6">
        <v>44901</v>
      </c>
      <c r="E1804" s="8">
        <v>3174</v>
      </c>
      <c r="F1804" s="23" t="str">
        <f>IFERROR(VLOOKUP(C1804, 'Catégorie des articles'!$A:$D, 4, FALSE), "")</f>
        <v>BOULANGERIE</v>
      </c>
      <c r="G1804">
        <f t="shared" si="28"/>
        <v>202212</v>
      </c>
    </row>
    <row r="1805" spans="1:7" ht="12" customHeight="1">
      <c r="A1805" s="9">
        <v>44880</v>
      </c>
      <c r="B1805" s="10">
        <v>143439747</v>
      </c>
      <c r="C1805" s="3">
        <v>5540246171888</v>
      </c>
      <c r="D1805" s="9">
        <v>44901</v>
      </c>
      <c r="E1805" s="11">
        <v>520</v>
      </c>
      <c r="F1805" s="23" t="str">
        <f>IFERROR(VLOOKUP(C1805, 'Catégorie des articles'!$A:$D, 4, FALSE), "")</f>
        <v>BOULANGERIE</v>
      </c>
      <c r="G1805">
        <f t="shared" si="28"/>
        <v>202212</v>
      </c>
    </row>
    <row r="1806" spans="1:7" ht="12" customHeight="1">
      <c r="A1806" s="6">
        <v>44880</v>
      </c>
      <c r="B1806" s="7">
        <v>143439748</v>
      </c>
      <c r="C1806" s="3">
        <v>5540246170256</v>
      </c>
      <c r="D1806" s="6">
        <v>44908</v>
      </c>
      <c r="E1806" s="8">
        <v>3174</v>
      </c>
      <c r="F1806" s="23" t="str">
        <f>IFERROR(VLOOKUP(C1806, 'Catégorie des articles'!$A:$D, 4, FALSE), "")</f>
        <v>BOULANGERIE</v>
      </c>
      <c r="G1806">
        <f t="shared" si="28"/>
        <v>202212</v>
      </c>
    </row>
    <row r="1807" spans="1:7" ht="12" customHeight="1">
      <c r="A1807" s="9">
        <v>44880</v>
      </c>
      <c r="B1807" s="10">
        <v>143439748</v>
      </c>
      <c r="C1807" s="3">
        <v>5540246171888</v>
      </c>
      <c r="D1807" s="9">
        <v>44908</v>
      </c>
      <c r="E1807" s="11">
        <v>520</v>
      </c>
      <c r="F1807" s="23" t="str">
        <f>IFERROR(VLOOKUP(C1807, 'Catégorie des articles'!$A:$D, 4, FALSE), "")</f>
        <v>BOULANGERIE</v>
      </c>
      <c r="G1807">
        <f t="shared" si="28"/>
        <v>202212</v>
      </c>
    </row>
    <row r="1808" spans="1:7" ht="12" customHeight="1">
      <c r="A1808" s="6">
        <v>44880</v>
      </c>
      <c r="B1808" s="7">
        <v>143439749</v>
      </c>
      <c r="C1808" s="3">
        <v>5540246170256</v>
      </c>
      <c r="D1808" s="6">
        <v>44915</v>
      </c>
      <c r="E1808" s="8">
        <v>3174</v>
      </c>
      <c r="F1808" s="23" t="str">
        <f>IFERROR(VLOOKUP(C1808, 'Catégorie des articles'!$A:$D, 4, FALSE), "")</f>
        <v>BOULANGERIE</v>
      </c>
      <c r="G1808">
        <f t="shared" si="28"/>
        <v>202212</v>
      </c>
    </row>
    <row r="1809" spans="1:7" ht="12" customHeight="1">
      <c r="A1809" s="9">
        <v>44880</v>
      </c>
      <c r="B1809" s="10">
        <v>143439749</v>
      </c>
      <c r="C1809" s="3">
        <v>5540246171888</v>
      </c>
      <c r="D1809" s="9">
        <v>44915</v>
      </c>
      <c r="E1809" s="11">
        <v>520</v>
      </c>
      <c r="F1809" s="23" t="str">
        <f>IFERROR(VLOOKUP(C1809, 'Catégorie des articles'!$A:$D, 4, FALSE), "")</f>
        <v>BOULANGERIE</v>
      </c>
      <c r="G1809">
        <f t="shared" si="28"/>
        <v>202212</v>
      </c>
    </row>
    <row r="1810" spans="1:7" ht="12" customHeight="1">
      <c r="A1810" s="6">
        <v>44881</v>
      </c>
      <c r="B1810" s="7">
        <v>143439771</v>
      </c>
      <c r="C1810" s="3">
        <v>5540246172669</v>
      </c>
      <c r="D1810" s="6">
        <v>44885</v>
      </c>
      <c r="E1810" s="8">
        <v>140</v>
      </c>
      <c r="F1810" s="23" t="str">
        <f>IFERROR(VLOOKUP(C1810, 'Catégorie des articles'!$A:$D, 4, FALSE), "")</f>
        <v>CREMERIE</v>
      </c>
      <c r="G1810">
        <f t="shared" si="28"/>
        <v>202211</v>
      </c>
    </row>
    <row r="1811" spans="1:7" ht="12" customHeight="1">
      <c r="A1811" s="6">
        <v>44881</v>
      </c>
      <c r="B1811" s="7">
        <v>143439771</v>
      </c>
      <c r="C1811" s="3">
        <v>5540246191594</v>
      </c>
      <c r="D1811" s="6">
        <v>44885</v>
      </c>
      <c r="E1811" s="8">
        <v>1504</v>
      </c>
      <c r="F1811" s="23" t="str">
        <f>IFERROR(VLOOKUP(C1811, 'Catégorie des articles'!$A:$D, 4, FALSE), "")</f>
        <v>CREMERIE</v>
      </c>
      <c r="G1811">
        <f t="shared" si="28"/>
        <v>202211</v>
      </c>
    </row>
    <row r="1812" spans="1:7" ht="12" customHeight="1">
      <c r="A1812" s="9">
        <v>44881</v>
      </c>
      <c r="B1812" s="10">
        <v>143439773</v>
      </c>
      <c r="C1812" s="3">
        <v>5540246171933</v>
      </c>
      <c r="D1812" s="9">
        <v>44885</v>
      </c>
      <c r="E1812" s="11">
        <v>1114</v>
      </c>
      <c r="F1812" s="23" t="str">
        <f>IFERROR(VLOOKUP(C1812, 'Catégorie des articles'!$A:$D, 4, FALSE), "")</f>
        <v>CREMERIE</v>
      </c>
      <c r="G1812">
        <f t="shared" si="28"/>
        <v>202211</v>
      </c>
    </row>
    <row r="1813" spans="1:7" ht="12" customHeight="1">
      <c r="A1813" s="6">
        <v>44881</v>
      </c>
      <c r="B1813" s="7">
        <v>143439773</v>
      </c>
      <c r="C1813" s="3">
        <v>5540246176295</v>
      </c>
      <c r="D1813" s="6">
        <v>44885</v>
      </c>
      <c r="E1813" s="8">
        <v>8909</v>
      </c>
      <c r="F1813" s="23" t="str">
        <f>IFERROR(VLOOKUP(C1813, 'Catégorie des articles'!$A:$D, 4, FALSE), "")</f>
        <v>CREMERIE</v>
      </c>
      <c r="G1813">
        <f t="shared" si="28"/>
        <v>202211</v>
      </c>
    </row>
    <row r="1814" spans="1:7" ht="12" customHeight="1">
      <c r="A1814" s="9">
        <v>44881</v>
      </c>
      <c r="B1814" s="10">
        <v>143439773</v>
      </c>
      <c r="C1814" s="3">
        <v>5540246187987</v>
      </c>
      <c r="D1814" s="9">
        <v>44885</v>
      </c>
      <c r="E1814" s="11">
        <v>4455</v>
      </c>
      <c r="F1814" s="23" t="str">
        <f>IFERROR(VLOOKUP(C1814, 'Catégorie des articles'!$A:$D, 4, FALSE), "")</f>
        <v>CREMERIE</v>
      </c>
      <c r="G1814">
        <f t="shared" si="28"/>
        <v>202211</v>
      </c>
    </row>
    <row r="1815" spans="1:7" ht="12" customHeight="1">
      <c r="A1815" s="9">
        <v>44881</v>
      </c>
      <c r="B1815" s="10">
        <v>143439780</v>
      </c>
      <c r="C1815" s="3">
        <v>5540246177133</v>
      </c>
      <c r="D1815" s="9">
        <v>44885</v>
      </c>
      <c r="E1815" s="11">
        <v>499</v>
      </c>
      <c r="F1815" s="23" t="str">
        <f>IFERROR(VLOOKUP(C1815, 'Catégorie des articles'!$A:$D, 4, FALSE), "")</f>
        <v>MIX LEGUMES</v>
      </c>
      <c r="G1815">
        <f t="shared" si="28"/>
        <v>202211</v>
      </c>
    </row>
    <row r="1816" spans="1:7" ht="12" customHeight="1">
      <c r="A1816" s="6">
        <v>44881</v>
      </c>
      <c r="B1816" s="7">
        <v>143439780</v>
      </c>
      <c r="C1816" s="3">
        <v>5540246192148</v>
      </c>
      <c r="D1816" s="6">
        <v>44885</v>
      </c>
      <c r="E1816" s="8">
        <v>22272</v>
      </c>
      <c r="F1816" s="23" t="str">
        <f>IFERROR(VLOOKUP(C1816, 'Catégorie des articles'!$A:$D, 4, FALSE), "")</f>
        <v>MIX LEGUMES</v>
      </c>
      <c r="G1816">
        <f t="shared" si="28"/>
        <v>202211</v>
      </c>
    </row>
    <row r="1817" spans="1:7" ht="12" customHeight="1">
      <c r="A1817" s="6">
        <v>44881</v>
      </c>
      <c r="B1817" s="7">
        <v>143439787</v>
      </c>
      <c r="C1817" s="3">
        <v>5540246174095</v>
      </c>
      <c r="D1817" s="6">
        <v>44887</v>
      </c>
      <c r="E1817" s="8">
        <v>140</v>
      </c>
      <c r="F1817" s="23" t="str">
        <f>IFERROR(VLOOKUP(C1817, 'Catégorie des articles'!$A:$D, 4, FALSE), "")</f>
        <v>CREMERIE</v>
      </c>
      <c r="G1817">
        <f t="shared" si="28"/>
        <v>202211</v>
      </c>
    </row>
    <row r="1818" spans="1:7" ht="12" customHeight="1">
      <c r="A1818" s="9">
        <v>44881</v>
      </c>
      <c r="B1818" s="10">
        <v>143439787</v>
      </c>
      <c r="C1818" s="3">
        <v>5540246175049</v>
      </c>
      <c r="D1818" s="9">
        <v>44887</v>
      </c>
      <c r="E1818" s="11">
        <v>557</v>
      </c>
      <c r="F1818" s="23" t="str">
        <f>IFERROR(VLOOKUP(C1818, 'Catégorie des articles'!$A:$D, 4, FALSE), "")</f>
        <v>CREMERIE</v>
      </c>
      <c r="G1818">
        <f t="shared" si="28"/>
        <v>202211</v>
      </c>
    </row>
    <row r="1819" spans="1:7" ht="12" customHeight="1">
      <c r="A1819" s="6">
        <v>44881</v>
      </c>
      <c r="B1819" s="7">
        <v>143439787</v>
      </c>
      <c r="C1819" s="3">
        <v>5540246175050</v>
      </c>
      <c r="D1819" s="6">
        <v>44887</v>
      </c>
      <c r="E1819" s="8">
        <v>557</v>
      </c>
      <c r="F1819" s="23" t="str">
        <f>IFERROR(VLOOKUP(C1819, 'Catégorie des articles'!$A:$D, 4, FALSE), "")</f>
        <v>CREMERIE</v>
      </c>
      <c r="G1819">
        <f t="shared" si="28"/>
        <v>202211</v>
      </c>
    </row>
    <row r="1820" spans="1:7" ht="12" customHeight="1">
      <c r="A1820" s="9">
        <v>44881</v>
      </c>
      <c r="B1820" s="10">
        <v>143439789</v>
      </c>
      <c r="C1820" s="3">
        <v>5540246185562</v>
      </c>
      <c r="D1820" s="9">
        <v>44887</v>
      </c>
      <c r="E1820" s="11">
        <v>70</v>
      </c>
      <c r="F1820" s="23" t="str">
        <f>IFERROR(VLOOKUP(C1820, 'Catégorie des articles'!$A:$D, 4, FALSE), "")</f>
        <v>CREMERIE</v>
      </c>
      <c r="G1820">
        <f t="shared" si="28"/>
        <v>202211</v>
      </c>
    </row>
    <row r="1821" spans="1:7" ht="12" customHeight="1">
      <c r="A1821" s="6">
        <v>44882</v>
      </c>
      <c r="B1821" s="7">
        <v>143439803</v>
      </c>
      <c r="C1821" s="3">
        <v>5540246176699</v>
      </c>
      <c r="D1821" s="6">
        <v>44886</v>
      </c>
      <c r="E1821" s="8">
        <v>8352</v>
      </c>
      <c r="F1821" s="23" t="str">
        <f>IFERROR(VLOOKUP(C1821, 'Catégorie des articles'!$A:$D, 4, FALSE), "")</f>
        <v>CREMERIE</v>
      </c>
      <c r="G1821">
        <f t="shared" si="28"/>
        <v>202211</v>
      </c>
    </row>
    <row r="1822" spans="1:7" ht="12" customHeight="1">
      <c r="A1822" s="6">
        <v>44882</v>
      </c>
      <c r="B1822" s="7">
        <v>143439803</v>
      </c>
      <c r="C1822" s="3">
        <v>5540246192102</v>
      </c>
      <c r="D1822" s="6">
        <v>44886</v>
      </c>
      <c r="E1822" s="8">
        <v>2005</v>
      </c>
      <c r="F1822" s="23" t="str">
        <f>IFERROR(VLOOKUP(C1822, 'Catégorie des articles'!$A:$D, 4, FALSE), "")</f>
        <v>CREMERIE</v>
      </c>
      <c r="G1822">
        <f t="shared" si="28"/>
        <v>202211</v>
      </c>
    </row>
    <row r="1823" spans="1:7" ht="12" customHeight="1">
      <c r="A1823" s="6">
        <v>44882</v>
      </c>
      <c r="B1823" s="7">
        <v>143439805</v>
      </c>
      <c r="C1823" s="3">
        <v>5540246171933</v>
      </c>
      <c r="D1823" s="6">
        <v>44886</v>
      </c>
      <c r="E1823" s="8">
        <v>1114</v>
      </c>
      <c r="F1823" s="23" t="str">
        <f>IFERROR(VLOOKUP(C1823, 'Catégorie des articles'!$A:$D, 4, FALSE), "")</f>
        <v>CREMERIE</v>
      </c>
      <c r="G1823">
        <f t="shared" si="28"/>
        <v>202211</v>
      </c>
    </row>
    <row r="1824" spans="1:7" ht="12" customHeight="1">
      <c r="A1824" s="9">
        <v>44882</v>
      </c>
      <c r="B1824" s="10">
        <v>143439805</v>
      </c>
      <c r="C1824" s="3">
        <v>5540246176294</v>
      </c>
      <c r="D1824" s="9">
        <v>44886</v>
      </c>
      <c r="E1824" s="11">
        <v>1485</v>
      </c>
      <c r="F1824" s="23" t="str">
        <f>IFERROR(VLOOKUP(C1824, 'Catégorie des articles'!$A:$D, 4, FALSE), "")</f>
        <v>CREMERIE</v>
      </c>
      <c r="G1824">
        <f t="shared" si="28"/>
        <v>202211</v>
      </c>
    </row>
    <row r="1825" spans="1:7" ht="12" customHeight="1">
      <c r="A1825" s="6">
        <v>44882</v>
      </c>
      <c r="B1825" s="7">
        <v>143439805</v>
      </c>
      <c r="C1825" s="3">
        <v>5540246176295</v>
      </c>
      <c r="D1825" s="6">
        <v>44886</v>
      </c>
      <c r="E1825" s="8">
        <v>8909</v>
      </c>
      <c r="F1825" s="23" t="str">
        <f>IFERROR(VLOOKUP(C1825, 'Catégorie des articles'!$A:$D, 4, FALSE), "")</f>
        <v>CREMERIE</v>
      </c>
      <c r="G1825">
        <f t="shared" si="28"/>
        <v>202211</v>
      </c>
    </row>
    <row r="1826" spans="1:7" ht="12" customHeight="1">
      <c r="A1826" s="6">
        <v>44882</v>
      </c>
      <c r="B1826" s="7">
        <v>143439805</v>
      </c>
      <c r="C1826" s="3">
        <v>5540246187987</v>
      </c>
      <c r="D1826" s="6">
        <v>44886</v>
      </c>
      <c r="E1826" s="8">
        <v>3341</v>
      </c>
      <c r="F1826" s="23" t="str">
        <f>IFERROR(VLOOKUP(C1826, 'Catégorie des articles'!$A:$D, 4, FALSE), "")</f>
        <v>CREMERIE</v>
      </c>
      <c r="G1826">
        <f t="shared" si="28"/>
        <v>202211</v>
      </c>
    </row>
    <row r="1827" spans="1:7" ht="12" customHeight="1">
      <c r="A1827" s="9">
        <v>44882</v>
      </c>
      <c r="B1827" s="10">
        <v>143439806</v>
      </c>
      <c r="C1827" s="3">
        <v>5540246191598</v>
      </c>
      <c r="D1827" s="9">
        <v>44887</v>
      </c>
      <c r="E1827" s="11">
        <v>1601</v>
      </c>
      <c r="F1827" s="23" t="str">
        <f>IFERROR(VLOOKUP(C1827, 'Catégorie des articles'!$A:$D, 4, FALSE), "")</f>
        <v>CREMERIE</v>
      </c>
      <c r="G1827">
        <f t="shared" si="28"/>
        <v>202211</v>
      </c>
    </row>
    <row r="1828" spans="1:7" ht="12" customHeight="1">
      <c r="A1828" s="9">
        <v>44882</v>
      </c>
      <c r="B1828" s="10">
        <v>143439825</v>
      </c>
      <c r="C1828" s="3">
        <v>5540246194632</v>
      </c>
      <c r="D1828" s="9">
        <v>44886</v>
      </c>
      <c r="E1828" s="11">
        <v>251</v>
      </c>
      <c r="F1828" s="23" t="str">
        <f>IFERROR(VLOOKUP(C1828, 'Catégorie des articles'!$A:$D, 4, FALSE), "")</f>
        <v>BOULANGERIE</v>
      </c>
      <c r="G1828">
        <f t="shared" si="28"/>
        <v>202211</v>
      </c>
    </row>
    <row r="1829" spans="1:7" ht="12" customHeight="1">
      <c r="A1829" s="6">
        <v>44882</v>
      </c>
      <c r="B1829" s="7">
        <v>143439825</v>
      </c>
      <c r="C1829" s="3">
        <v>5540246195250</v>
      </c>
      <c r="D1829" s="6">
        <v>44886</v>
      </c>
      <c r="E1829" s="8">
        <v>65</v>
      </c>
      <c r="F1829" s="23" t="str">
        <f>IFERROR(VLOOKUP(C1829, 'Catégorie des articles'!$A:$D, 4, FALSE), "")</f>
        <v>BOULANGERIE</v>
      </c>
      <c r="G1829">
        <f t="shared" si="28"/>
        <v>202211</v>
      </c>
    </row>
    <row r="1830" spans="1:7" ht="12" customHeight="1">
      <c r="A1830" s="9">
        <v>44882</v>
      </c>
      <c r="B1830" s="10">
        <v>143439825</v>
      </c>
      <c r="C1830" s="3">
        <v>5540246196046</v>
      </c>
      <c r="D1830" s="9">
        <v>44886</v>
      </c>
      <c r="E1830" s="11">
        <v>61</v>
      </c>
      <c r="F1830" s="23" t="str">
        <f>IFERROR(VLOOKUP(C1830, 'Catégorie des articles'!$A:$D, 4, FALSE), "")</f>
        <v>BOULANGERIE</v>
      </c>
      <c r="G1830">
        <f t="shared" si="28"/>
        <v>202211</v>
      </c>
    </row>
    <row r="1831" spans="1:7" ht="12" customHeight="1">
      <c r="A1831" s="6">
        <v>44882</v>
      </c>
      <c r="B1831" s="7">
        <v>143439827</v>
      </c>
      <c r="C1831" s="3">
        <v>5540246194632</v>
      </c>
      <c r="D1831" s="6">
        <v>44893</v>
      </c>
      <c r="E1831" s="8">
        <v>919</v>
      </c>
      <c r="F1831" s="23" t="str">
        <f>IFERROR(VLOOKUP(C1831, 'Catégorie des articles'!$A:$D, 4, FALSE), "")</f>
        <v>BOULANGERIE</v>
      </c>
      <c r="G1831">
        <f t="shared" si="28"/>
        <v>202211</v>
      </c>
    </row>
    <row r="1832" spans="1:7" ht="12" customHeight="1">
      <c r="A1832" s="9">
        <v>44882</v>
      </c>
      <c r="B1832" s="10">
        <v>143439827</v>
      </c>
      <c r="C1832" s="3">
        <v>5540246196046</v>
      </c>
      <c r="D1832" s="9">
        <v>44893</v>
      </c>
      <c r="E1832" s="11">
        <v>251</v>
      </c>
      <c r="F1832" s="23" t="str">
        <f>IFERROR(VLOOKUP(C1832, 'Catégorie des articles'!$A:$D, 4, FALSE), "")</f>
        <v>BOULANGERIE</v>
      </c>
      <c r="G1832">
        <f t="shared" si="28"/>
        <v>202211</v>
      </c>
    </row>
    <row r="1833" spans="1:7" ht="12" customHeight="1">
      <c r="A1833" s="9">
        <v>44882</v>
      </c>
      <c r="B1833" s="10">
        <v>143439828</v>
      </c>
      <c r="C1833" s="3">
        <v>5540246194632</v>
      </c>
      <c r="D1833" s="9">
        <v>44895</v>
      </c>
      <c r="E1833" s="11">
        <v>1003</v>
      </c>
      <c r="F1833" s="23" t="str">
        <f>IFERROR(VLOOKUP(C1833, 'Catégorie des articles'!$A:$D, 4, FALSE), "")</f>
        <v>BOULANGERIE</v>
      </c>
      <c r="G1833">
        <f t="shared" si="28"/>
        <v>202211</v>
      </c>
    </row>
    <row r="1834" spans="1:7" ht="12" customHeight="1">
      <c r="A1834" s="9">
        <v>44885</v>
      </c>
      <c r="B1834" s="10">
        <v>143449857</v>
      </c>
      <c r="C1834" s="3">
        <v>5540246172978</v>
      </c>
      <c r="D1834" s="9">
        <v>44887</v>
      </c>
      <c r="E1834" s="11">
        <v>836</v>
      </c>
      <c r="F1834" s="23" t="str">
        <f>IFERROR(VLOOKUP(C1834, 'Catégorie des articles'!$A:$D, 4, FALSE), "")</f>
        <v>CREMERIE</v>
      </c>
      <c r="G1834">
        <f t="shared" si="28"/>
        <v>202211</v>
      </c>
    </row>
    <row r="1835" spans="1:7" ht="12" customHeight="1">
      <c r="A1835" s="6">
        <v>44885</v>
      </c>
      <c r="B1835" s="7">
        <v>143449860</v>
      </c>
      <c r="C1835" s="3">
        <v>5540246176294</v>
      </c>
      <c r="D1835" s="6">
        <v>44887</v>
      </c>
      <c r="E1835" s="8">
        <v>743</v>
      </c>
      <c r="F1835" s="23" t="str">
        <f>IFERROR(VLOOKUP(C1835, 'Catégorie des articles'!$A:$D, 4, FALSE), "")</f>
        <v>CREMERIE</v>
      </c>
      <c r="G1835">
        <f t="shared" si="28"/>
        <v>202211</v>
      </c>
    </row>
    <row r="1836" spans="1:7" ht="12" customHeight="1">
      <c r="A1836" s="9">
        <v>44885</v>
      </c>
      <c r="B1836" s="10">
        <v>143449860</v>
      </c>
      <c r="C1836" s="3">
        <v>5540246176295</v>
      </c>
      <c r="D1836" s="9">
        <v>44887</v>
      </c>
      <c r="E1836" s="11">
        <v>4455</v>
      </c>
      <c r="F1836" s="23" t="str">
        <f>IFERROR(VLOOKUP(C1836, 'Catégorie des articles'!$A:$D, 4, FALSE), "")</f>
        <v>CREMERIE</v>
      </c>
      <c r="G1836">
        <f t="shared" si="28"/>
        <v>202211</v>
      </c>
    </row>
    <row r="1837" spans="1:7" ht="12" customHeight="1">
      <c r="A1837" s="9">
        <v>44885</v>
      </c>
      <c r="B1837" s="10">
        <v>143449860</v>
      </c>
      <c r="C1837" s="3">
        <v>5540246188200</v>
      </c>
      <c r="D1837" s="9">
        <v>44887</v>
      </c>
      <c r="E1837" s="11">
        <v>1485</v>
      </c>
      <c r="F1837" s="23" t="str">
        <f>IFERROR(VLOOKUP(C1837, 'Catégorie des articles'!$A:$D, 4, FALSE), "")</f>
        <v>CREMERIE</v>
      </c>
      <c r="G1837">
        <f t="shared" si="28"/>
        <v>202211</v>
      </c>
    </row>
    <row r="1838" spans="1:7" ht="12" customHeight="1">
      <c r="A1838" s="6">
        <v>44885</v>
      </c>
      <c r="B1838" s="7">
        <v>143449862</v>
      </c>
      <c r="C1838" s="3">
        <v>5540246172978</v>
      </c>
      <c r="D1838" s="6">
        <v>44886</v>
      </c>
      <c r="E1838" s="8">
        <v>3341</v>
      </c>
      <c r="F1838" s="23" t="str">
        <f>IFERROR(VLOOKUP(C1838, 'Catégorie des articles'!$A:$D, 4, FALSE), "")</f>
        <v>CREMERIE</v>
      </c>
      <c r="G1838">
        <f t="shared" si="28"/>
        <v>202211</v>
      </c>
    </row>
    <row r="1839" spans="1:7" ht="12" customHeight="1">
      <c r="A1839" s="9">
        <v>44885</v>
      </c>
      <c r="B1839" s="10">
        <v>143449875</v>
      </c>
      <c r="C1839" s="3">
        <v>5540246170256</v>
      </c>
      <c r="D1839" s="9">
        <v>44922</v>
      </c>
      <c r="E1839" s="11">
        <v>3174</v>
      </c>
      <c r="F1839" s="23" t="str">
        <f>IFERROR(VLOOKUP(C1839, 'Catégorie des articles'!$A:$D, 4, FALSE), "")</f>
        <v>BOULANGERIE</v>
      </c>
      <c r="G1839">
        <f t="shared" si="28"/>
        <v>202212</v>
      </c>
    </row>
    <row r="1840" spans="1:7" ht="12" customHeight="1">
      <c r="A1840" s="6">
        <v>44885</v>
      </c>
      <c r="B1840" s="7">
        <v>143449875</v>
      </c>
      <c r="C1840" s="3">
        <v>5540246171888</v>
      </c>
      <c r="D1840" s="6">
        <v>44922</v>
      </c>
      <c r="E1840" s="8">
        <v>520</v>
      </c>
      <c r="F1840" s="23" t="str">
        <f>IFERROR(VLOOKUP(C1840, 'Catégorie des articles'!$A:$D, 4, FALSE), "")</f>
        <v>BOULANGERIE</v>
      </c>
      <c r="G1840">
        <f t="shared" si="28"/>
        <v>202212</v>
      </c>
    </row>
    <row r="1841" spans="1:7" ht="12" customHeight="1">
      <c r="A1841" s="9">
        <v>44885</v>
      </c>
      <c r="B1841" s="10">
        <v>143449876</v>
      </c>
      <c r="C1841" s="3">
        <v>5540246170256</v>
      </c>
      <c r="D1841" s="9">
        <v>44929</v>
      </c>
      <c r="E1841" s="11">
        <v>3174</v>
      </c>
      <c r="F1841" s="23" t="str">
        <f>IFERROR(VLOOKUP(C1841, 'Catégorie des articles'!$A:$D, 4, FALSE), "")</f>
        <v>BOULANGERIE</v>
      </c>
      <c r="G1841">
        <f t="shared" si="28"/>
        <v>202301</v>
      </c>
    </row>
    <row r="1842" spans="1:7" ht="12" customHeight="1">
      <c r="A1842" s="6">
        <v>44885</v>
      </c>
      <c r="B1842" s="7">
        <v>143449876</v>
      </c>
      <c r="C1842" s="3">
        <v>5540246171888</v>
      </c>
      <c r="D1842" s="6">
        <v>44929</v>
      </c>
      <c r="E1842" s="8">
        <v>520</v>
      </c>
      <c r="F1842" s="23" t="str">
        <f>IFERROR(VLOOKUP(C1842, 'Catégorie des articles'!$A:$D, 4, FALSE), "")</f>
        <v>BOULANGERIE</v>
      </c>
      <c r="G1842">
        <f t="shared" si="28"/>
        <v>202301</v>
      </c>
    </row>
    <row r="1843" spans="1:7" ht="12" customHeight="1">
      <c r="A1843" s="9">
        <v>44885</v>
      </c>
      <c r="B1843" s="10">
        <v>143449877</v>
      </c>
      <c r="C1843" s="3">
        <v>5540246170256</v>
      </c>
      <c r="D1843" s="9">
        <v>44936</v>
      </c>
      <c r="E1843" s="11">
        <v>3174</v>
      </c>
      <c r="F1843" s="23" t="str">
        <f>IFERROR(VLOOKUP(C1843, 'Catégorie des articles'!$A:$D, 4, FALSE), "")</f>
        <v>BOULANGERIE</v>
      </c>
      <c r="G1843">
        <f t="shared" si="28"/>
        <v>202301</v>
      </c>
    </row>
    <row r="1844" spans="1:7" ht="12" customHeight="1">
      <c r="A1844" s="6">
        <v>44885</v>
      </c>
      <c r="B1844" s="7">
        <v>143449877</v>
      </c>
      <c r="C1844" s="3">
        <v>5540246171888</v>
      </c>
      <c r="D1844" s="6">
        <v>44936</v>
      </c>
      <c r="E1844" s="8">
        <v>520</v>
      </c>
      <c r="F1844" s="23" t="str">
        <f>IFERROR(VLOOKUP(C1844, 'Catégorie des articles'!$A:$D, 4, FALSE), "")</f>
        <v>BOULANGERIE</v>
      </c>
      <c r="G1844">
        <f t="shared" si="28"/>
        <v>202301</v>
      </c>
    </row>
    <row r="1845" spans="1:7" ht="12" customHeight="1">
      <c r="A1845" s="9">
        <v>44885</v>
      </c>
      <c r="B1845" s="10">
        <v>143449891</v>
      </c>
      <c r="C1845" s="3">
        <v>5540246181016</v>
      </c>
      <c r="D1845" s="9">
        <v>44892</v>
      </c>
      <c r="E1845" s="11">
        <v>10691</v>
      </c>
      <c r="F1845" s="23" t="str">
        <f>IFERROR(VLOOKUP(C1845, 'Catégorie des articles'!$A:$D, 4, FALSE), "")</f>
        <v>VOLAILLE</v>
      </c>
      <c r="G1845">
        <f t="shared" si="28"/>
        <v>202211</v>
      </c>
    </row>
    <row r="1846" spans="1:7" ht="12" customHeight="1">
      <c r="A1846" s="9">
        <v>44886</v>
      </c>
      <c r="B1846" s="10">
        <v>143449917</v>
      </c>
      <c r="C1846" s="3">
        <v>5540246183130</v>
      </c>
      <c r="D1846" s="9">
        <v>44900</v>
      </c>
      <c r="E1846" s="11">
        <v>4511</v>
      </c>
      <c r="F1846" s="23" t="str">
        <f>IFERROR(VLOOKUP(C1846, 'Catégorie des articles'!$A:$D, 4, FALSE), "")</f>
        <v>MIX LEGUMES</v>
      </c>
      <c r="G1846">
        <f t="shared" si="28"/>
        <v>202212</v>
      </c>
    </row>
    <row r="1847" spans="1:7" ht="12" customHeight="1">
      <c r="A1847" s="6">
        <v>44886</v>
      </c>
      <c r="B1847" s="7">
        <v>143449917</v>
      </c>
      <c r="C1847" s="3">
        <v>5540246183537</v>
      </c>
      <c r="D1847" s="6">
        <v>44900</v>
      </c>
      <c r="E1847" s="8">
        <v>961</v>
      </c>
      <c r="F1847" s="23" t="str">
        <f>IFERROR(VLOOKUP(C1847, 'Catégorie des articles'!$A:$D, 4, FALSE), "")</f>
        <v>MIX LEGUMES</v>
      </c>
      <c r="G1847">
        <f t="shared" si="28"/>
        <v>202212</v>
      </c>
    </row>
    <row r="1848" spans="1:7" ht="12" customHeight="1">
      <c r="A1848" s="9">
        <v>44886</v>
      </c>
      <c r="B1848" s="10">
        <v>143449919</v>
      </c>
      <c r="C1848" s="3">
        <v>5540246172539</v>
      </c>
      <c r="D1848" s="9">
        <v>44889</v>
      </c>
      <c r="E1848" s="11">
        <v>24</v>
      </c>
      <c r="F1848" s="23" t="str">
        <f>IFERROR(VLOOKUP(C1848, 'Catégorie des articles'!$A:$D, 4, FALSE), "")</f>
        <v>CREMERIE</v>
      </c>
      <c r="G1848">
        <f t="shared" si="28"/>
        <v>202211</v>
      </c>
    </row>
    <row r="1849" spans="1:7" ht="12" customHeight="1">
      <c r="A1849" s="6">
        <v>44886</v>
      </c>
      <c r="B1849" s="7">
        <v>143449919</v>
      </c>
      <c r="C1849" s="3">
        <v>5540246172669</v>
      </c>
      <c r="D1849" s="6">
        <v>44889</v>
      </c>
      <c r="E1849" s="8">
        <v>140</v>
      </c>
      <c r="F1849" s="23" t="str">
        <f>IFERROR(VLOOKUP(C1849, 'Catégorie des articles'!$A:$D, 4, FALSE), "")</f>
        <v>CREMERIE</v>
      </c>
      <c r="G1849">
        <f t="shared" si="28"/>
        <v>202211</v>
      </c>
    </row>
    <row r="1850" spans="1:7" ht="12" customHeight="1">
      <c r="A1850" s="9">
        <v>44886</v>
      </c>
      <c r="B1850" s="10">
        <v>143449919</v>
      </c>
      <c r="C1850" s="3">
        <v>5540246172978</v>
      </c>
      <c r="D1850" s="9">
        <v>44889</v>
      </c>
      <c r="E1850" s="11">
        <v>1671</v>
      </c>
      <c r="F1850" s="23" t="str">
        <f>IFERROR(VLOOKUP(C1850, 'Catégorie des articles'!$A:$D, 4, FALSE), "")</f>
        <v>CREMERIE</v>
      </c>
      <c r="G1850">
        <f t="shared" si="28"/>
        <v>202211</v>
      </c>
    </row>
    <row r="1851" spans="1:7" ht="12" customHeight="1">
      <c r="A1851" s="6">
        <v>44886</v>
      </c>
      <c r="B1851" s="7">
        <v>143449919</v>
      </c>
      <c r="C1851" s="3">
        <v>5540246174174</v>
      </c>
      <c r="D1851" s="6">
        <v>44889</v>
      </c>
      <c r="E1851" s="8">
        <v>696</v>
      </c>
      <c r="F1851" s="23" t="str">
        <f>IFERROR(VLOOKUP(C1851, 'Catégorie des articles'!$A:$D, 4, FALSE), "")</f>
        <v>CREMERIE</v>
      </c>
      <c r="G1851">
        <f t="shared" si="28"/>
        <v>202211</v>
      </c>
    </row>
    <row r="1852" spans="1:7" ht="12" customHeight="1">
      <c r="A1852" s="6">
        <v>44886</v>
      </c>
      <c r="B1852" s="7">
        <v>143449919</v>
      </c>
      <c r="C1852" s="3">
        <v>5540246176699</v>
      </c>
      <c r="D1852" s="6">
        <v>44889</v>
      </c>
      <c r="E1852" s="8">
        <v>4176</v>
      </c>
      <c r="F1852" s="23" t="str">
        <f>IFERROR(VLOOKUP(C1852, 'Catégorie des articles'!$A:$D, 4, FALSE), "")</f>
        <v>CREMERIE</v>
      </c>
      <c r="G1852">
        <f t="shared" si="28"/>
        <v>202211</v>
      </c>
    </row>
    <row r="1853" spans="1:7" ht="12" customHeight="1">
      <c r="A1853" s="9">
        <v>44886</v>
      </c>
      <c r="B1853" s="10">
        <v>143449919</v>
      </c>
      <c r="C1853" s="3">
        <v>5540246188175</v>
      </c>
      <c r="D1853" s="9">
        <v>44889</v>
      </c>
      <c r="E1853" s="11">
        <v>116</v>
      </c>
      <c r="F1853" s="23" t="str">
        <f>IFERROR(VLOOKUP(C1853, 'Catégorie des articles'!$A:$D, 4, FALSE), "")</f>
        <v>CREMERIE</v>
      </c>
      <c r="G1853">
        <f t="shared" si="28"/>
        <v>202211</v>
      </c>
    </row>
    <row r="1854" spans="1:7" ht="12" customHeight="1">
      <c r="A1854" s="9">
        <v>44886</v>
      </c>
      <c r="B1854" s="10">
        <v>143449919</v>
      </c>
      <c r="C1854" s="3">
        <v>5540246191594</v>
      </c>
      <c r="D1854" s="9">
        <v>44889</v>
      </c>
      <c r="E1854" s="11">
        <v>1504</v>
      </c>
      <c r="F1854" s="23" t="str">
        <f>IFERROR(VLOOKUP(C1854, 'Catégorie des articles'!$A:$D, 4, FALSE), "")</f>
        <v>CREMERIE</v>
      </c>
      <c r="G1854">
        <f t="shared" si="28"/>
        <v>202211</v>
      </c>
    </row>
    <row r="1855" spans="1:7" ht="12" customHeight="1">
      <c r="A1855" s="6">
        <v>44886</v>
      </c>
      <c r="B1855" s="7">
        <v>143449919</v>
      </c>
      <c r="C1855" s="3">
        <v>5540246191598</v>
      </c>
      <c r="D1855" s="6">
        <v>44889</v>
      </c>
      <c r="E1855" s="8">
        <v>1601</v>
      </c>
      <c r="F1855" s="23" t="str">
        <f>IFERROR(VLOOKUP(C1855, 'Catégorie des articles'!$A:$D, 4, FALSE), "")</f>
        <v>CREMERIE</v>
      </c>
      <c r="G1855">
        <f t="shared" si="28"/>
        <v>202211</v>
      </c>
    </row>
    <row r="1856" spans="1:7" ht="12" customHeight="1">
      <c r="A1856" s="6">
        <v>44886</v>
      </c>
      <c r="B1856" s="7">
        <v>143449922</v>
      </c>
      <c r="C1856" s="3">
        <v>5540246176294</v>
      </c>
      <c r="D1856" s="6">
        <v>44889</v>
      </c>
      <c r="E1856" s="8">
        <v>743</v>
      </c>
      <c r="F1856" s="23" t="str">
        <f>IFERROR(VLOOKUP(C1856, 'Catégorie des articles'!$A:$D, 4, FALSE), "")</f>
        <v>CREMERIE</v>
      </c>
      <c r="G1856">
        <f t="shared" si="28"/>
        <v>202211</v>
      </c>
    </row>
    <row r="1857" spans="1:7" ht="12" customHeight="1">
      <c r="A1857" s="6">
        <v>44886</v>
      </c>
      <c r="B1857" s="7">
        <v>143449922</v>
      </c>
      <c r="C1857" s="3">
        <v>5540246187987</v>
      </c>
      <c r="D1857" s="6">
        <v>44889</v>
      </c>
      <c r="E1857" s="8">
        <v>2228</v>
      </c>
      <c r="F1857" s="23" t="str">
        <f>IFERROR(VLOOKUP(C1857, 'Catégorie des articles'!$A:$D, 4, FALSE), "")</f>
        <v>CREMERIE</v>
      </c>
      <c r="G1857">
        <f t="shared" si="28"/>
        <v>202211</v>
      </c>
    </row>
    <row r="1858" spans="1:7" ht="12" customHeight="1">
      <c r="A1858" s="9">
        <v>44886</v>
      </c>
      <c r="B1858" s="10">
        <v>143449922</v>
      </c>
      <c r="C1858" s="3">
        <v>5540246188200</v>
      </c>
      <c r="D1858" s="9">
        <v>44889</v>
      </c>
      <c r="E1858" s="11">
        <v>1485</v>
      </c>
      <c r="F1858" s="23" t="str">
        <f>IFERROR(VLOOKUP(C1858, 'Catégorie des articles'!$A:$D, 4, FALSE), "")</f>
        <v>CREMERIE</v>
      </c>
      <c r="G1858">
        <f t="shared" si="28"/>
        <v>202211</v>
      </c>
    </row>
    <row r="1859" spans="1:7" ht="12" customHeight="1">
      <c r="A1859" s="6">
        <v>44886</v>
      </c>
      <c r="B1859" s="7">
        <v>143449928</v>
      </c>
      <c r="C1859" s="3">
        <v>5540246174095</v>
      </c>
      <c r="D1859" s="6">
        <v>44895</v>
      </c>
      <c r="E1859" s="8">
        <v>70</v>
      </c>
      <c r="F1859" s="23" t="str">
        <f>IFERROR(VLOOKUP(C1859, 'Catégorie des articles'!$A:$D, 4, FALSE), "")</f>
        <v>CREMERIE</v>
      </c>
      <c r="G1859">
        <f t="shared" ref="G1859:G1922" si="29">YEAR(D1859)*100 + MONTH(D1859)</f>
        <v>202211</v>
      </c>
    </row>
    <row r="1860" spans="1:7" ht="12" customHeight="1">
      <c r="A1860" s="9">
        <v>44886</v>
      </c>
      <c r="B1860" s="10">
        <v>143449928</v>
      </c>
      <c r="C1860" s="3">
        <v>5540246175049</v>
      </c>
      <c r="D1860" s="9">
        <v>44895</v>
      </c>
      <c r="E1860" s="11">
        <v>557</v>
      </c>
      <c r="F1860" s="23" t="str">
        <f>IFERROR(VLOOKUP(C1860, 'Catégorie des articles'!$A:$D, 4, FALSE), "")</f>
        <v>CREMERIE</v>
      </c>
      <c r="G1860">
        <f t="shared" si="29"/>
        <v>202211</v>
      </c>
    </row>
    <row r="1861" spans="1:7" ht="12" customHeight="1">
      <c r="A1861" s="6">
        <v>44886</v>
      </c>
      <c r="B1861" s="7">
        <v>143449928</v>
      </c>
      <c r="C1861" s="3">
        <v>5540246175050</v>
      </c>
      <c r="D1861" s="6">
        <v>44895</v>
      </c>
      <c r="E1861" s="8">
        <v>418</v>
      </c>
      <c r="F1861" s="23" t="str">
        <f>IFERROR(VLOOKUP(C1861, 'Catégorie des articles'!$A:$D, 4, FALSE), "")</f>
        <v>CREMERIE</v>
      </c>
      <c r="G1861">
        <f t="shared" si="29"/>
        <v>202211</v>
      </c>
    </row>
    <row r="1862" spans="1:7" ht="12" customHeight="1">
      <c r="A1862" s="9">
        <v>44886</v>
      </c>
      <c r="B1862" s="10">
        <v>143449928</v>
      </c>
      <c r="C1862" s="3">
        <v>5540246190743</v>
      </c>
      <c r="D1862" s="9">
        <v>44895</v>
      </c>
      <c r="E1862" s="11">
        <v>279</v>
      </c>
      <c r="F1862" s="23" t="str">
        <f>IFERROR(VLOOKUP(C1862, 'Catégorie des articles'!$A:$D, 4, FALSE), "")</f>
        <v>CREMERIE</v>
      </c>
      <c r="G1862">
        <f t="shared" si="29"/>
        <v>202211</v>
      </c>
    </row>
    <row r="1863" spans="1:7" ht="12" customHeight="1">
      <c r="A1863" s="6">
        <v>44886</v>
      </c>
      <c r="B1863" s="7">
        <v>143449929</v>
      </c>
      <c r="C1863" s="3">
        <v>5540246196148</v>
      </c>
      <c r="D1863" s="6">
        <v>44915</v>
      </c>
      <c r="E1863" s="8">
        <v>975</v>
      </c>
      <c r="F1863" s="23" t="str">
        <f>IFERROR(VLOOKUP(C1863, 'Catégorie des articles'!$A:$D, 4, FALSE), "")</f>
        <v>EMBALLAGES</v>
      </c>
      <c r="G1863">
        <f t="shared" si="29"/>
        <v>202212</v>
      </c>
    </row>
    <row r="1864" spans="1:7" ht="12" customHeight="1">
      <c r="A1864" s="9">
        <v>44886</v>
      </c>
      <c r="B1864" s="10">
        <v>143449946</v>
      </c>
      <c r="C1864" s="3">
        <v>5540246185429</v>
      </c>
      <c r="D1864" s="9">
        <v>44895</v>
      </c>
      <c r="E1864" s="11">
        <v>140</v>
      </c>
      <c r="F1864" s="23" t="str">
        <f>IFERROR(VLOOKUP(C1864, 'Catégorie des articles'!$A:$D, 4, FALSE), "")</f>
        <v>CREMERIE</v>
      </c>
      <c r="G1864">
        <f t="shared" si="29"/>
        <v>202211</v>
      </c>
    </row>
    <row r="1865" spans="1:7" ht="12" customHeight="1">
      <c r="A1865" s="6">
        <v>44886</v>
      </c>
      <c r="B1865" s="7">
        <v>143449946</v>
      </c>
      <c r="C1865" s="3">
        <v>5540246185562</v>
      </c>
      <c r="D1865" s="6">
        <v>44895</v>
      </c>
      <c r="E1865" s="8">
        <v>140</v>
      </c>
      <c r="F1865" s="23" t="str">
        <f>IFERROR(VLOOKUP(C1865, 'Catégorie des articles'!$A:$D, 4, FALSE), "")</f>
        <v>CREMERIE</v>
      </c>
      <c r="G1865">
        <f t="shared" si="29"/>
        <v>202211</v>
      </c>
    </row>
    <row r="1866" spans="1:7" ht="12" customHeight="1">
      <c r="A1866" s="9">
        <v>44886</v>
      </c>
      <c r="B1866" s="10">
        <v>143449946</v>
      </c>
      <c r="C1866" s="3">
        <v>5540246186325</v>
      </c>
      <c r="D1866" s="9">
        <v>44895</v>
      </c>
      <c r="E1866" s="11">
        <v>140</v>
      </c>
      <c r="F1866" s="23" t="str">
        <f>IFERROR(VLOOKUP(C1866, 'Catégorie des articles'!$A:$D, 4, FALSE), "")</f>
        <v>CREMERIE</v>
      </c>
      <c r="G1866">
        <f t="shared" si="29"/>
        <v>202211</v>
      </c>
    </row>
    <row r="1867" spans="1:7" ht="12" customHeight="1">
      <c r="A1867" s="6">
        <v>44886</v>
      </c>
      <c r="B1867" s="7">
        <v>143449947</v>
      </c>
      <c r="C1867" s="3">
        <v>5540246194632</v>
      </c>
      <c r="D1867" s="6">
        <v>44900</v>
      </c>
      <c r="E1867" s="8">
        <v>919</v>
      </c>
      <c r="F1867" s="23" t="str">
        <f>IFERROR(VLOOKUP(C1867, 'Catégorie des articles'!$A:$D, 4, FALSE), "")</f>
        <v>BOULANGERIE</v>
      </c>
      <c r="G1867">
        <f t="shared" si="29"/>
        <v>202212</v>
      </c>
    </row>
    <row r="1868" spans="1:7" ht="12" customHeight="1">
      <c r="A1868" s="9">
        <v>44886</v>
      </c>
      <c r="B1868" s="10">
        <v>143449947</v>
      </c>
      <c r="C1868" s="3">
        <v>5540246195250</v>
      </c>
      <c r="D1868" s="9">
        <v>44900</v>
      </c>
      <c r="E1868" s="11">
        <v>251</v>
      </c>
      <c r="F1868" s="23" t="str">
        <f>IFERROR(VLOOKUP(C1868, 'Catégorie des articles'!$A:$D, 4, FALSE), "")</f>
        <v>BOULANGERIE</v>
      </c>
      <c r="G1868">
        <f t="shared" si="29"/>
        <v>202212</v>
      </c>
    </row>
    <row r="1869" spans="1:7" ht="12" customHeight="1">
      <c r="A1869" s="6">
        <v>44886</v>
      </c>
      <c r="B1869" s="7">
        <v>143449947</v>
      </c>
      <c r="C1869" s="3">
        <v>5540246196046</v>
      </c>
      <c r="D1869" s="6">
        <v>44900</v>
      </c>
      <c r="E1869" s="8">
        <v>168</v>
      </c>
      <c r="F1869" s="23" t="str">
        <f>IFERROR(VLOOKUP(C1869, 'Catégorie des articles'!$A:$D, 4, FALSE), "")</f>
        <v>BOULANGERIE</v>
      </c>
      <c r="G1869">
        <f t="shared" si="29"/>
        <v>202212</v>
      </c>
    </row>
    <row r="1870" spans="1:7" ht="12" customHeight="1">
      <c r="A1870" s="9">
        <v>44886</v>
      </c>
      <c r="B1870" s="10">
        <v>143449948</v>
      </c>
      <c r="C1870" s="3">
        <v>5540246194632</v>
      </c>
      <c r="D1870" s="9">
        <v>44903</v>
      </c>
      <c r="E1870" s="11">
        <v>2256</v>
      </c>
      <c r="F1870" s="23" t="str">
        <f>IFERROR(VLOOKUP(C1870, 'Catégorie des articles'!$A:$D, 4, FALSE), "")</f>
        <v>BOULANGERIE</v>
      </c>
      <c r="G1870">
        <f t="shared" si="29"/>
        <v>202212</v>
      </c>
    </row>
    <row r="1871" spans="1:7" ht="12" customHeight="1">
      <c r="A1871" s="9">
        <v>44886</v>
      </c>
      <c r="B1871" s="10">
        <v>143449949</v>
      </c>
      <c r="C1871" s="3">
        <v>5540246194632</v>
      </c>
      <c r="D1871" s="9">
        <v>44907</v>
      </c>
      <c r="E1871" s="11">
        <v>836</v>
      </c>
      <c r="F1871" s="23" t="str">
        <f>IFERROR(VLOOKUP(C1871, 'Catégorie des articles'!$A:$D, 4, FALSE), "")</f>
        <v>BOULANGERIE</v>
      </c>
      <c r="G1871">
        <f t="shared" si="29"/>
        <v>202212</v>
      </c>
    </row>
    <row r="1872" spans="1:7" ht="12" customHeight="1">
      <c r="A1872" s="9">
        <v>44886</v>
      </c>
      <c r="B1872" s="10">
        <v>143449951</v>
      </c>
      <c r="C1872" s="3">
        <v>5540246194632</v>
      </c>
      <c r="D1872" s="9">
        <v>44910</v>
      </c>
      <c r="E1872" s="11">
        <v>2172</v>
      </c>
      <c r="F1872" s="23" t="str">
        <f>IFERROR(VLOOKUP(C1872, 'Catégorie des articles'!$A:$D, 4, FALSE), "")</f>
        <v>BOULANGERIE</v>
      </c>
      <c r="G1872">
        <f t="shared" si="29"/>
        <v>202212</v>
      </c>
    </row>
    <row r="1873" spans="1:7" ht="12" customHeight="1">
      <c r="A1873" s="9">
        <v>44886</v>
      </c>
      <c r="B1873" s="10">
        <v>143449952</v>
      </c>
      <c r="C1873" s="3">
        <v>5540246194632</v>
      </c>
      <c r="D1873" s="9">
        <v>44914</v>
      </c>
      <c r="E1873" s="11">
        <v>1921</v>
      </c>
      <c r="F1873" s="23" t="str">
        <f>IFERROR(VLOOKUP(C1873, 'Catégorie des articles'!$A:$D, 4, FALSE), "")</f>
        <v>BOULANGERIE</v>
      </c>
      <c r="G1873">
        <f t="shared" si="29"/>
        <v>202212</v>
      </c>
    </row>
    <row r="1874" spans="1:7" ht="12" customHeight="1">
      <c r="A1874" s="6">
        <v>44886</v>
      </c>
      <c r="B1874" s="7">
        <v>143449953</v>
      </c>
      <c r="C1874" s="3">
        <v>5540246194632</v>
      </c>
      <c r="D1874" s="6">
        <v>44922</v>
      </c>
      <c r="E1874" s="8">
        <v>2757</v>
      </c>
      <c r="F1874" s="23" t="str">
        <f>IFERROR(VLOOKUP(C1874, 'Catégorie des articles'!$A:$D, 4, FALSE), "")</f>
        <v>BOULANGERIE</v>
      </c>
      <c r="G1874">
        <f t="shared" si="29"/>
        <v>202212</v>
      </c>
    </row>
    <row r="1875" spans="1:7" ht="12" customHeight="1">
      <c r="A1875" s="6">
        <v>44887</v>
      </c>
      <c r="B1875" s="7">
        <v>143449961</v>
      </c>
      <c r="C1875" s="3">
        <v>5540246192907</v>
      </c>
      <c r="D1875" s="6">
        <v>44930</v>
      </c>
      <c r="E1875" s="8">
        <v>3341</v>
      </c>
      <c r="F1875" s="23" t="str">
        <f>IFERROR(VLOOKUP(C1875, 'Catégorie des articles'!$A:$D, 4, FALSE), "")</f>
        <v>VOLAILLE</v>
      </c>
      <c r="G1875">
        <f t="shared" si="29"/>
        <v>202301</v>
      </c>
    </row>
    <row r="1876" spans="1:7" ht="12" customHeight="1">
      <c r="A1876" s="9">
        <v>44887</v>
      </c>
      <c r="B1876" s="10">
        <v>143449962</v>
      </c>
      <c r="C1876" s="3">
        <v>5540246192907</v>
      </c>
      <c r="D1876" s="9">
        <v>44952</v>
      </c>
      <c r="E1876" s="11">
        <v>11136</v>
      </c>
      <c r="F1876" s="23" t="str">
        <f>IFERROR(VLOOKUP(C1876, 'Catégorie des articles'!$A:$D, 4, FALSE), "")</f>
        <v>VOLAILLE</v>
      </c>
      <c r="G1876">
        <f t="shared" si="29"/>
        <v>202301</v>
      </c>
    </row>
    <row r="1877" spans="1:7" ht="12" customHeight="1">
      <c r="A1877" s="9">
        <v>44887</v>
      </c>
      <c r="B1877" s="10">
        <v>143449966</v>
      </c>
      <c r="C1877" s="3">
        <v>5540246172978</v>
      </c>
      <c r="D1877" s="9">
        <v>44892</v>
      </c>
      <c r="E1877" s="11">
        <v>1671</v>
      </c>
      <c r="F1877" s="23" t="str">
        <f>IFERROR(VLOOKUP(C1877, 'Catégorie des articles'!$A:$D, 4, FALSE), "")</f>
        <v>CREMERIE</v>
      </c>
      <c r="G1877">
        <f t="shared" si="29"/>
        <v>202211</v>
      </c>
    </row>
    <row r="1878" spans="1:7" ht="12" customHeight="1">
      <c r="A1878" s="6">
        <v>44887</v>
      </c>
      <c r="B1878" s="7">
        <v>143449966</v>
      </c>
      <c r="C1878" s="3">
        <v>5540246176699</v>
      </c>
      <c r="D1878" s="6">
        <v>44892</v>
      </c>
      <c r="E1878" s="8">
        <v>4176</v>
      </c>
      <c r="F1878" s="23" t="str">
        <f>IFERROR(VLOOKUP(C1878, 'Catégorie des articles'!$A:$D, 4, FALSE), "")</f>
        <v>CREMERIE</v>
      </c>
      <c r="G1878">
        <f t="shared" si="29"/>
        <v>202211</v>
      </c>
    </row>
    <row r="1879" spans="1:7" ht="12" customHeight="1">
      <c r="A1879" s="6">
        <v>44887</v>
      </c>
      <c r="B1879" s="7">
        <v>143449966</v>
      </c>
      <c r="C1879" s="3">
        <v>5540246188175</v>
      </c>
      <c r="D1879" s="6">
        <v>44892</v>
      </c>
      <c r="E1879" s="8">
        <v>116</v>
      </c>
      <c r="F1879" s="23" t="str">
        <f>IFERROR(VLOOKUP(C1879, 'Catégorie des articles'!$A:$D, 4, FALSE), "")</f>
        <v>CREMERIE</v>
      </c>
      <c r="G1879">
        <f t="shared" si="29"/>
        <v>202211</v>
      </c>
    </row>
    <row r="1880" spans="1:7" ht="12" customHeight="1">
      <c r="A1880" s="9">
        <v>44887</v>
      </c>
      <c r="B1880" s="10">
        <v>143449967</v>
      </c>
      <c r="C1880" s="3">
        <v>5540246187987</v>
      </c>
      <c r="D1880" s="9">
        <v>44892</v>
      </c>
      <c r="E1880" s="11">
        <v>2228</v>
      </c>
      <c r="F1880" s="23" t="str">
        <f>IFERROR(VLOOKUP(C1880, 'Catégorie des articles'!$A:$D, 4, FALSE), "")</f>
        <v>CREMERIE</v>
      </c>
      <c r="G1880">
        <f t="shared" si="29"/>
        <v>202211</v>
      </c>
    </row>
    <row r="1881" spans="1:7" ht="12" customHeight="1">
      <c r="A1881" s="6">
        <v>44887</v>
      </c>
      <c r="B1881" s="7">
        <v>143449967</v>
      </c>
      <c r="C1881" s="3">
        <v>5540246188200</v>
      </c>
      <c r="D1881" s="6">
        <v>44892</v>
      </c>
      <c r="E1881" s="8">
        <v>1485</v>
      </c>
      <c r="F1881" s="23" t="str">
        <f>IFERROR(VLOOKUP(C1881, 'Catégorie des articles'!$A:$D, 4, FALSE), "")</f>
        <v>CREMERIE</v>
      </c>
      <c r="G1881">
        <f t="shared" si="29"/>
        <v>202211</v>
      </c>
    </row>
    <row r="1882" spans="1:7" ht="12" customHeight="1">
      <c r="A1882" s="6">
        <v>44887</v>
      </c>
      <c r="B1882" s="7">
        <v>143449971</v>
      </c>
      <c r="C1882" s="3">
        <v>5540246171759</v>
      </c>
      <c r="D1882" s="6">
        <v>44896</v>
      </c>
      <c r="E1882" s="8">
        <v>8352</v>
      </c>
      <c r="F1882" s="23" t="str">
        <f>IFERROR(VLOOKUP(C1882, 'Catégorie des articles'!$A:$D, 4, FALSE), "")</f>
        <v>MIX LEGUMES</v>
      </c>
      <c r="G1882">
        <f t="shared" si="29"/>
        <v>202212</v>
      </c>
    </row>
    <row r="1883" spans="1:7" ht="12" customHeight="1">
      <c r="A1883" s="9">
        <v>44887</v>
      </c>
      <c r="B1883" s="10">
        <v>143449971</v>
      </c>
      <c r="C1883" s="3">
        <v>5540246192518</v>
      </c>
      <c r="D1883" s="9">
        <v>44896</v>
      </c>
      <c r="E1883" s="11">
        <v>26309</v>
      </c>
      <c r="F1883" s="23" t="str">
        <f>IFERROR(VLOOKUP(C1883, 'Catégorie des articles'!$A:$D, 4, FALSE), "")</f>
        <v>MIX LEGUMES</v>
      </c>
      <c r="G1883">
        <f t="shared" si="29"/>
        <v>202212</v>
      </c>
    </row>
    <row r="1884" spans="1:7" ht="12" customHeight="1">
      <c r="A1884" s="6">
        <v>44887</v>
      </c>
      <c r="B1884" s="7">
        <v>143449974</v>
      </c>
      <c r="C1884" s="3">
        <v>5540246192148</v>
      </c>
      <c r="D1884" s="6">
        <v>44894</v>
      </c>
      <c r="E1884" s="8">
        <v>45936</v>
      </c>
      <c r="F1884" s="23" t="str">
        <f>IFERROR(VLOOKUP(C1884, 'Catégorie des articles'!$A:$D, 4, FALSE), "")</f>
        <v>MIX LEGUMES</v>
      </c>
      <c r="G1884">
        <f t="shared" si="29"/>
        <v>202211</v>
      </c>
    </row>
    <row r="1885" spans="1:7" ht="12" customHeight="1">
      <c r="A1885" s="9">
        <v>44887</v>
      </c>
      <c r="B1885" s="10">
        <v>143449975</v>
      </c>
      <c r="C1885" s="3">
        <v>5540246192148</v>
      </c>
      <c r="D1885" s="9">
        <v>44901</v>
      </c>
      <c r="E1885" s="11">
        <v>45936</v>
      </c>
      <c r="F1885" s="23" t="str">
        <f>IFERROR(VLOOKUP(C1885, 'Catégorie des articles'!$A:$D, 4, FALSE), "")</f>
        <v>MIX LEGUMES</v>
      </c>
      <c r="G1885">
        <f t="shared" si="29"/>
        <v>202212</v>
      </c>
    </row>
    <row r="1886" spans="1:7" ht="12" customHeight="1">
      <c r="A1886" s="9">
        <v>44887</v>
      </c>
      <c r="B1886" s="10">
        <v>143449977</v>
      </c>
      <c r="C1886" s="3">
        <v>5540246195943</v>
      </c>
      <c r="D1886" s="9">
        <v>44922</v>
      </c>
      <c r="E1886" s="11">
        <v>928</v>
      </c>
      <c r="F1886" s="23" t="str">
        <f>IFERROR(VLOOKUP(C1886, 'Catégorie des articles'!$A:$D, 4, FALSE), "")</f>
        <v>CREMERIE</v>
      </c>
      <c r="G1886">
        <f t="shared" si="29"/>
        <v>202212</v>
      </c>
    </row>
    <row r="1887" spans="1:7" ht="12" customHeight="1">
      <c r="A1887" s="6">
        <v>44887</v>
      </c>
      <c r="B1887" s="7">
        <v>143449977</v>
      </c>
      <c r="C1887" s="3">
        <v>5540246195944</v>
      </c>
      <c r="D1887" s="6">
        <v>44922</v>
      </c>
      <c r="E1887" s="8">
        <v>928</v>
      </c>
      <c r="F1887" s="23" t="str">
        <f>IFERROR(VLOOKUP(C1887, 'Catégorie des articles'!$A:$D, 4, FALSE), "")</f>
        <v>CREMERIE</v>
      </c>
      <c r="G1887">
        <f t="shared" si="29"/>
        <v>202212</v>
      </c>
    </row>
    <row r="1888" spans="1:7" ht="12" customHeight="1">
      <c r="A1888" s="9">
        <v>44887</v>
      </c>
      <c r="B1888" s="10">
        <v>143449978</v>
      </c>
      <c r="C1888" s="3">
        <v>5540246195943</v>
      </c>
      <c r="D1888" s="9">
        <v>44928</v>
      </c>
      <c r="E1888" s="11">
        <v>928</v>
      </c>
      <c r="F1888" s="23" t="str">
        <f>IFERROR(VLOOKUP(C1888, 'Catégorie des articles'!$A:$D, 4, FALSE), "")</f>
        <v>CREMERIE</v>
      </c>
      <c r="G1888">
        <f t="shared" si="29"/>
        <v>202301</v>
      </c>
    </row>
    <row r="1889" spans="1:7" ht="12" customHeight="1">
      <c r="A1889" s="6">
        <v>44887</v>
      </c>
      <c r="B1889" s="7">
        <v>143449978</v>
      </c>
      <c r="C1889" s="3">
        <v>5540246195944</v>
      </c>
      <c r="D1889" s="6">
        <v>44928</v>
      </c>
      <c r="E1889" s="8">
        <v>928</v>
      </c>
      <c r="F1889" s="23" t="str">
        <f>IFERROR(VLOOKUP(C1889, 'Catégorie des articles'!$A:$D, 4, FALSE), "")</f>
        <v>CREMERIE</v>
      </c>
      <c r="G1889">
        <f t="shared" si="29"/>
        <v>202301</v>
      </c>
    </row>
    <row r="1890" spans="1:7" ht="12" customHeight="1">
      <c r="A1890" s="9">
        <v>44887</v>
      </c>
      <c r="B1890" s="10">
        <v>143449981</v>
      </c>
      <c r="C1890" s="3">
        <v>5540246191596</v>
      </c>
      <c r="D1890" s="9">
        <v>44902</v>
      </c>
      <c r="E1890" s="11">
        <v>223</v>
      </c>
      <c r="F1890" s="23" t="str">
        <f>IFERROR(VLOOKUP(C1890, 'Catégorie des articles'!$A:$D, 4, FALSE), "")</f>
        <v>BOULANGERIE</v>
      </c>
      <c r="G1890">
        <f t="shared" si="29"/>
        <v>202212</v>
      </c>
    </row>
    <row r="1891" spans="1:7" ht="12" customHeight="1">
      <c r="A1891" s="6">
        <v>44889</v>
      </c>
      <c r="B1891" s="7">
        <v>143449996</v>
      </c>
      <c r="C1891" s="3">
        <v>5540246171933</v>
      </c>
      <c r="D1891" s="6">
        <v>44893</v>
      </c>
      <c r="E1891" s="8">
        <v>669</v>
      </c>
      <c r="F1891" s="23" t="str">
        <f>IFERROR(VLOOKUP(C1891, 'Catégorie des articles'!$A:$D, 4, FALSE), "")</f>
        <v>CREMERIE</v>
      </c>
      <c r="G1891">
        <f t="shared" si="29"/>
        <v>202211</v>
      </c>
    </row>
    <row r="1892" spans="1:7" ht="12" customHeight="1">
      <c r="A1892" s="9">
        <v>44889</v>
      </c>
      <c r="B1892" s="10">
        <v>143449996</v>
      </c>
      <c r="C1892" s="3">
        <v>5540246176295</v>
      </c>
      <c r="D1892" s="9">
        <v>44893</v>
      </c>
      <c r="E1892" s="11">
        <v>2228</v>
      </c>
      <c r="F1892" s="23" t="str">
        <f>IFERROR(VLOOKUP(C1892, 'Catégorie des articles'!$A:$D, 4, FALSE), "")</f>
        <v>CREMERIE</v>
      </c>
      <c r="G1892">
        <f t="shared" si="29"/>
        <v>202211</v>
      </c>
    </row>
    <row r="1893" spans="1:7" ht="12" customHeight="1">
      <c r="A1893" s="6">
        <v>44889</v>
      </c>
      <c r="B1893" s="7">
        <v>143449996</v>
      </c>
      <c r="C1893" s="3">
        <v>5540246187987</v>
      </c>
      <c r="D1893" s="6">
        <v>44893</v>
      </c>
      <c r="E1893" s="8">
        <v>3341</v>
      </c>
      <c r="F1893" s="23" t="str">
        <f>IFERROR(VLOOKUP(C1893, 'Catégorie des articles'!$A:$D, 4, FALSE), "")</f>
        <v>CREMERIE</v>
      </c>
      <c r="G1893">
        <f t="shared" si="29"/>
        <v>202211</v>
      </c>
    </row>
    <row r="1894" spans="1:7" ht="12" customHeight="1">
      <c r="A1894" s="9">
        <v>44889</v>
      </c>
      <c r="B1894" s="10">
        <v>143450004</v>
      </c>
      <c r="C1894" s="3">
        <v>5540246182684</v>
      </c>
      <c r="D1894" s="9">
        <v>44902</v>
      </c>
      <c r="E1894" s="11">
        <v>372</v>
      </c>
      <c r="F1894" s="23" t="str">
        <f>IFERROR(VLOOKUP(C1894, 'Catégorie des articles'!$A:$D, 4, FALSE), "")</f>
        <v>BOULANGERIE</v>
      </c>
      <c r="G1894">
        <f t="shared" si="29"/>
        <v>202212</v>
      </c>
    </row>
    <row r="1895" spans="1:7" ht="12" customHeight="1">
      <c r="A1895" s="9">
        <v>44889</v>
      </c>
      <c r="B1895" s="10">
        <v>143450004</v>
      </c>
      <c r="C1895" s="3">
        <v>5540246194467</v>
      </c>
      <c r="D1895" s="9">
        <v>44902</v>
      </c>
      <c r="E1895" s="11">
        <v>12473</v>
      </c>
      <c r="F1895" s="23" t="str">
        <f>IFERROR(VLOOKUP(C1895, 'Catégorie des articles'!$A:$D, 4, FALSE), "")</f>
        <v>BOULANGERIE</v>
      </c>
      <c r="G1895">
        <f t="shared" si="29"/>
        <v>202212</v>
      </c>
    </row>
    <row r="1896" spans="1:7" ht="12" customHeight="1">
      <c r="A1896" s="6">
        <v>44892</v>
      </c>
      <c r="B1896" s="7">
        <v>143460020</v>
      </c>
      <c r="C1896" s="3">
        <v>5540246193878</v>
      </c>
      <c r="D1896" s="6">
        <v>44894</v>
      </c>
      <c r="E1896" s="8">
        <v>26727</v>
      </c>
      <c r="F1896" s="23" t="str">
        <f>IFERROR(VLOOKUP(C1896, 'Catégorie des articles'!$A:$D, 4, FALSE), "")</f>
        <v>VOLAILLE</v>
      </c>
      <c r="G1896">
        <f t="shared" si="29"/>
        <v>202211</v>
      </c>
    </row>
    <row r="1897" spans="1:7" ht="12" customHeight="1">
      <c r="A1897" s="9">
        <v>44892</v>
      </c>
      <c r="B1897" s="10">
        <v>143460029</v>
      </c>
      <c r="C1897" s="3">
        <v>5540246172539</v>
      </c>
      <c r="D1897" s="9">
        <v>44894</v>
      </c>
      <c r="E1897" s="11">
        <v>24</v>
      </c>
      <c r="F1897" s="23" t="str">
        <f>IFERROR(VLOOKUP(C1897, 'Catégorie des articles'!$A:$D, 4, FALSE), "")</f>
        <v>CREMERIE</v>
      </c>
      <c r="G1897">
        <f t="shared" si="29"/>
        <v>202211</v>
      </c>
    </row>
    <row r="1898" spans="1:7" ht="12" customHeight="1">
      <c r="A1898" s="6">
        <v>44892</v>
      </c>
      <c r="B1898" s="7">
        <v>143460029</v>
      </c>
      <c r="C1898" s="3">
        <v>5540246172669</v>
      </c>
      <c r="D1898" s="6">
        <v>44894</v>
      </c>
      <c r="E1898" s="8">
        <v>279</v>
      </c>
      <c r="F1898" s="23" t="str">
        <f>IFERROR(VLOOKUP(C1898, 'Catégorie des articles'!$A:$D, 4, FALSE), "")</f>
        <v>CREMERIE</v>
      </c>
      <c r="G1898">
        <f t="shared" si="29"/>
        <v>202211</v>
      </c>
    </row>
    <row r="1899" spans="1:7" ht="12" customHeight="1">
      <c r="A1899" s="9">
        <v>44892</v>
      </c>
      <c r="B1899" s="10">
        <v>143460029</v>
      </c>
      <c r="C1899" s="3">
        <v>5540246172978</v>
      </c>
      <c r="D1899" s="9">
        <v>44894</v>
      </c>
      <c r="E1899" s="11">
        <v>1671</v>
      </c>
      <c r="F1899" s="23" t="str">
        <f>IFERROR(VLOOKUP(C1899, 'Catégorie des articles'!$A:$D, 4, FALSE), "")</f>
        <v>CREMERIE</v>
      </c>
      <c r="G1899">
        <f t="shared" si="29"/>
        <v>202211</v>
      </c>
    </row>
    <row r="1900" spans="1:7" ht="12" customHeight="1">
      <c r="A1900" s="6">
        <v>44892</v>
      </c>
      <c r="B1900" s="7">
        <v>143460029</v>
      </c>
      <c r="C1900" s="3">
        <v>5540246174174</v>
      </c>
      <c r="D1900" s="6">
        <v>44894</v>
      </c>
      <c r="E1900" s="8">
        <v>232</v>
      </c>
      <c r="F1900" s="23" t="str">
        <f>IFERROR(VLOOKUP(C1900, 'Catégorie des articles'!$A:$D, 4, FALSE), "")</f>
        <v>CREMERIE</v>
      </c>
      <c r="G1900">
        <f t="shared" si="29"/>
        <v>202211</v>
      </c>
    </row>
    <row r="1901" spans="1:7" ht="12" customHeight="1">
      <c r="A1901" s="6">
        <v>44892</v>
      </c>
      <c r="B1901" s="7">
        <v>143460029</v>
      </c>
      <c r="C1901" s="3">
        <v>5540246176699</v>
      </c>
      <c r="D1901" s="6">
        <v>44894</v>
      </c>
      <c r="E1901" s="8">
        <v>4176</v>
      </c>
      <c r="F1901" s="23" t="str">
        <f>IFERROR(VLOOKUP(C1901, 'Catégorie des articles'!$A:$D, 4, FALSE), "")</f>
        <v>CREMERIE</v>
      </c>
      <c r="G1901">
        <f t="shared" si="29"/>
        <v>202211</v>
      </c>
    </row>
    <row r="1902" spans="1:7" ht="12" customHeight="1">
      <c r="A1902" s="9">
        <v>44892</v>
      </c>
      <c r="B1902" s="10">
        <v>143460030</v>
      </c>
      <c r="C1902" s="3">
        <v>5540246171933</v>
      </c>
      <c r="D1902" s="9">
        <v>44894</v>
      </c>
      <c r="E1902" s="11">
        <v>557</v>
      </c>
      <c r="F1902" s="23" t="str">
        <f>IFERROR(VLOOKUP(C1902, 'Catégorie des articles'!$A:$D, 4, FALSE), "")</f>
        <v>CREMERIE</v>
      </c>
      <c r="G1902">
        <f t="shared" si="29"/>
        <v>202211</v>
      </c>
    </row>
    <row r="1903" spans="1:7" ht="12" customHeight="1">
      <c r="A1903" s="6">
        <v>44892</v>
      </c>
      <c r="B1903" s="7">
        <v>143460030</v>
      </c>
      <c r="C1903" s="3">
        <v>5540246176295</v>
      </c>
      <c r="D1903" s="6">
        <v>44894</v>
      </c>
      <c r="E1903" s="8">
        <v>8909</v>
      </c>
      <c r="F1903" s="23" t="str">
        <f>IFERROR(VLOOKUP(C1903, 'Catégorie des articles'!$A:$D, 4, FALSE), "")</f>
        <v>CREMERIE</v>
      </c>
      <c r="G1903">
        <f t="shared" si="29"/>
        <v>202211</v>
      </c>
    </row>
    <row r="1904" spans="1:7" ht="12" customHeight="1">
      <c r="A1904" s="9">
        <v>44892</v>
      </c>
      <c r="B1904" s="10">
        <v>143460030</v>
      </c>
      <c r="C1904" s="3">
        <v>5540246187987</v>
      </c>
      <c r="D1904" s="9">
        <v>44894</v>
      </c>
      <c r="E1904" s="11">
        <v>1671</v>
      </c>
      <c r="F1904" s="23" t="str">
        <f>IFERROR(VLOOKUP(C1904, 'Catégorie des articles'!$A:$D, 4, FALSE), "")</f>
        <v>CREMERIE</v>
      </c>
      <c r="G1904">
        <f t="shared" si="29"/>
        <v>202211</v>
      </c>
    </row>
    <row r="1905" spans="1:7" ht="12" customHeight="1">
      <c r="A1905" s="6">
        <v>44892</v>
      </c>
      <c r="B1905" s="7">
        <v>143460035</v>
      </c>
      <c r="C1905" s="3">
        <v>5540246181061</v>
      </c>
      <c r="D1905" s="6">
        <v>44908</v>
      </c>
      <c r="E1905" s="8">
        <v>3308</v>
      </c>
      <c r="F1905" s="23" t="str">
        <f>IFERROR(VLOOKUP(C1905, 'Catégorie des articles'!$A:$D, 4, FALSE), "")</f>
        <v>VOLAILLE</v>
      </c>
      <c r="G1905">
        <f t="shared" si="29"/>
        <v>202212</v>
      </c>
    </row>
    <row r="1906" spans="1:7" ht="12" customHeight="1">
      <c r="A1906" s="9">
        <v>44892</v>
      </c>
      <c r="B1906" s="10">
        <v>143460035</v>
      </c>
      <c r="C1906" s="3">
        <v>5540246185278</v>
      </c>
      <c r="D1906" s="9">
        <v>44908</v>
      </c>
      <c r="E1906" s="11">
        <v>2239</v>
      </c>
      <c r="F1906" s="23" t="str">
        <f>IFERROR(VLOOKUP(C1906, 'Catégorie des articles'!$A:$D, 4, FALSE), "")</f>
        <v>VOLAILLE</v>
      </c>
      <c r="G1906">
        <f t="shared" si="29"/>
        <v>202212</v>
      </c>
    </row>
    <row r="1907" spans="1:7" ht="12" customHeight="1">
      <c r="A1907" s="9">
        <v>44892</v>
      </c>
      <c r="B1907" s="10">
        <v>143460037</v>
      </c>
      <c r="C1907" s="3">
        <v>5540246183130</v>
      </c>
      <c r="D1907" s="9">
        <v>44909</v>
      </c>
      <c r="E1907" s="11">
        <v>2256</v>
      </c>
      <c r="F1907" s="23" t="str">
        <f>IFERROR(VLOOKUP(C1907, 'Catégorie des articles'!$A:$D, 4, FALSE), "")</f>
        <v>MIX LEGUMES</v>
      </c>
      <c r="G1907">
        <f t="shared" si="29"/>
        <v>202212</v>
      </c>
    </row>
    <row r="1908" spans="1:7" ht="12" customHeight="1">
      <c r="A1908" s="6">
        <v>44892</v>
      </c>
      <c r="B1908" s="7">
        <v>143460037</v>
      </c>
      <c r="C1908" s="3">
        <v>5540246183538</v>
      </c>
      <c r="D1908" s="6">
        <v>44909</v>
      </c>
      <c r="E1908" s="8">
        <v>919</v>
      </c>
      <c r="F1908" s="23" t="str">
        <f>IFERROR(VLOOKUP(C1908, 'Catégorie des articles'!$A:$D, 4, FALSE), "")</f>
        <v>MIX LEGUMES</v>
      </c>
      <c r="G1908">
        <f t="shared" si="29"/>
        <v>202212</v>
      </c>
    </row>
    <row r="1909" spans="1:7" ht="12" customHeight="1">
      <c r="A1909" s="9">
        <v>44892</v>
      </c>
      <c r="B1909" s="10">
        <v>143460044</v>
      </c>
      <c r="C1909" s="3">
        <v>5540246174095</v>
      </c>
      <c r="D1909" s="9">
        <v>44901</v>
      </c>
      <c r="E1909" s="11">
        <v>140</v>
      </c>
      <c r="F1909" s="23" t="str">
        <f>IFERROR(VLOOKUP(C1909, 'Catégorie des articles'!$A:$D, 4, FALSE), "")</f>
        <v>CREMERIE</v>
      </c>
      <c r="G1909">
        <f t="shared" si="29"/>
        <v>202212</v>
      </c>
    </row>
    <row r="1910" spans="1:7" ht="12" customHeight="1">
      <c r="A1910" s="6">
        <v>44892</v>
      </c>
      <c r="B1910" s="7">
        <v>143460044</v>
      </c>
      <c r="C1910" s="3">
        <v>5540246175047</v>
      </c>
      <c r="D1910" s="6">
        <v>44901</v>
      </c>
      <c r="E1910" s="8">
        <v>279</v>
      </c>
      <c r="F1910" s="23" t="str">
        <f>IFERROR(VLOOKUP(C1910, 'Catégorie des articles'!$A:$D, 4, FALSE), "")</f>
        <v>CREMERIE</v>
      </c>
      <c r="G1910">
        <f t="shared" si="29"/>
        <v>202212</v>
      </c>
    </row>
    <row r="1911" spans="1:7" ht="12" customHeight="1">
      <c r="A1911" s="9">
        <v>44892</v>
      </c>
      <c r="B1911" s="10">
        <v>143460044</v>
      </c>
      <c r="C1911" s="3">
        <v>5540246175049</v>
      </c>
      <c r="D1911" s="9">
        <v>44901</v>
      </c>
      <c r="E1911" s="11">
        <v>557</v>
      </c>
      <c r="F1911" s="23" t="str">
        <f>IFERROR(VLOOKUP(C1911, 'Catégorie des articles'!$A:$D, 4, FALSE), "")</f>
        <v>CREMERIE</v>
      </c>
      <c r="G1911">
        <f t="shared" si="29"/>
        <v>202212</v>
      </c>
    </row>
    <row r="1912" spans="1:7" ht="12" customHeight="1">
      <c r="A1912" s="6">
        <v>44892</v>
      </c>
      <c r="B1912" s="7">
        <v>143460044</v>
      </c>
      <c r="C1912" s="3">
        <v>5540246190743</v>
      </c>
      <c r="D1912" s="6">
        <v>44901</v>
      </c>
      <c r="E1912" s="8">
        <v>279</v>
      </c>
      <c r="F1912" s="23" t="str">
        <f>IFERROR(VLOOKUP(C1912, 'Catégorie des articles'!$A:$D, 4, FALSE), "")</f>
        <v>CREMERIE</v>
      </c>
      <c r="G1912">
        <f t="shared" si="29"/>
        <v>202212</v>
      </c>
    </row>
    <row r="1913" spans="1:7" ht="12" customHeight="1">
      <c r="A1913" s="6">
        <v>44892</v>
      </c>
      <c r="B1913" s="7">
        <v>143460045</v>
      </c>
      <c r="C1913" s="3">
        <v>5540246183587</v>
      </c>
      <c r="D1913" s="6">
        <v>44902</v>
      </c>
      <c r="E1913" s="8">
        <v>502</v>
      </c>
      <c r="F1913" s="23" t="str">
        <f>IFERROR(VLOOKUP(C1913, 'Catégorie des articles'!$A:$D, 4, FALSE), "")</f>
        <v>MIX LEGUMES</v>
      </c>
      <c r="G1913">
        <f t="shared" si="29"/>
        <v>202212</v>
      </c>
    </row>
    <row r="1914" spans="1:7" ht="12" customHeight="1">
      <c r="A1914" s="9">
        <v>44892</v>
      </c>
      <c r="B1914" s="10">
        <v>143460045</v>
      </c>
      <c r="C1914" s="3">
        <v>5540246183589</v>
      </c>
      <c r="D1914" s="9">
        <v>44902</v>
      </c>
      <c r="E1914" s="11">
        <v>650</v>
      </c>
      <c r="F1914" s="23" t="str">
        <f>IFERROR(VLOOKUP(C1914, 'Catégorie des articles'!$A:$D, 4, FALSE), "")</f>
        <v>MIX LEGUMES</v>
      </c>
      <c r="G1914">
        <f t="shared" si="29"/>
        <v>202212</v>
      </c>
    </row>
    <row r="1915" spans="1:7" ht="12" customHeight="1">
      <c r="A1915" s="6">
        <v>44892</v>
      </c>
      <c r="B1915" s="7">
        <v>143460045</v>
      </c>
      <c r="C1915" s="3">
        <v>5540246186352</v>
      </c>
      <c r="D1915" s="6">
        <v>44902</v>
      </c>
      <c r="E1915" s="8">
        <v>1880</v>
      </c>
      <c r="F1915" s="23" t="str">
        <f>IFERROR(VLOOKUP(C1915, 'Catégorie des articles'!$A:$D, 4, FALSE), "")</f>
        <v>MIX LEGUMES</v>
      </c>
      <c r="G1915">
        <f t="shared" si="29"/>
        <v>202212</v>
      </c>
    </row>
    <row r="1916" spans="1:7" ht="12" customHeight="1">
      <c r="A1916" s="6">
        <v>44892</v>
      </c>
      <c r="B1916" s="7">
        <v>143460047</v>
      </c>
      <c r="C1916" s="3">
        <v>5540246183558</v>
      </c>
      <c r="D1916" s="6">
        <v>44906</v>
      </c>
      <c r="E1916" s="8">
        <v>2599</v>
      </c>
      <c r="F1916" s="23" t="str">
        <f>IFERROR(VLOOKUP(C1916, 'Catégorie des articles'!$A:$D, 4, FALSE), "")</f>
        <v>MIX LEGUMES</v>
      </c>
      <c r="G1916">
        <f t="shared" si="29"/>
        <v>202212</v>
      </c>
    </row>
    <row r="1917" spans="1:7" ht="12" customHeight="1">
      <c r="A1917" s="9">
        <v>44892</v>
      </c>
      <c r="B1917" s="10">
        <v>143460047</v>
      </c>
      <c r="C1917" s="3">
        <v>5540246192209</v>
      </c>
      <c r="D1917" s="9">
        <v>44906</v>
      </c>
      <c r="E1917" s="11">
        <v>2228</v>
      </c>
      <c r="F1917" s="23" t="str">
        <f>IFERROR(VLOOKUP(C1917, 'Catégorie des articles'!$A:$D, 4, FALSE), "")</f>
        <v>MIX LEGUMES</v>
      </c>
      <c r="G1917">
        <f t="shared" si="29"/>
        <v>202212</v>
      </c>
    </row>
    <row r="1918" spans="1:7" ht="12" customHeight="1">
      <c r="A1918" s="6">
        <v>44892</v>
      </c>
      <c r="B1918" s="7">
        <v>143460047</v>
      </c>
      <c r="C1918" s="3">
        <v>5540246192462</v>
      </c>
      <c r="D1918" s="6">
        <v>44906</v>
      </c>
      <c r="E1918" s="8">
        <v>1114</v>
      </c>
      <c r="F1918" s="23" t="str">
        <f>IFERROR(VLOOKUP(C1918, 'Catégorie des articles'!$A:$D, 4, FALSE), "")</f>
        <v>MIX LEGUMES</v>
      </c>
      <c r="G1918">
        <f t="shared" si="29"/>
        <v>202212</v>
      </c>
    </row>
    <row r="1919" spans="1:7" ht="12" customHeight="1">
      <c r="A1919" s="9">
        <v>44892</v>
      </c>
      <c r="B1919" s="10">
        <v>143460047</v>
      </c>
      <c r="C1919" s="3">
        <v>5540246192594</v>
      </c>
      <c r="D1919" s="9">
        <v>44906</v>
      </c>
      <c r="E1919" s="11">
        <v>743</v>
      </c>
      <c r="F1919" s="23" t="str">
        <f>IFERROR(VLOOKUP(C1919, 'Catégorie des articles'!$A:$D, 4, FALSE), "")</f>
        <v>MIX LEGUMES</v>
      </c>
      <c r="G1919">
        <f t="shared" si="29"/>
        <v>202212</v>
      </c>
    </row>
    <row r="1920" spans="1:7" ht="12" customHeight="1">
      <c r="A1920" s="6">
        <v>44892</v>
      </c>
      <c r="B1920" s="7">
        <v>143460047</v>
      </c>
      <c r="C1920" s="3">
        <v>5540246192831</v>
      </c>
      <c r="D1920" s="6">
        <v>44906</v>
      </c>
      <c r="E1920" s="8">
        <v>1300</v>
      </c>
      <c r="F1920" s="23" t="str">
        <f>IFERROR(VLOOKUP(C1920, 'Catégorie des articles'!$A:$D, 4, FALSE), "")</f>
        <v>MIX LEGUMES</v>
      </c>
      <c r="G1920">
        <f t="shared" si="29"/>
        <v>202212</v>
      </c>
    </row>
    <row r="1921" spans="1:7" ht="12" customHeight="1">
      <c r="A1921" s="6">
        <v>44892</v>
      </c>
      <c r="B1921" s="7">
        <v>143460048</v>
      </c>
      <c r="C1921" s="3">
        <v>5540246187995</v>
      </c>
      <c r="D1921" s="6">
        <v>44903</v>
      </c>
      <c r="E1921" s="8">
        <v>1337</v>
      </c>
      <c r="F1921" s="23" t="str">
        <f>IFERROR(VLOOKUP(C1921, 'Catégorie des articles'!$A:$D, 4, FALSE), "")</f>
        <v>EMBALLAGES</v>
      </c>
      <c r="G1921">
        <f t="shared" si="29"/>
        <v>202212</v>
      </c>
    </row>
    <row r="1922" spans="1:7" ht="12" customHeight="1">
      <c r="A1922" s="9">
        <v>44892</v>
      </c>
      <c r="B1922" s="10">
        <v>143460051</v>
      </c>
      <c r="C1922" s="3">
        <v>5540246177133</v>
      </c>
      <c r="D1922" s="9">
        <v>44909</v>
      </c>
      <c r="E1922" s="11">
        <v>18375</v>
      </c>
      <c r="F1922" s="23" t="str">
        <f>IFERROR(VLOOKUP(C1922, 'Catégorie des articles'!$A:$D, 4, FALSE), "")</f>
        <v>MIX LEGUMES</v>
      </c>
      <c r="G1922">
        <f t="shared" si="29"/>
        <v>202212</v>
      </c>
    </row>
    <row r="1923" spans="1:7" ht="12" customHeight="1">
      <c r="A1923" s="6">
        <v>44892</v>
      </c>
      <c r="B1923" s="7">
        <v>143460052</v>
      </c>
      <c r="C1923" s="3">
        <v>5540246192148</v>
      </c>
      <c r="D1923" s="6">
        <v>44909</v>
      </c>
      <c r="E1923" s="8">
        <v>45936</v>
      </c>
      <c r="F1923" s="23" t="str">
        <f>IFERROR(VLOOKUP(C1923, 'Catégorie des articles'!$A:$D, 4, FALSE), "")</f>
        <v>MIX LEGUMES</v>
      </c>
      <c r="G1923">
        <f t="shared" ref="G1923:G1986" si="30">YEAR(D1923)*100 + MONTH(D1923)</f>
        <v>202212</v>
      </c>
    </row>
    <row r="1924" spans="1:7" ht="12" customHeight="1">
      <c r="A1924" s="6">
        <v>44892</v>
      </c>
      <c r="B1924" s="7">
        <v>143460054</v>
      </c>
      <c r="C1924" s="3">
        <v>5540246194632</v>
      </c>
      <c r="D1924" s="6">
        <v>44922</v>
      </c>
      <c r="E1924" s="8">
        <v>2757</v>
      </c>
      <c r="F1924" s="23" t="str">
        <f>IFERROR(VLOOKUP(C1924, 'Catégorie des articles'!$A:$D, 4, FALSE), "")</f>
        <v>BOULANGERIE</v>
      </c>
      <c r="G1924">
        <f t="shared" si="30"/>
        <v>202212</v>
      </c>
    </row>
    <row r="1925" spans="1:7" ht="12" customHeight="1">
      <c r="A1925" s="6">
        <v>44892</v>
      </c>
      <c r="B1925" s="7">
        <v>143460056</v>
      </c>
      <c r="C1925" s="3">
        <v>5540246185429</v>
      </c>
      <c r="D1925" s="6">
        <v>44901</v>
      </c>
      <c r="E1925" s="8">
        <v>70</v>
      </c>
      <c r="F1925" s="23" t="str">
        <f>IFERROR(VLOOKUP(C1925, 'Catégorie des articles'!$A:$D, 4, FALSE), "")</f>
        <v>CREMERIE</v>
      </c>
      <c r="G1925">
        <f t="shared" si="30"/>
        <v>202212</v>
      </c>
    </row>
    <row r="1926" spans="1:7" ht="12" customHeight="1">
      <c r="A1926" s="6">
        <v>44893</v>
      </c>
      <c r="B1926" s="7">
        <v>143460070</v>
      </c>
      <c r="C1926" s="3">
        <v>5540246174174</v>
      </c>
      <c r="D1926" s="6">
        <v>44895</v>
      </c>
      <c r="E1926" s="8">
        <v>464</v>
      </c>
      <c r="F1926" s="23" t="str">
        <f>IFERROR(VLOOKUP(C1926, 'Catégorie des articles'!$A:$D, 4, FALSE), "")</f>
        <v>CREMERIE</v>
      </c>
      <c r="G1926">
        <f t="shared" si="30"/>
        <v>202211</v>
      </c>
    </row>
    <row r="1927" spans="1:7" ht="12" customHeight="1">
      <c r="A1927" s="6">
        <v>44893</v>
      </c>
      <c r="B1927" s="7">
        <v>143460070</v>
      </c>
      <c r="C1927" s="3">
        <v>5540246176699</v>
      </c>
      <c r="D1927" s="6">
        <v>44895</v>
      </c>
      <c r="E1927" s="8">
        <v>4176</v>
      </c>
      <c r="F1927" s="23" t="str">
        <f>IFERROR(VLOOKUP(C1927, 'Catégorie des articles'!$A:$D, 4, FALSE), "")</f>
        <v>CREMERIE</v>
      </c>
      <c r="G1927">
        <f t="shared" si="30"/>
        <v>202211</v>
      </c>
    </row>
    <row r="1928" spans="1:7" ht="12" customHeight="1">
      <c r="A1928" s="6">
        <v>44893</v>
      </c>
      <c r="B1928" s="7">
        <v>143460070</v>
      </c>
      <c r="C1928" s="3">
        <v>5540246188175</v>
      </c>
      <c r="D1928" s="6">
        <v>44895</v>
      </c>
      <c r="E1928" s="8">
        <v>464</v>
      </c>
      <c r="F1928" s="23" t="str">
        <f>IFERROR(VLOOKUP(C1928, 'Catégorie des articles'!$A:$D, 4, FALSE), "")</f>
        <v>CREMERIE</v>
      </c>
      <c r="G1928">
        <f t="shared" si="30"/>
        <v>202211</v>
      </c>
    </row>
    <row r="1929" spans="1:7" ht="12" customHeight="1">
      <c r="A1929" s="6">
        <v>44893</v>
      </c>
      <c r="B1929" s="7">
        <v>143460070</v>
      </c>
      <c r="C1929" s="3">
        <v>5540246192102</v>
      </c>
      <c r="D1929" s="6">
        <v>44895</v>
      </c>
      <c r="E1929" s="8">
        <v>2005</v>
      </c>
      <c r="F1929" s="23" t="str">
        <f>IFERROR(VLOOKUP(C1929, 'Catégorie des articles'!$A:$D, 4, FALSE), "")</f>
        <v>CREMERIE</v>
      </c>
      <c r="G1929">
        <f t="shared" si="30"/>
        <v>202211</v>
      </c>
    </row>
    <row r="1930" spans="1:7" ht="12" customHeight="1">
      <c r="A1930" s="9">
        <v>44893</v>
      </c>
      <c r="B1930" s="10">
        <v>143460073</v>
      </c>
      <c r="C1930" s="3">
        <v>5540246171933</v>
      </c>
      <c r="D1930" s="9">
        <v>44895</v>
      </c>
      <c r="E1930" s="11">
        <v>1114</v>
      </c>
      <c r="F1930" s="23" t="str">
        <f>IFERROR(VLOOKUP(C1930, 'Catégorie des articles'!$A:$D, 4, FALSE), "")</f>
        <v>CREMERIE</v>
      </c>
      <c r="G1930">
        <f t="shared" si="30"/>
        <v>202211</v>
      </c>
    </row>
    <row r="1931" spans="1:7" ht="12" customHeight="1">
      <c r="A1931" s="6">
        <v>44893</v>
      </c>
      <c r="B1931" s="7">
        <v>143460073</v>
      </c>
      <c r="C1931" s="3">
        <v>5540246176294</v>
      </c>
      <c r="D1931" s="6">
        <v>44895</v>
      </c>
      <c r="E1931" s="8">
        <v>743</v>
      </c>
      <c r="F1931" s="23" t="str">
        <f>IFERROR(VLOOKUP(C1931, 'Catégorie des articles'!$A:$D, 4, FALSE), "")</f>
        <v>CREMERIE</v>
      </c>
      <c r="G1931">
        <f t="shared" si="30"/>
        <v>202211</v>
      </c>
    </row>
    <row r="1932" spans="1:7" ht="12" customHeight="1">
      <c r="A1932" s="6">
        <v>44893</v>
      </c>
      <c r="B1932" s="7">
        <v>143460073</v>
      </c>
      <c r="C1932" s="3">
        <v>5540246187987</v>
      </c>
      <c r="D1932" s="6">
        <v>44895</v>
      </c>
      <c r="E1932" s="8">
        <v>3341</v>
      </c>
      <c r="F1932" s="23" t="str">
        <f>IFERROR(VLOOKUP(C1932, 'Catégorie des articles'!$A:$D, 4, FALSE), "")</f>
        <v>CREMERIE</v>
      </c>
      <c r="G1932">
        <f t="shared" si="30"/>
        <v>202211</v>
      </c>
    </row>
    <row r="1933" spans="1:7" ht="12" customHeight="1">
      <c r="A1933" s="9">
        <v>44893</v>
      </c>
      <c r="B1933" s="10">
        <v>143460073</v>
      </c>
      <c r="C1933" s="3">
        <v>5540246188200</v>
      </c>
      <c r="D1933" s="9">
        <v>44895</v>
      </c>
      <c r="E1933" s="11">
        <v>1485</v>
      </c>
      <c r="F1933" s="23" t="str">
        <f>IFERROR(VLOOKUP(C1933, 'Catégorie des articles'!$A:$D, 4, FALSE), "")</f>
        <v>CREMERIE</v>
      </c>
      <c r="G1933">
        <f t="shared" si="30"/>
        <v>202211</v>
      </c>
    </row>
    <row r="1934" spans="1:7" ht="12" customHeight="1">
      <c r="A1934" s="6">
        <v>44893</v>
      </c>
      <c r="B1934" s="7">
        <v>143460075</v>
      </c>
      <c r="C1934" s="3">
        <v>5540246194632</v>
      </c>
      <c r="D1934" s="6">
        <v>44913</v>
      </c>
      <c r="E1934" s="8">
        <v>502</v>
      </c>
      <c r="F1934" s="23" t="str">
        <f>IFERROR(VLOOKUP(C1934, 'Catégorie des articles'!$A:$D, 4, FALSE), "")</f>
        <v>BOULANGERIE</v>
      </c>
      <c r="G1934">
        <f t="shared" si="30"/>
        <v>202212</v>
      </c>
    </row>
    <row r="1935" spans="1:7" ht="12" customHeight="1">
      <c r="A1935" s="9">
        <v>44893</v>
      </c>
      <c r="B1935" s="10">
        <v>143460075</v>
      </c>
      <c r="C1935" s="3">
        <v>5540246195250</v>
      </c>
      <c r="D1935" s="9">
        <v>44913</v>
      </c>
      <c r="E1935" s="11">
        <v>168</v>
      </c>
      <c r="F1935" s="23" t="str">
        <f>IFERROR(VLOOKUP(C1935, 'Catégorie des articles'!$A:$D, 4, FALSE), "")</f>
        <v>BOULANGERIE</v>
      </c>
      <c r="G1935">
        <f t="shared" si="30"/>
        <v>202212</v>
      </c>
    </row>
    <row r="1936" spans="1:7" ht="12" customHeight="1">
      <c r="A1936" s="6">
        <v>44893</v>
      </c>
      <c r="B1936" s="7">
        <v>143460075</v>
      </c>
      <c r="C1936" s="3">
        <v>5540246196046</v>
      </c>
      <c r="D1936" s="6">
        <v>44913</v>
      </c>
      <c r="E1936" s="8">
        <v>418</v>
      </c>
      <c r="F1936" s="23" t="str">
        <f>IFERROR(VLOOKUP(C1936, 'Catégorie des articles'!$A:$D, 4, FALSE), "")</f>
        <v>BOULANGERIE</v>
      </c>
      <c r="G1936">
        <f t="shared" si="30"/>
        <v>202212</v>
      </c>
    </row>
    <row r="1937" spans="1:7" ht="12" customHeight="1">
      <c r="A1937" s="6">
        <v>44894</v>
      </c>
      <c r="B1937" s="7">
        <v>143460091</v>
      </c>
      <c r="C1937" s="3">
        <v>5540246172669</v>
      </c>
      <c r="D1937" s="6">
        <v>44896</v>
      </c>
      <c r="E1937" s="8">
        <v>209</v>
      </c>
      <c r="F1937" s="23" t="str">
        <f>IFERROR(VLOOKUP(C1937, 'Catégorie des articles'!$A:$D, 4, FALSE), "")</f>
        <v>CREMERIE</v>
      </c>
      <c r="G1937">
        <f t="shared" si="30"/>
        <v>202212</v>
      </c>
    </row>
    <row r="1938" spans="1:7" ht="12" customHeight="1">
      <c r="A1938" s="6">
        <v>44894</v>
      </c>
      <c r="B1938" s="7">
        <v>143460091</v>
      </c>
      <c r="C1938" s="3">
        <v>5540246174174</v>
      </c>
      <c r="D1938" s="6">
        <v>44896</v>
      </c>
      <c r="E1938" s="8">
        <v>232</v>
      </c>
      <c r="F1938" s="23" t="str">
        <f>IFERROR(VLOOKUP(C1938, 'Catégorie des articles'!$A:$D, 4, FALSE), "")</f>
        <v>CREMERIE</v>
      </c>
      <c r="G1938">
        <f t="shared" si="30"/>
        <v>202212</v>
      </c>
    </row>
    <row r="1939" spans="1:7" ht="12" customHeight="1">
      <c r="A1939" s="9">
        <v>44894</v>
      </c>
      <c r="B1939" s="10">
        <v>143460091</v>
      </c>
      <c r="C1939" s="3">
        <v>5540246176699</v>
      </c>
      <c r="D1939" s="9">
        <v>44896</v>
      </c>
      <c r="E1939" s="11">
        <v>8352</v>
      </c>
      <c r="F1939" s="23" t="str">
        <f>IFERROR(VLOOKUP(C1939, 'Catégorie des articles'!$A:$D, 4, FALSE), "")</f>
        <v>CREMERIE</v>
      </c>
      <c r="G1939">
        <f t="shared" si="30"/>
        <v>202212</v>
      </c>
    </row>
    <row r="1940" spans="1:7" ht="12" customHeight="1">
      <c r="A1940" s="9">
        <v>44894</v>
      </c>
      <c r="B1940" s="10">
        <v>143460091</v>
      </c>
      <c r="C1940" s="3">
        <v>5540246192102</v>
      </c>
      <c r="D1940" s="9">
        <v>44896</v>
      </c>
      <c r="E1940" s="11">
        <v>2005</v>
      </c>
      <c r="F1940" s="23" t="str">
        <f>IFERROR(VLOOKUP(C1940, 'Catégorie des articles'!$A:$D, 4, FALSE), "")</f>
        <v>CREMERIE</v>
      </c>
      <c r="G1940">
        <f t="shared" si="30"/>
        <v>202212</v>
      </c>
    </row>
    <row r="1941" spans="1:7" ht="12" customHeight="1">
      <c r="A1941" s="9">
        <v>44894</v>
      </c>
      <c r="B1941" s="10">
        <v>143460092</v>
      </c>
      <c r="C1941" s="3">
        <v>5540246171933</v>
      </c>
      <c r="D1941" s="9">
        <v>44896</v>
      </c>
      <c r="E1941" s="11">
        <v>1114</v>
      </c>
      <c r="F1941" s="23" t="str">
        <f>IFERROR(VLOOKUP(C1941, 'Catégorie des articles'!$A:$D, 4, FALSE), "")</f>
        <v>CREMERIE</v>
      </c>
      <c r="G1941">
        <f t="shared" si="30"/>
        <v>202212</v>
      </c>
    </row>
    <row r="1942" spans="1:7" ht="12" customHeight="1">
      <c r="A1942" s="6">
        <v>44894</v>
      </c>
      <c r="B1942" s="7">
        <v>143460092</v>
      </c>
      <c r="C1942" s="3">
        <v>5540246176295</v>
      </c>
      <c r="D1942" s="6">
        <v>44896</v>
      </c>
      <c r="E1942" s="8">
        <v>5940</v>
      </c>
      <c r="F1942" s="23" t="str">
        <f>IFERROR(VLOOKUP(C1942, 'Catégorie des articles'!$A:$D, 4, FALSE), "")</f>
        <v>CREMERIE</v>
      </c>
      <c r="G1942">
        <f t="shared" si="30"/>
        <v>202212</v>
      </c>
    </row>
    <row r="1943" spans="1:7" ht="12" customHeight="1">
      <c r="A1943" s="9">
        <v>44894</v>
      </c>
      <c r="B1943" s="10">
        <v>143460092</v>
      </c>
      <c r="C1943" s="3">
        <v>5540246187987</v>
      </c>
      <c r="D1943" s="9">
        <v>44896</v>
      </c>
      <c r="E1943" s="11">
        <v>4455</v>
      </c>
      <c r="F1943" s="23" t="str">
        <f>IFERROR(VLOOKUP(C1943, 'Catégorie des articles'!$A:$D, 4, FALSE), "")</f>
        <v>CREMERIE</v>
      </c>
      <c r="G1943">
        <f t="shared" si="30"/>
        <v>202212</v>
      </c>
    </row>
    <row r="1944" spans="1:7" ht="12" customHeight="1">
      <c r="A1944" s="6">
        <v>44894</v>
      </c>
      <c r="B1944" s="7">
        <v>143460092</v>
      </c>
      <c r="C1944" s="3">
        <v>5540246188200</v>
      </c>
      <c r="D1944" s="6">
        <v>44896</v>
      </c>
      <c r="E1944" s="8">
        <v>743</v>
      </c>
      <c r="F1944" s="23" t="str">
        <f>IFERROR(VLOOKUP(C1944, 'Catégorie des articles'!$A:$D, 4, FALSE), "")</f>
        <v>CREMERIE</v>
      </c>
      <c r="G1944">
        <f t="shared" si="30"/>
        <v>202212</v>
      </c>
    </row>
    <row r="1945" spans="1:7" ht="12" customHeight="1">
      <c r="A1945" s="6">
        <v>44894</v>
      </c>
      <c r="B1945" s="7">
        <v>143460095</v>
      </c>
      <c r="C1945" s="3">
        <v>5540246175049</v>
      </c>
      <c r="D1945" s="6">
        <v>44903</v>
      </c>
      <c r="E1945" s="8">
        <v>836</v>
      </c>
      <c r="F1945" s="23" t="str">
        <f>IFERROR(VLOOKUP(C1945, 'Catégorie des articles'!$A:$D, 4, FALSE), "")</f>
        <v>CREMERIE</v>
      </c>
      <c r="G1945">
        <f t="shared" si="30"/>
        <v>202212</v>
      </c>
    </row>
    <row r="1946" spans="1:7" ht="12" customHeight="1">
      <c r="A1946" s="6">
        <v>44894</v>
      </c>
      <c r="B1946" s="7">
        <v>143460096</v>
      </c>
      <c r="C1946" s="3">
        <v>5540246192148</v>
      </c>
      <c r="D1946" s="6">
        <v>44916</v>
      </c>
      <c r="E1946" s="8">
        <v>45936</v>
      </c>
      <c r="F1946" s="23" t="str">
        <f>IFERROR(VLOOKUP(C1946, 'Catégorie des articles'!$A:$D, 4, FALSE), "")</f>
        <v>MIX LEGUMES</v>
      </c>
      <c r="G1946">
        <f t="shared" si="30"/>
        <v>202212</v>
      </c>
    </row>
    <row r="1947" spans="1:7" ht="12" customHeight="1">
      <c r="A1947" s="6">
        <v>44894</v>
      </c>
      <c r="B1947" s="7">
        <v>143460107</v>
      </c>
      <c r="C1947" s="3">
        <v>5540246196466</v>
      </c>
      <c r="D1947" s="6">
        <v>44901</v>
      </c>
      <c r="E1947" s="8">
        <v>1782</v>
      </c>
      <c r="F1947" s="23" t="str">
        <f>IFERROR(VLOOKUP(C1947, 'Catégorie des articles'!$A:$D, 4, FALSE), "")</f>
        <v>BOULANGERIE</v>
      </c>
      <c r="G1947">
        <f t="shared" si="30"/>
        <v>202212</v>
      </c>
    </row>
    <row r="1948" spans="1:7" ht="12" customHeight="1">
      <c r="A1948" s="9">
        <v>44894</v>
      </c>
      <c r="B1948" s="10">
        <v>143460135</v>
      </c>
      <c r="C1948" s="3">
        <v>5540246183547</v>
      </c>
      <c r="D1948" s="9">
        <v>44908</v>
      </c>
      <c r="E1948" s="11">
        <v>8909</v>
      </c>
      <c r="F1948" s="23" t="str">
        <f>IFERROR(VLOOKUP(C1948, 'Catégorie des articles'!$A:$D, 4, FALSE), "")</f>
        <v>VOLAILLE</v>
      </c>
      <c r="G1948">
        <f t="shared" si="30"/>
        <v>202212</v>
      </c>
    </row>
    <row r="1949" spans="1:7" ht="12" customHeight="1">
      <c r="A1949" s="9">
        <v>44895</v>
      </c>
      <c r="B1949" s="10">
        <v>143460152</v>
      </c>
      <c r="C1949" s="3">
        <v>5540246171933</v>
      </c>
      <c r="D1949" s="9">
        <v>44900</v>
      </c>
      <c r="E1949" s="11">
        <v>2228</v>
      </c>
      <c r="F1949" s="23" t="str">
        <f>IFERROR(VLOOKUP(C1949, 'Catégorie des articles'!$A:$D, 4, FALSE), "")</f>
        <v>CREMERIE</v>
      </c>
      <c r="G1949">
        <f t="shared" si="30"/>
        <v>202212</v>
      </c>
    </row>
    <row r="1950" spans="1:7" ht="12" customHeight="1">
      <c r="A1950" s="6">
        <v>44895</v>
      </c>
      <c r="B1950" s="7">
        <v>143460152</v>
      </c>
      <c r="C1950" s="3">
        <v>5540246176294</v>
      </c>
      <c r="D1950" s="6">
        <v>44900</v>
      </c>
      <c r="E1950" s="8">
        <v>743</v>
      </c>
      <c r="F1950" s="23" t="str">
        <f>IFERROR(VLOOKUP(C1950, 'Catégorie des articles'!$A:$D, 4, FALSE), "")</f>
        <v>CREMERIE</v>
      </c>
      <c r="G1950">
        <f t="shared" si="30"/>
        <v>202212</v>
      </c>
    </row>
    <row r="1951" spans="1:7" ht="12" customHeight="1">
      <c r="A1951" s="9">
        <v>44895</v>
      </c>
      <c r="B1951" s="10">
        <v>143460152</v>
      </c>
      <c r="C1951" s="3">
        <v>5540246176295</v>
      </c>
      <c r="D1951" s="9">
        <v>44900</v>
      </c>
      <c r="E1951" s="11">
        <v>4455</v>
      </c>
      <c r="F1951" s="23" t="str">
        <f>IFERROR(VLOOKUP(C1951, 'Catégorie des articles'!$A:$D, 4, FALSE), "")</f>
        <v>CREMERIE</v>
      </c>
      <c r="G1951">
        <f t="shared" si="30"/>
        <v>202212</v>
      </c>
    </row>
    <row r="1952" spans="1:7" ht="12" customHeight="1">
      <c r="A1952" s="6">
        <v>44895</v>
      </c>
      <c r="B1952" s="7">
        <v>143460152</v>
      </c>
      <c r="C1952" s="3">
        <v>5540246187987</v>
      </c>
      <c r="D1952" s="6">
        <v>44900</v>
      </c>
      <c r="E1952" s="8">
        <v>6682</v>
      </c>
      <c r="F1952" s="23" t="str">
        <f>IFERROR(VLOOKUP(C1952, 'Catégorie des articles'!$A:$D, 4, FALSE), "")</f>
        <v>CREMERIE</v>
      </c>
      <c r="G1952">
        <f t="shared" si="30"/>
        <v>202212</v>
      </c>
    </row>
    <row r="1953" spans="1:7" ht="12" customHeight="1">
      <c r="A1953" s="9">
        <v>44895</v>
      </c>
      <c r="B1953" s="10">
        <v>143460152</v>
      </c>
      <c r="C1953" s="3">
        <v>5540246188200</v>
      </c>
      <c r="D1953" s="9">
        <v>44900</v>
      </c>
      <c r="E1953" s="11">
        <v>1485</v>
      </c>
      <c r="F1953" s="23" t="str">
        <f>IFERROR(VLOOKUP(C1953, 'Catégorie des articles'!$A:$D, 4, FALSE), "")</f>
        <v>CREMERIE</v>
      </c>
      <c r="G1953">
        <f t="shared" si="30"/>
        <v>202212</v>
      </c>
    </row>
    <row r="1954" spans="1:7" ht="12" customHeight="1">
      <c r="A1954" s="9">
        <v>44895</v>
      </c>
      <c r="B1954" s="10">
        <v>143460153</v>
      </c>
      <c r="C1954" s="3">
        <v>5540246172539</v>
      </c>
      <c r="D1954" s="9">
        <v>44900</v>
      </c>
      <c r="E1954" s="11">
        <v>47</v>
      </c>
      <c r="F1954" s="23" t="str">
        <f>IFERROR(VLOOKUP(C1954, 'Catégorie des articles'!$A:$D, 4, FALSE), "")</f>
        <v>CREMERIE</v>
      </c>
      <c r="G1954">
        <f t="shared" si="30"/>
        <v>202212</v>
      </c>
    </row>
    <row r="1955" spans="1:7" ht="12" customHeight="1">
      <c r="A1955" s="6">
        <v>44895</v>
      </c>
      <c r="B1955" s="7">
        <v>143460153</v>
      </c>
      <c r="C1955" s="3">
        <v>5540246172669</v>
      </c>
      <c r="D1955" s="6">
        <v>44900</v>
      </c>
      <c r="E1955" s="8">
        <v>279</v>
      </c>
      <c r="F1955" s="23" t="str">
        <f>IFERROR(VLOOKUP(C1955, 'Catégorie des articles'!$A:$D, 4, FALSE), "")</f>
        <v>CREMERIE</v>
      </c>
      <c r="G1955">
        <f t="shared" si="30"/>
        <v>202212</v>
      </c>
    </row>
    <row r="1956" spans="1:7" ht="12" customHeight="1">
      <c r="A1956" s="9">
        <v>44895</v>
      </c>
      <c r="B1956" s="10">
        <v>143460153</v>
      </c>
      <c r="C1956" s="3">
        <v>5540246172978</v>
      </c>
      <c r="D1956" s="9">
        <v>44900</v>
      </c>
      <c r="E1956" s="11">
        <v>1671</v>
      </c>
      <c r="F1956" s="23" t="str">
        <f>IFERROR(VLOOKUP(C1956, 'Catégorie des articles'!$A:$D, 4, FALSE), "")</f>
        <v>CREMERIE</v>
      </c>
      <c r="G1956">
        <f t="shared" si="30"/>
        <v>202212</v>
      </c>
    </row>
    <row r="1957" spans="1:7" ht="12" customHeight="1">
      <c r="A1957" s="6">
        <v>44895</v>
      </c>
      <c r="B1957" s="7">
        <v>143460153</v>
      </c>
      <c r="C1957" s="3">
        <v>5540246174174</v>
      </c>
      <c r="D1957" s="6">
        <v>44900</v>
      </c>
      <c r="E1957" s="8">
        <v>232</v>
      </c>
      <c r="F1957" s="23" t="str">
        <f>IFERROR(VLOOKUP(C1957, 'Catégorie des articles'!$A:$D, 4, FALSE), "")</f>
        <v>CREMERIE</v>
      </c>
      <c r="G1957">
        <f t="shared" si="30"/>
        <v>202212</v>
      </c>
    </row>
    <row r="1958" spans="1:7" ht="12" customHeight="1">
      <c r="A1958" s="6">
        <v>44895</v>
      </c>
      <c r="B1958" s="7">
        <v>143460153</v>
      </c>
      <c r="C1958" s="3">
        <v>5540246176699</v>
      </c>
      <c r="D1958" s="6">
        <v>44900</v>
      </c>
      <c r="E1958" s="8">
        <v>4176</v>
      </c>
      <c r="F1958" s="23" t="str">
        <f>IFERROR(VLOOKUP(C1958, 'Catégorie des articles'!$A:$D, 4, FALSE), "")</f>
        <v>CREMERIE</v>
      </c>
      <c r="G1958">
        <f t="shared" si="30"/>
        <v>202212</v>
      </c>
    </row>
    <row r="1959" spans="1:7" ht="12" customHeight="1">
      <c r="A1959" s="6">
        <v>44895</v>
      </c>
      <c r="B1959" s="7">
        <v>143460157</v>
      </c>
      <c r="C1959" s="3">
        <v>5540246185562</v>
      </c>
      <c r="D1959" s="6">
        <v>44903</v>
      </c>
      <c r="E1959" s="8">
        <v>140</v>
      </c>
      <c r="F1959" s="23" t="str">
        <f>IFERROR(VLOOKUP(C1959, 'Catégorie des articles'!$A:$D, 4, FALSE), "")</f>
        <v>CREMERIE</v>
      </c>
      <c r="G1959">
        <f t="shared" si="30"/>
        <v>202212</v>
      </c>
    </row>
    <row r="1960" spans="1:7" ht="12" customHeight="1">
      <c r="A1960" s="9">
        <v>44895</v>
      </c>
      <c r="B1960" s="10">
        <v>143460157</v>
      </c>
      <c r="C1960" s="3">
        <v>5540246186325</v>
      </c>
      <c r="D1960" s="9">
        <v>44903</v>
      </c>
      <c r="E1960" s="11">
        <v>279</v>
      </c>
      <c r="F1960" s="23" t="str">
        <f>IFERROR(VLOOKUP(C1960, 'Catégorie des articles'!$A:$D, 4, FALSE), "")</f>
        <v>CREMERIE</v>
      </c>
      <c r="G1960">
        <f t="shared" si="30"/>
        <v>202212</v>
      </c>
    </row>
    <row r="1961" spans="1:7" ht="12" customHeight="1">
      <c r="A1961" s="6">
        <v>44895</v>
      </c>
      <c r="B1961" s="7">
        <v>143460158</v>
      </c>
      <c r="C1961" s="3">
        <v>5540246175047</v>
      </c>
      <c r="D1961" s="6">
        <v>44903</v>
      </c>
      <c r="E1961" s="8">
        <v>279</v>
      </c>
      <c r="F1961" s="23" t="str">
        <f>IFERROR(VLOOKUP(C1961, 'Catégorie des articles'!$A:$D, 4, FALSE), "")</f>
        <v>CREMERIE</v>
      </c>
      <c r="G1961">
        <f t="shared" si="30"/>
        <v>202212</v>
      </c>
    </row>
    <row r="1962" spans="1:7" ht="12" customHeight="1">
      <c r="A1962" s="6">
        <v>44896</v>
      </c>
      <c r="B1962" s="7">
        <v>143460199</v>
      </c>
      <c r="C1962" s="3">
        <v>5540246176294</v>
      </c>
      <c r="D1962" s="6">
        <v>44901</v>
      </c>
      <c r="E1962" s="8">
        <v>2228</v>
      </c>
      <c r="F1962" s="23" t="str">
        <f>IFERROR(VLOOKUP(C1962, 'Catégorie des articles'!$A:$D, 4, FALSE), "")</f>
        <v>CREMERIE</v>
      </c>
      <c r="G1962">
        <f t="shared" si="30"/>
        <v>202212</v>
      </c>
    </row>
    <row r="1963" spans="1:7" ht="12" customHeight="1">
      <c r="A1963" s="9">
        <v>44896</v>
      </c>
      <c r="B1963" s="10">
        <v>143460199</v>
      </c>
      <c r="C1963" s="3">
        <v>5540246176295</v>
      </c>
      <c r="D1963" s="9">
        <v>44901</v>
      </c>
      <c r="E1963" s="11">
        <v>4455</v>
      </c>
      <c r="F1963" s="23" t="str">
        <f>IFERROR(VLOOKUP(C1963, 'Catégorie des articles'!$A:$D, 4, FALSE), "")</f>
        <v>CREMERIE</v>
      </c>
      <c r="G1963">
        <f t="shared" si="30"/>
        <v>202212</v>
      </c>
    </row>
    <row r="1964" spans="1:7" ht="12" customHeight="1">
      <c r="A1964" s="9">
        <v>44896</v>
      </c>
      <c r="B1964" s="10">
        <v>143460199</v>
      </c>
      <c r="C1964" s="3">
        <v>5540246187987</v>
      </c>
      <c r="D1964" s="9">
        <v>44901</v>
      </c>
      <c r="E1964" s="11">
        <v>4455</v>
      </c>
      <c r="F1964" s="23" t="str">
        <f>IFERROR(VLOOKUP(C1964, 'Catégorie des articles'!$A:$D, 4, FALSE), "")</f>
        <v>CREMERIE</v>
      </c>
      <c r="G1964">
        <f t="shared" si="30"/>
        <v>202212</v>
      </c>
    </row>
    <row r="1965" spans="1:7" ht="12" customHeight="1">
      <c r="A1965" s="6">
        <v>44896</v>
      </c>
      <c r="B1965" s="7">
        <v>143460199</v>
      </c>
      <c r="C1965" s="3">
        <v>5540246188200</v>
      </c>
      <c r="D1965" s="6">
        <v>44901</v>
      </c>
      <c r="E1965" s="8">
        <v>743</v>
      </c>
      <c r="F1965" s="23" t="str">
        <f>IFERROR(VLOOKUP(C1965, 'Catégorie des articles'!$A:$D, 4, FALSE), "")</f>
        <v>CREMERIE</v>
      </c>
      <c r="G1965">
        <f t="shared" si="30"/>
        <v>202212</v>
      </c>
    </row>
    <row r="1966" spans="1:7" ht="12" customHeight="1">
      <c r="A1966" s="6">
        <v>44896</v>
      </c>
      <c r="B1966" s="7">
        <v>143460200</v>
      </c>
      <c r="C1966" s="3">
        <v>5540246172978</v>
      </c>
      <c r="D1966" s="6">
        <v>44901</v>
      </c>
      <c r="E1966" s="8">
        <v>1671</v>
      </c>
      <c r="F1966" s="23" t="str">
        <f>IFERROR(VLOOKUP(C1966, 'Catégorie des articles'!$A:$D, 4, FALSE), "")</f>
        <v>CREMERIE</v>
      </c>
      <c r="G1966">
        <f t="shared" si="30"/>
        <v>202212</v>
      </c>
    </row>
    <row r="1967" spans="1:7" ht="12" customHeight="1">
      <c r="A1967" s="9">
        <v>44896</v>
      </c>
      <c r="B1967" s="10">
        <v>143460200</v>
      </c>
      <c r="C1967" s="3">
        <v>5540246176699</v>
      </c>
      <c r="D1967" s="9">
        <v>44901</v>
      </c>
      <c r="E1967" s="11">
        <v>8352</v>
      </c>
      <c r="F1967" s="23" t="str">
        <f>IFERROR(VLOOKUP(C1967, 'Catégorie des articles'!$A:$D, 4, FALSE), "")</f>
        <v>CREMERIE</v>
      </c>
      <c r="G1967">
        <f t="shared" si="30"/>
        <v>202212</v>
      </c>
    </row>
    <row r="1968" spans="1:7" ht="12" customHeight="1">
      <c r="A1968" s="6">
        <v>44900</v>
      </c>
      <c r="B1968" s="7">
        <v>143470228</v>
      </c>
      <c r="C1968" s="3">
        <v>5540246172669</v>
      </c>
      <c r="D1968" s="6">
        <v>44902</v>
      </c>
      <c r="E1968" s="8">
        <v>279</v>
      </c>
      <c r="F1968" s="23" t="str">
        <f>IFERROR(VLOOKUP(C1968, 'Catégorie des articles'!$A:$D, 4, FALSE), "")</f>
        <v>CREMERIE</v>
      </c>
      <c r="G1968">
        <f t="shared" si="30"/>
        <v>202212</v>
      </c>
    </row>
    <row r="1969" spans="1:7" ht="12" customHeight="1">
      <c r="A1969" s="9">
        <v>44900</v>
      </c>
      <c r="B1969" s="10">
        <v>143470228</v>
      </c>
      <c r="C1969" s="3">
        <v>5540246176699</v>
      </c>
      <c r="D1969" s="9">
        <v>44902</v>
      </c>
      <c r="E1969" s="11">
        <v>8352</v>
      </c>
      <c r="F1969" s="23" t="str">
        <f>IFERROR(VLOOKUP(C1969, 'Catégorie des articles'!$A:$D, 4, FALSE), "")</f>
        <v>CREMERIE</v>
      </c>
      <c r="G1969">
        <f t="shared" si="30"/>
        <v>202212</v>
      </c>
    </row>
    <row r="1970" spans="1:7" ht="12" customHeight="1">
      <c r="A1970" s="6">
        <v>44900</v>
      </c>
      <c r="B1970" s="7">
        <v>143470229</v>
      </c>
      <c r="C1970" s="3">
        <v>5540246176295</v>
      </c>
      <c r="D1970" s="6">
        <v>44902</v>
      </c>
      <c r="E1970" s="8">
        <v>7424</v>
      </c>
      <c r="F1970" s="23" t="str">
        <f>IFERROR(VLOOKUP(C1970, 'Catégorie des articles'!$A:$D, 4, FALSE), "")</f>
        <v>CREMERIE</v>
      </c>
      <c r="G1970">
        <f t="shared" si="30"/>
        <v>202212</v>
      </c>
    </row>
    <row r="1971" spans="1:7" ht="12" customHeight="1">
      <c r="A1971" s="9">
        <v>44900</v>
      </c>
      <c r="B1971" s="10">
        <v>143470229</v>
      </c>
      <c r="C1971" s="3">
        <v>5540246187987</v>
      </c>
      <c r="D1971" s="9">
        <v>44902</v>
      </c>
      <c r="E1971" s="11">
        <v>4455</v>
      </c>
      <c r="F1971" s="23" t="str">
        <f>IFERROR(VLOOKUP(C1971, 'Catégorie des articles'!$A:$D, 4, FALSE), "")</f>
        <v>CREMERIE</v>
      </c>
      <c r="G1971">
        <f t="shared" si="30"/>
        <v>202212</v>
      </c>
    </row>
    <row r="1972" spans="1:7" ht="12" customHeight="1">
      <c r="A1972" s="6">
        <v>44900</v>
      </c>
      <c r="B1972" s="7">
        <v>143470229</v>
      </c>
      <c r="C1972" s="3">
        <v>5540246188200</v>
      </c>
      <c r="D1972" s="6">
        <v>44902</v>
      </c>
      <c r="E1972" s="8">
        <v>1114</v>
      </c>
      <c r="F1972" s="23" t="str">
        <f>IFERROR(VLOOKUP(C1972, 'Catégorie des articles'!$A:$D, 4, FALSE), "")</f>
        <v>CREMERIE</v>
      </c>
      <c r="G1972">
        <f t="shared" si="30"/>
        <v>202212</v>
      </c>
    </row>
    <row r="1973" spans="1:7" ht="12" customHeight="1">
      <c r="A1973" s="6">
        <v>44900</v>
      </c>
      <c r="B1973" s="7">
        <v>143470230</v>
      </c>
      <c r="C1973" s="3">
        <v>5540246175049</v>
      </c>
      <c r="D1973" s="6">
        <v>44908</v>
      </c>
      <c r="E1973" s="8">
        <v>1114</v>
      </c>
      <c r="F1973" s="23" t="str">
        <f>IFERROR(VLOOKUP(C1973, 'Catégorie des articles'!$A:$D, 4, FALSE), "")</f>
        <v>CREMERIE</v>
      </c>
      <c r="G1973">
        <f t="shared" si="30"/>
        <v>202212</v>
      </c>
    </row>
    <row r="1974" spans="1:7" ht="12" customHeight="1">
      <c r="A1974" s="9">
        <v>44900</v>
      </c>
      <c r="B1974" s="10">
        <v>143470230</v>
      </c>
      <c r="C1974" s="3">
        <v>5540246175050</v>
      </c>
      <c r="D1974" s="9">
        <v>44908</v>
      </c>
      <c r="E1974" s="11">
        <v>1114</v>
      </c>
      <c r="F1974" s="23" t="str">
        <f>IFERROR(VLOOKUP(C1974, 'Catégorie des articles'!$A:$D, 4, FALSE), "")</f>
        <v>CREMERIE</v>
      </c>
      <c r="G1974">
        <f t="shared" si="30"/>
        <v>202212</v>
      </c>
    </row>
    <row r="1975" spans="1:7" ht="12" customHeight="1">
      <c r="A1975" s="6">
        <v>44900</v>
      </c>
      <c r="B1975" s="7">
        <v>143470230</v>
      </c>
      <c r="C1975" s="3">
        <v>5540246190743</v>
      </c>
      <c r="D1975" s="6">
        <v>44908</v>
      </c>
      <c r="E1975" s="8">
        <v>279</v>
      </c>
      <c r="F1975" s="23" t="str">
        <f>IFERROR(VLOOKUP(C1975, 'Catégorie des articles'!$A:$D, 4, FALSE), "")</f>
        <v>CREMERIE</v>
      </c>
      <c r="G1975">
        <f t="shared" si="30"/>
        <v>202212</v>
      </c>
    </row>
    <row r="1976" spans="1:7" ht="12" customHeight="1">
      <c r="A1976" s="9">
        <v>44900</v>
      </c>
      <c r="B1976" s="10">
        <v>143470246</v>
      </c>
      <c r="C1976" s="3">
        <v>5540246182684</v>
      </c>
      <c r="D1976" s="9">
        <v>44910</v>
      </c>
      <c r="E1976" s="11">
        <v>140</v>
      </c>
      <c r="F1976" s="23" t="str">
        <f>IFERROR(VLOOKUP(C1976, 'Catégorie des articles'!$A:$D, 4, FALSE), "")</f>
        <v>BOULANGERIE</v>
      </c>
      <c r="G1976">
        <f t="shared" si="30"/>
        <v>202212</v>
      </c>
    </row>
    <row r="1977" spans="1:7" ht="12" customHeight="1">
      <c r="A1977" s="6">
        <v>44900</v>
      </c>
      <c r="B1977" s="7">
        <v>143470246</v>
      </c>
      <c r="C1977" s="3">
        <v>5540246183844</v>
      </c>
      <c r="D1977" s="6">
        <v>44910</v>
      </c>
      <c r="E1977" s="8">
        <v>186</v>
      </c>
      <c r="F1977" s="23" t="str">
        <f>IFERROR(VLOOKUP(C1977, 'Catégorie des articles'!$A:$D, 4, FALSE), "")</f>
        <v>BOULANGERIE</v>
      </c>
      <c r="G1977">
        <f t="shared" si="30"/>
        <v>202212</v>
      </c>
    </row>
    <row r="1978" spans="1:7" ht="12" customHeight="1">
      <c r="A1978" s="6">
        <v>44900</v>
      </c>
      <c r="B1978" s="7">
        <v>143470246</v>
      </c>
      <c r="C1978" s="3">
        <v>5540246194467</v>
      </c>
      <c r="D1978" s="6">
        <v>44910</v>
      </c>
      <c r="E1978" s="8">
        <v>12473</v>
      </c>
      <c r="F1978" s="23" t="str">
        <f>IFERROR(VLOOKUP(C1978, 'Catégorie des articles'!$A:$D, 4, FALSE), "")</f>
        <v>BOULANGERIE</v>
      </c>
      <c r="G1978">
        <f t="shared" si="30"/>
        <v>202212</v>
      </c>
    </row>
    <row r="1979" spans="1:7" ht="12" customHeight="1">
      <c r="A1979" s="9">
        <v>44900</v>
      </c>
      <c r="B1979" s="10">
        <v>143470255</v>
      </c>
      <c r="C1979" s="3">
        <v>5540246171759</v>
      </c>
      <c r="D1979" s="9">
        <v>44920</v>
      </c>
      <c r="E1979" s="11">
        <v>3341</v>
      </c>
      <c r="F1979" s="23" t="str">
        <f>IFERROR(VLOOKUP(C1979, 'Catégorie des articles'!$A:$D, 4, FALSE), "")</f>
        <v>MIX LEGUMES</v>
      </c>
      <c r="G1979">
        <f t="shared" si="30"/>
        <v>202212</v>
      </c>
    </row>
    <row r="1980" spans="1:7" ht="12" customHeight="1">
      <c r="A1980" s="6">
        <v>44900</v>
      </c>
      <c r="B1980" s="7">
        <v>143470255</v>
      </c>
      <c r="C1980" s="3">
        <v>5540246177133</v>
      </c>
      <c r="D1980" s="6">
        <v>44920</v>
      </c>
      <c r="E1980" s="8">
        <v>10023</v>
      </c>
      <c r="F1980" s="23" t="str">
        <f>IFERROR(VLOOKUP(C1980, 'Catégorie des articles'!$A:$D, 4, FALSE), "")</f>
        <v>MIX LEGUMES</v>
      </c>
      <c r="G1980">
        <f t="shared" si="30"/>
        <v>202212</v>
      </c>
    </row>
    <row r="1981" spans="1:7" ht="12" customHeight="1">
      <c r="A1981" s="9">
        <v>44900</v>
      </c>
      <c r="B1981" s="10">
        <v>143470255</v>
      </c>
      <c r="C1981" s="3">
        <v>5540246192148</v>
      </c>
      <c r="D1981" s="9">
        <v>44920</v>
      </c>
      <c r="E1981" s="11">
        <v>6960</v>
      </c>
      <c r="F1981" s="23" t="str">
        <f>IFERROR(VLOOKUP(C1981, 'Catégorie des articles'!$A:$D, 4, FALSE), "")</f>
        <v>MIX LEGUMES</v>
      </c>
      <c r="G1981">
        <f t="shared" si="30"/>
        <v>202212</v>
      </c>
    </row>
    <row r="1982" spans="1:7" ht="12" customHeight="1">
      <c r="A1982" s="6">
        <v>44900</v>
      </c>
      <c r="B1982" s="7">
        <v>143470255</v>
      </c>
      <c r="C1982" s="3">
        <v>5540246192518</v>
      </c>
      <c r="D1982" s="6">
        <v>44920</v>
      </c>
      <c r="E1982" s="8">
        <v>5847</v>
      </c>
      <c r="F1982" s="23" t="str">
        <f>IFERROR(VLOOKUP(C1982, 'Catégorie des articles'!$A:$D, 4, FALSE), "")</f>
        <v>MIX LEGUMES</v>
      </c>
      <c r="G1982">
        <f t="shared" si="30"/>
        <v>202212</v>
      </c>
    </row>
    <row r="1983" spans="1:7" ht="12" customHeight="1">
      <c r="A1983" s="6">
        <v>44901</v>
      </c>
      <c r="B1983" s="7">
        <v>143470275</v>
      </c>
      <c r="C1983" s="3">
        <v>5540246176294</v>
      </c>
      <c r="D1983" s="6">
        <v>44903</v>
      </c>
      <c r="E1983" s="8">
        <v>1485</v>
      </c>
      <c r="F1983" s="23" t="str">
        <f>IFERROR(VLOOKUP(C1983, 'Catégorie des articles'!$A:$D, 4, FALSE), "")</f>
        <v>CREMERIE</v>
      </c>
      <c r="G1983">
        <f t="shared" si="30"/>
        <v>202212</v>
      </c>
    </row>
    <row r="1984" spans="1:7" ht="12" customHeight="1">
      <c r="A1984" s="9">
        <v>44901</v>
      </c>
      <c r="B1984" s="10">
        <v>143470275</v>
      </c>
      <c r="C1984" s="3">
        <v>5540246176295</v>
      </c>
      <c r="D1984" s="9">
        <v>44903</v>
      </c>
      <c r="E1984" s="11">
        <v>7424</v>
      </c>
      <c r="F1984" s="23" t="str">
        <f>IFERROR(VLOOKUP(C1984, 'Catégorie des articles'!$A:$D, 4, FALSE), "")</f>
        <v>CREMERIE</v>
      </c>
      <c r="G1984">
        <f t="shared" si="30"/>
        <v>202212</v>
      </c>
    </row>
    <row r="1985" spans="1:7" ht="12" customHeight="1">
      <c r="A1985" s="9">
        <v>44901</v>
      </c>
      <c r="B1985" s="10">
        <v>143470275</v>
      </c>
      <c r="C1985" s="3">
        <v>5540246187987</v>
      </c>
      <c r="D1985" s="9">
        <v>44903</v>
      </c>
      <c r="E1985" s="11">
        <v>4455</v>
      </c>
      <c r="F1985" s="23" t="str">
        <f>IFERROR(VLOOKUP(C1985, 'Catégorie des articles'!$A:$D, 4, FALSE), "")</f>
        <v>CREMERIE</v>
      </c>
      <c r="G1985">
        <f t="shared" si="30"/>
        <v>202212</v>
      </c>
    </row>
    <row r="1986" spans="1:7" ht="12" customHeight="1">
      <c r="A1986" s="9">
        <v>44901</v>
      </c>
      <c r="B1986" s="10">
        <v>143470276</v>
      </c>
      <c r="C1986" s="3">
        <v>5540246174174</v>
      </c>
      <c r="D1986" s="9">
        <v>44903</v>
      </c>
      <c r="E1986" s="11">
        <v>232</v>
      </c>
      <c r="F1986" s="23" t="str">
        <f>IFERROR(VLOOKUP(C1986, 'Catégorie des articles'!$A:$D, 4, FALSE), "")</f>
        <v>CREMERIE</v>
      </c>
      <c r="G1986">
        <f t="shared" si="30"/>
        <v>202212</v>
      </c>
    </row>
    <row r="1987" spans="1:7" ht="12" customHeight="1">
      <c r="A1987" s="9">
        <v>44901</v>
      </c>
      <c r="B1987" s="10">
        <v>143470276</v>
      </c>
      <c r="C1987" s="3">
        <v>5540246176699</v>
      </c>
      <c r="D1987" s="9">
        <v>44903</v>
      </c>
      <c r="E1987" s="11">
        <v>8352</v>
      </c>
      <c r="F1987" s="23" t="str">
        <f>IFERROR(VLOOKUP(C1987, 'Catégorie des articles'!$A:$D, 4, FALSE), "")</f>
        <v>CREMERIE</v>
      </c>
      <c r="G1987">
        <f t="shared" ref="G1987:G2050" si="31">YEAR(D1987)*100 + MONTH(D1987)</f>
        <v>202212</v>
      </c>
    </row>
    <row r="1988" spans="1:7" ht="12" customHeight="1">
      <c r="A1988" s="6">
        <v>44901</v>
      </c>
      <c r="B1988" s="7">
        <v>143470276</v>
      </c>
      <c r="C1988" s="3">
        <v>5540246192102</v>
      </c>
      <c r="D1988" s="6">
        <v>44903</v>
      </c>
      <c r="E1988" s="8">
        <v>4009</v>
      </c>
      <c r="F1988" s="23" t="str">
        <f>IFERROR(VLOOKUP(C1988, 'Catégorie des articles'!$A:$D, 4, FALSE), "")</f>
        <v>CREMERIE</v>
      </c>
      <c r="G1988">
        <f t="shared" si="31"/>
        <v>202212</v>
      </c>
    </row>
    <row r="1989" spans="1:7" ht="12" customHeight="1">
      <c r="A1989" s="9">
        <v>44901</v>
      </c>
      <c r="B1989" s="10">
        <v>143470313</v>
      </c>
      <c r="C1989" s="3">
        <v>5540246194632</v>
      </c>
      <c r="D1989" s="9">
        <v>44929</v>
      </c>
      <c r="E1989" s="11">
        <v>919</v>
      </c>
      <c r="F1989" s="23" t="str">
        <f>IFERROR(VLOOKUP(C1989, 'Catégorie des articles'!$A:$D, 4, FALSE), "")</f>
        <v>BOULANGERIE</v>
      </c>
      <c r="G1989">
        <f t="shared" si="31"/>
        <v>202301</v>
      </c>
    </row>
    <row r="1990" spans="1:7" ht="12" customHeight="1">
      <c r="A1990" s="9">
        <v>44901</v>
      </c>
      <c r="B1990" s="10">
        <v>143470317</v>
      </c>
      <c r="C1990" s="3">
        <v>5540246194467</v>
      </c>
      <c r="D1990" s="9">
        <v>44917</v>
      </c>
      <c r="E1990" s="11">
        <v>58799</v>
      </c>
      <c r="F1990" s="23" t="str">
        <f>IFERROR(VLOOKUP(C1990, 'Catégorie des articles'!$A:$D, 4, FALSE), "")</f>
        <v>BOULANGERIE</v>
      </c>
      <c r="G1990">
        <f t="shared" si="31"/>
        <v>202212</v>
      </c>
    </row>
    <row r="1991" spans="1:7" ht="12" customHeight="1">
      <c r="A1991" s="6">
        <v>44902</v>
      </c>
      <c r="B1991" s="7">
        <v>143470330</v>
      </c>
      <c r="C1991" s="3">
        <v>5540246174174</v>
      </c>
      <c r="D1991" s="6">
        <v>44906</v>
      </c>
      <c r="E1991" s="8">
        <v>464</v>
      </c>
      <c r="F1991" s="23" t="str">
        <f>IFERROR(VLOOKUP(C1991, 'Catégorie des articles'!$A:$D, 4, FALSE), "")</f>
        <v>CREMERIE</v>
      </c>
      <c r="G1991">
        <f t="shared" si="31"/>
        <v>202212</v>
      </c>
    </row>
    <row r="1992" spans="1:7" ht="12" customHeight="1">
      <c r="A1992" s="6">
        <v>44902</v>
      </c>
      <c r="B1992" s="7">
        <v>143470332</v>
      </c>
      <c r="C1992" s="3">
        <v>5540246176295</v>
      </c>
      <c r="D1992" s="6">
        <v>44906</v>
      </c>
      <c r="E1992" s="8">
        <v>4455</v>
      </c>
      <c r="F1992" s="23" t="str">
        <f>IFERROR(VLOOKUP(C1992, 'Catégorie des articles'!$A:$D, 4, FALSE), "")</f>
        <v>CREMERIE</v>
      </c>
      <c r="G1992">
        <f t="shared" si="31"/>
        <v>202212</v>
      </c>
    </row>
    <row r="1993" spans="1:7" ht="12" customHeight="1">
      <c r="A1993" s="9">
        <v>44902</v>
      </c>
      <c r="B1993" s="10">
        <v>143470332</v>
      </c>
      <c r="C1993" s="3">
        <v>5540246187987</v>
      </c>
      <c r="D1993" s="9">
        <v>44906</v>
      </c>
      <c r="E1993" s="11">
        <v>6682</v>
      </c>
      <c r="F1993" s="23" t="str">
        <f>IFERROR(VLOOKUP(C1993, 'Catégorie des articles'!$A:$D, 4, FALSE), "")</f>
        <v>CREMERIE</v>
      </c>
      <c r="G1993">
        <f t="shared" si="31"/>
        <v>202212</v>
      </c>
    </row>
    <row r="1994" spans="1:7" ht="12" customHeight="1">
      <c r="A1994" s="9">
        <v>44902</v>
      </c>
      <c r="B1994" s="10">
        <v>143470334</v>
      </c>
      <c r="C1994" s="3">
        <v>5540246177133</v>
      </c>
      <c r="D1994" s="9">
        <v>44924</v>
      </c>
      <c r="E1994" s="11">
        <v>9466</v>
      </c>
      <c r="F1994" s="23" t="str">
        <f>IFERROR(VLOOKUP(C1994, 'Catégorie des articles'!$A:$D, 4, FALSE), "")</f>
        <v>MIX LEGUMES</v>
      </c>
      <c r="G1994">
        <f t="shared" si="31"/>
        <v>202212</v>
      </c>
    </row>
    <row r="1995" spans="1:7" ht="12" customHeight="1">
      <c r="A1995" s="6">
        <v>44902</v>
      </c>
      <c r="B1995" s="7">
        <v>143470334</v>
      </c>
      <c r="C1995" s="3">
        <v>5540246192148</v>
      </c>
      <c r="D1995" s="6">
        <v>44924</v>
      </c>
      <c r="E1995" s="8">
        <v>15312</v>
      </c>
      <c r="F1995" s="23" t="str">
        <f>IFERROR(VLOOKUP(C1995, 'Catégorie des articles'!$A:$D, 4, FALSE), "")</f>
        <v>MIX LEGUMES</v>
      </c>
      <c r="G1995">
        <f t="shared" si="31"/>
        <v>202212</v>
      </c>
    </row>
    <row r="1996" spans="1:7" ht="12" customHeight="1">
      <c r="A1996" s="9">
        <v>44902</v>
      </c>
      <c r="B1996" s="10">
        <v>143470335</v>
      </c>
      <c r="C1996" s="3">
        <v>5540246190727</v>
      </c>
      <c r="D1996" s="9">
        <v>44923</v>
      </c>
      <c r="E1996" s="11">
        <v>877</v>
      </c>
      <c r="F1996" s="23" t="str">
        <f>IFERROR(VLOOKUP(C1996, 'Catégorie des articles'!$A:$D, 4, FALSE), "")</f>
        <v>BOULANGERIE</v>
      </c>
      <c r="G1996">
        <f t="shared" si="31"/>
        <v>202212</v>
      </c>
    </row>
    <row r="1997" spans="1:7" ht="12" customHeight="1">
      <c r="A1997" s="6">
        <v>44902</v>
      </c>
      <c r="B1997" s="7">
        <v>143470339</v>
      </c>
      <c r="C1997" s="3">
        <v>5540246186325</v>
      </c>
      <c r="D1997" s="6">
        <v>44908</v>
      </c>
      <c r="E1997" s="8">
        <v>418</v>
      </c>
      <c r="F1997" s="23" t="str">
        <f>IFERROR(VLOOKUP(C1997, 'Catégorie des articles'!$A:$D, 4, FALSE), "")</f>
        <v>CREMERIE</v>
      </c>
      <c r="G1997">
        <f t="shared" si="31"/>
        <v>202212</v>
      </c>
    </row>
    <row r="1998" spans="1:7" ht="12" customHeight="1">
      <c r="A1998" s="6">
        <v>44902</v>
      </c>
      <c r="B1998" s="7">
        <v>143470340</v>
      </c>
      <c r="C1998" s="3">
        <v>5540246173472</v>
      </c>
      <c r="D1998" s="6">
        <v>44910</v>
      </c>
      <c r="E1998" s="8">
        <v>279</v>
      </c>
      <c r="F1998" s="23" t="str">
        <f>IFERROR(VLOOKUP(C1998, 'Catégorie des articles'!$A:$D, 4, FALSE), "")</f>
        <v>CREMERIE</v>
      </c>
      <c r="G1998">
        <f t="shared" si="31"/>
        <v>202212</v>
      </c>
    </row>
    <row r="1999" spans="1:7" ht="12" customHeight="1">
      <c r="A1999" s="9">
        <v>44902</v>
      </c>
      <c r="B1999" s="10">
        <v>143470340</v>
      </c>
      <c r="C1999" s="3">
        <v>5540246174095</v>
      </c>
      <c r="D1999" s="9">
        <v>44910</v>
      </c>
      <c r="E1999" s="11">
        <v>70</v>
      </c>
      <c r="F1999" s="23" t="str">
        <f>IFERROR(VLOOKUP(C1999, 'Catégorie des articles'!$A:$D, 4, FALSE), "")</f>
        <v>CREMERIE</v>
      </c>
      <c r="G1999">
        <f t="shared" si="31"/>
        <v>202212</v>
      </c>
    </row>
    <row r="2000" spans="1:7" ht="12" customHeight="1">
      <c r="A2000" s="6">
        <v>44902</v>
      </c>
      <c r="B2000" s="7">
        <v>143470340</v>
      </c>
      <c r="C2000" s="3">
        <v>5540246175047</v>
      </c>
      <c r="D2000" s="6">
        <v>44910</v>
      </c>
      <c r="E2000" s="8">
        <v>418</v>
      </c>
      <c r="F2000" s="23" t="str">
        <f>IFERROR(VLOOKUP(C2000, 'Catégorie des articles'!$A:$D, 4, FALSE), "")</f>
        <v>CREMERIE</v>
      </c>
      <c r="G2000">
        <f t="shared" si="31"/>
        <v>202212</v>
      </c>
    </row>
    <row r="2001" spans="1:7" ht="12" customHeight="1">
      <c r="A2001" s="9">
        <v>44902</v>
      </c>
      <c r="B2001" s="10">
        <v>143470340</v>
      </c>
      <c r="C2001" s="3">
        <v>5540246175049</v>
      </c>
      <c r="D2001" s="9">
        <v>44910</v>
      </c>
      <c r="E2001" s="11">
        <v>557</v>
      </c>
      <c r="F2001" s="23" t="str">
        <f>IFERROR(VLOOKUP(C2001, 'Catégorie des articles'!$A:$D, 4, FALSE), "")</f>
        <v>CREMERIE</v>
      </c>
      <c r="G2001">
        <f t="shared" si="31"/>
        <v>202212</v>
      </c>
    </row>
    <row r="2002" spans="1:7" ht="12" customHeight="1">
      <c r="A2002" s="6">
        <v>44902</v>
      </c>
      <c r="B2002" s="7">
        <v>143470340</v>
      </c>
      <c r="C2002" s="3">
        <v>5540246175050</v>
      </c>
      <c r="D2002" s="6">
        <v>44910</v>
      </c>
      <c r="E2002" s="8">
        <v>557</v>
      </c>
      <c r="F2002" s="23" t="str">
        <f>IFERROR(VLOOKUP(C2002, 'Catégorie des articles'!$A:$D, 4, FALSE), "")</f>
        <v>CREMERIE</v>
      </c>
      <c r="G2002">
        <f t="shared" si="31"/>
        <v>202212</v>
      </c>
    </row>
    <row r="2003" spans="1:7" ht="12" customHeight="1">
      <c r="A2003" s="9">
        <v>44902</v>
      </c>
      <c r="B2003" s="10">
        <v>143470356</v>
      </c>
      <c r="C2003" s="3">
        <v>5540246183554</v>
      </c>
      <c r="D2003" s="9">
        <v>44913</v>
      </c>
      <c r="E2003" s="11">
        <v>891</v>
      </c>
      <c r="F2003" s="23" t="str">
        <f>IFERROR(VLOOKUP(C2003, 'Catégorie des articles'!$A:$D, 4, FALSE), "")</f>
        <v>MIX LEGUMES</v>
      </c>
      <c r="G2003">
        <f t="shared" si="31"/>
        <v>202212</v>
      </c>
    </row>
    <row r="2004" spans="1:7" ht="12" customHeight="1">
      <c r="A2004" s="6">
        <v>44902</v>
      </c>
      <c r="B2004" s="7">
        <v>143470356</v>
      </c>
      <c r="C2004" s="3">
        <v>5540246183558</v>
      </c>
      <c r="D2004" s="6">
        <v>44913</v>
      </c>
      <c r="E2004" s="8">
        <v>2599</v>
      </c>
      <c r="F2004" s="23" t="str">
        <f>IFERROR(VLOOKUP(C2004, 'Catégorie des articles'!$A:$D, 4, FALSE), "")</f>
        <v>MIX LEGUMES</v>
      </c>
      <c r="G2004">
        <f t="shared" si="31"/>
        <v>202212</v>
      </c>
    </row>
    <row r="2005" spans="1:7" ht="12" customHeight="1">
      <c r="A2005" s="9">
        <v>44902</v>
      </c>
      <c r="B2005" s="10">
        <v>143470356</v>
      </c>
      <c r="C2005" s="3">
        <v>5540246183560</v>
      </c>
      <c r="D2005" s="9">
        <v>44913</v>
      </c>
      <c r="E2005" s="11">
        <v>446</v>
      </c>
      <c r="F2005" s="23" t="str">
        <f>IFERROR(VLOOKUP(C2005, 'Catégorie des articles'!$A:$D, 4, FALSE), "")</f>
        <v>MIX LEGUMES</v>
      </c>
      <c r="G2005">
        <f t="shared" si="31"/>
        <v>202212</v>
      </c>
    </row>
    <row r="2006" spans="1:7" ht="12" customHeight="1">
      <c r="A2006" s="6">
        <v>44902</v>
      </c>
      <c r="B2006" s="7">
        <v>143470356</v>
      </c>
      <c r="C2006" s="3">
        <v>5540246192209</v>
      </c>
      <c r="D2006" s="6">
        <v>44913</v>
      </c>
      <c r="E2006" s="8">
        <v>2228</v>
      </c>
      <c r="F2006" s="23" t="str">
        <f>IFERROR(VLOOKUP(C2006, 'Catégorie des articles'!$A:$D, 4, FALSE), "")</f>
        <v>MIX LEGUMES</v>
      </c>
      <c r="G2006">
        <f t="shared" si="31"/>
        <v>202212</v>
      </c>
    </row>
    <row r="2007" spans="1:7" ht="12" customHeight="1">
      <c r="A2007" s="9">
        <v>44902</v>
      </c>
      <c r="B2007" s="10">
        <v>143470356</v>
      </c>
      <c r="C2007" s="3">
        <v>5540246192462</v>
      </c>
      <c r="D2007" s="9">
        <v>44913</v>
      </c>
      <c r="E2007" s="11">
        <v>1114</v>
      </c>
      <c r="F2007" s="23" t="str">
        <f>IFERROR(VLOOKUP(C2007, 'Catégorie des articles'!$A:$D, 4, FALSE), "")</f>
        <v>MIX LEGUMES</v>
      </c>
      <c r="G2007">
        <f t="shared" si="31"/>
        <v>202212</v>
      </c>
    </row>
    <row r="2008" spans="1:7" ht="12" customHeight="1">
      <c r="A2008" s="6">
        <v>44902</v>
      </c>
      <c r="B2008" s="7">
        <v>143470356</v>
      </c>
      <c r="C2008" s="3">
        <v>5540246192594</v>
      </c>
      <c r="D2008" s="6">
        <v>44913</v>
      </c>
      <c r="E2008" s="8">
        <v>1485</v>
      </c>
      <c r="F2008" s="23" t="str">
        <f>IFERROR(VLOOKUP(C2008, 'Catégorie des articles'!$A:$D, 4, FALSE), "")</f>
        <v>MIX LEGUMES</v>
      </c>
      <c r="G2008">
        <f t="shared" si="31"/>
        <v>202212</v>
      </c>
    </row>
    <row r="2009" spans="1:7" ht="12" customHeight="1">
      <c r="A2009" s="9">
        <v>44902</v>
      </c>
      <c r="B2009" s="10">
        <v>143470356</v>
      </c>
      <c r="C2009" s="3">
        <v>5540246192831</v>
      </c>
      <c r="D2009" s="9">
        <v>44913</v>
      </c>
      <c r="E2009" s="11">
        <v>1300</v>
      </c>
      <c r="F2009" s="23" t="str">
        <f>IFERROR(VLOOKUP(C2009, 'Catégorie des articles'!$A:$D, 4, FALSE), "")</f>
        <v>MIX LEGUMES</v>
      </c>
      <c r="G2009">
        <f t="shared" si="31"/>
        <v>202212</v>
      </c>
    </row>
    <row r="2010" spans="1:7" ht="12" customHeight="1">
      <c r="A2010" s="6">
        <v>44902</v>
      </c>
      <c r="B2010" s="7">
        <v>143470363</v>
      </c>
      <c r="C2010" s="3">
        <v>5540246173906</v>
      </c>
      <c r="D2010" s="6">
        <v>44915</v>
      </c>
      <c r="E2010" s="8">
        <v>3267</v>
      </c>
      <c r="F2010" s="23" t="str">
        <f>IFERROR(VLOOKUP(C2010, 'Catégorie des articles'!$A:$D, 4, FALSE), "")</f>
        <v>VOLAILLE</v>
      </c>
      <c r="G2010">
        <f t="shared" si="31"/>
        <v>202212</v>
      </c>
    </row>
    <row r="2011" spans="1:7" ht="12" customHeight="1">
      <c r="A2011" s="9">
        <v>44902</v>
      </c>
      <c r="B2011" s="10">
        <v>143470363</v>
      </c>
      <c r="C2011" s="3">
        <v>5540246181016</v>
      </c>
      <c r="D2011" s="9">
        <v>44915</v>
      </c>
      <c r="E2011" s="11">
        <v>7128</v>
      </c>
      <c r="F2011" s="23" t="str">
        <f>IFERROR(VLOOKUP(C2011, 'Catégorie des articles'!$A:$D, 4, FALSE), "")</f>
        <v>VOLAILLE</v>
      </c>
      <c r="G2011">
        <f t="shared" si="31"/>
        <v>202212</v>
      </c>
    </row>
    <row r="2012" spans="1:7" ht="12" customHeight="1">
      <c r="A2012" s="9">
        <v>44903</v>
      </c>
      <c r="B2012" s="10">
        <v>143470382</v>
      </c>
      <c r="C2012" s="3">
        <v>5540246172978</v>
      </c>
      <c r="D2012" s="9">
        <v>44907</v>
      </c>
      <c r="E2012" s="11">
        <v>836</v>
      </c>
      <c r="F2012" s="23" t="str">
        <f>IFERROR(VLOOKUP(C2012, 'Catégorie des articles'!$A:$D, 4, FALSE), "")</f>
        <v>CREMERIE</v>
      </c>
      <c r="G2012">
        <f t="shared" si="31"/>
        <v>202212</v>
      </c>
    </row>
    <row r="2013" spans="1:7" ht="12" customHeight="1">
      <c r="A2013" s="6">
        <v>44903</v>
      </c>
      <c r="B2013" s="7">
        <v>143470382</v>
      </c>
      <c r="C2013" s="3">
        <v>5540246188175</v>
      </c>
      <c r="D2013" s="6">
        <v>44907</v>
      </c>
      <c r="E2013" s="8">
        <v>232</v>
      </c>
      <c r="F2013" s="23" t="str">
        <f>IFERROR(VLOOKUP(C2013, 'Catégorie des articles'!$A:$D, 4, FALSE), "")</f>
        <v>CREMERIE</v>
      </c>
      <c r="G2013">
        <f t="shared" si="31"/>
        <v>202212</v>
      </c>
    </row>
    <row r="2014" spans="1:7" ht="12" customHeight="1">
      <c r="A2014" s="9">
        <v>44906</v>
      </c>
      <c r="B2014" s="10">
        <v>143480432</v>
      </c>
      <c r="C2014" s="3">
        <v>5540246172539</v>
      </c>
      <c r="D2014" s="9">
        <v>44908</v>
      </c>
      <c r="E2014" s="11">
        <v>47</v>
      </c>
      <c r="F2014" s="23" t="str">
        <f>IFERROR(VLOOKUP(C2014, 'Catégorie des articles'!$A:$D, 4, FALSE), "")</f>
        <v>CREMERIE</v>
      </c>
      <c r="G2014">
        <f t="shared" si="31"/>
        <v>202212</v>
      </c>
    </row>
    <row r="2015" spans="1:7" ht="12" customHeight="1">
      <c r="A2015" s="6">
        <v>44906</v>
      </c>
      <c r="B2015" s="7">
        <v>143480432</v>
      </c>
      <c r="C2015" s="3">
        <v>5540246172978</v>
      </c>
      <c r="D2015" s="6">
        <v>44908</v>
      </c>
      <c r="E2015" s="8">
        <v>1671</v>
      </c>
      <c r="F2015" s="23" t="str">
        <f>IFERROR(VLOOKUP(C2015, 'Catégorie des articles'!$A:$D, 4, FALSE), "")</f>
        <v>CREMERIE</v>
      </c>
      <c r="G2015">
        <f t="shared" si="31"/>
        <v>202212</v>
      </c>
    </row>
    <row r="2016" spans="1:7" ht="12" customHeight="1">
      <c r="A2016" s="6">
        <v>44906</v>
      </c>
      <c r="B2016" s="7">
        <v>143480432</v>
      </c>
      <c r="C2016" s="3">
        <v>5540246174174</v>
      </c>
      <c r="D2016" s="6">
        <v>44908</v>
      </c>
      <c r="E2016" s="8">
        <v>464</v>
      </c>
      <c r="F2016" s="23" t="str">
        <f>IFERROR(VLOOKUP(C2016, 'Catégorie des articles'!$A:$D, 4, FALSE), "")</f>
        <v>CREMERIE</v>
      </c>
      <c r="G2016">
        <f t="shared" si="31"/>
        <v>202212</v>
      </c>
    </row>
    <row r="2017" spans="1:7" ht="12" customHeight="1">
      <c r="A2017" s="9">
        <v>44906</v>
      </c>
      <c r="B2017" s="10">
        <v>143480432</v>
      </c>
      <c r="C2017" s="3">
        <v>5540246176699</v>
      </c>
      <c r="D2017" s="9">
        <v>44908</v>
      </c>
      <c r="E2017" s="11">
        <v>6264</v>
      </c>
      <c r="F2017" s="23" t="str">
        <f>IFERROR(VLOOKUP(C2017, 'Catégorie des articles'!$A:$D, 4, FALSE), "")</f>
        <v>CREMERIE</v>
      </c>
      <c r="G2017">
        <f t="shared" si="31"/>
        <v>202212</v>
      </c>
    </row>
    <row r="2018" spans="1:7" ht="12" customHeight="1">
      <c r="A2018" s="9">
        <v>44906</v>
      </c>
      <c r="B2018" s="10">
        <v>143480433</v>
      </c>
      <c r="C2018" s="3">
        <v>5540246176295</v>
      </c>
      <c r="D2018" s="9">
        <v>44908</v>
      </c>
      <c r="E2018" s="11">
        <v>7424</v>
      </c>
      <c r="F2018" s="23" t="str">
        <f>IFERROR(VLOOKUP(C2018, 'Catégorie des articles'!$A:$D, 4, FALSE), "")</f>
        <v>CREMERIE</v>
      </c>
      <c r="G2018">
        <f t="shared" si="31"/>
        <v>202212</v>
      </c>
    </row>
    <row r="2019" spans="1:7" ht="12" customHeight="1">
      <c r="A2019" s="9">
        <v>44907</v>
      </c>
      <c r="B2019" s="10">
        <v>143480480</v>
      </c>
      <c r="C2019" s="3">
        <v>5540246187987</v>
      </c>
      <c r="D2019" s="9">
        <v>44909</v>
      </c>
      <c r="E2019" s="11">
        <v>2228</v>
      </c>
      <c r="F2019" s="23" t="str">
        <f>IFERROR(VLOOKUP(C2019, 'Catégorie des articles'!$A:$D, 4, FALSE), "")</f>
        <v>CREMERIE</v>
      </c>
      <c r="G2019">
        <f t="shared" si="31"/>
        <v>202212</v>
      </c>
    </row>
    <row r="2020" spans="1:7" ht="12" customHeight="1">
      <c r="A2020" s="6">
        <v>44907</v>
      </c>
      <c r="B2020" s="7">
        <v>143480481</v>
      </c>
      <c r="C2020" s="3">
        <v>5540246172669</v>
      </c>
      <c r="D2020" s="6">
        <v>44909</v>
      </c>
      <c r="E2020" s="8">
        <v>279</v>
      </c>
      <c r="F2020" s="23" t="str">
        <f>IFERROR(VLOOKUP(C2020, 'Catégorie des articles'!$A:$D, 4, FALSE), "")</f>
        <v>CREMERIE</v>
      </c>
      <c r="G2020">
        <f t="shared" si="31"/>
        <v>202212</v>
      </c>
    </row>
    <row r="2021" spans="1:7" ht="12" customHeight="1">
      <c r="A2021" s="9">
        <v>44907</v>
      </c>
      <c r="B2021" s="10">
        <v>143480481</v>
      </c>
      <c r="C2021" s="3">
        <v>5540246172978</v>
      </c>
      <c r="D2021" s="9">
        <v>44909</v>
      </c>
      <c r="E2021" s="11">
        <v>836</v>
      </c>
      <c r="F2021" s="23" t="str">
        <f>IFERROR(VLOOKUP(C2021, 'Catégorie des articles'!$A:$D, 4, FALSE), "")</f>
        <v>CREMERIE</v>
      </c>
      <c r="G2021">
        <f t="shared" si="31"/>
        <v>202212</v>
      </c>
    </row>
    <row r="2022" spans="1:7" ht="12" customHeight="1">
      <c r="A2022" s="6">
        <v>44907</v>
      </c>
      <c r="B2022" s="7">
        <v>143480481</v>
      </c>
      <c r="C2022" s="3">
        <v>5540246174174</v>
      </c>
      <c r="D2022" s="6">
        <v>44909</v>
      </c>
      <c r="E2022" s="8">
        <v>232</v>
      </c>
      <c r="F2022" s="23" t="str">
        <f>IFERROR(VLOOKUP(C2022, 'Catégorie des articles'!$A:$D, 4, FALSE), "")</f>
        <v>CREMERIE</v>
      </c>
      <c r="G2022">
        <f t="shared" si="31"/>
        <v>202212</v>
      </c>
    </row>
    <row r="2023" spans="1:7" ht="12" customHeight="1">
      <c r="A2023" s="6">
        <v>44907</v>
      </c>
      <c r="B2023" s="7">
        <v>143480481</v>
      </c>
      <c r="C2023" s="3">
        <v>5540246192102</v>
      </c>
      <c r="D2023" s="6">
        <v>44909</v>
      </c>
      <c r="E2023" s="8">
        <v>4009</v>
      </c>
      <c r="F2023" s="23" t="str">
        <f>IFERROR(VLOOKUP(C2023, 'Catégorie des articles'!$A:$D, 4, FALSE), "")</f>
        <v>CREMERIE</v>
      </c>
      <c r="G2023">
        <f t="shared" si="31"/>
        <v>202212</v>
      </c>
    </row>
    <row r="2024" spans="1:7" ht="12" customHeight="1">
      <c r="A2024" s="6">
        <v>44907</v>
      </c>
      <c r="B2024" s="7">
        <v>143480485</v>
      </c>
      <c r="C2024" s="3">
        <v>5540246186325</v>
      </c>
      <c r="D2024" s="6">
        <v>44910</v>
      </c>
      <c r="E2024" s="8">
        <v>140</v>
      </c>
      <c r="F2024" s="23" t="str">
        <f>IFERROR(VLOOKUP(C2024, 'Catégorie des articles'!$A:$D, 4, FALSE), "")</f>
        <v>CREMERIE</v>
      </c>
      <c r="G2024">
        <f t="shared" si="31"/>
        <v>202212</v>
      </c>
    </row>
    <row r="2025" spans="1:7" ht="12" customHeight="1">
      <c r="A2025" s="9">
        <v>44907</v>
      </c>
      <c r="B2025" s="10">
        <v>143480489</v>
      </c>
      <c r="C2025" s="3">
        <v>5540246173472</v>
      </c>
      <c r="D2025" s="9">
        <v>44914</v>
      </c>
      <c r="E2025" s="11">
        <v>279</v>
      </c>
      <c r="F2025" s="23" t="str">
        <f>IFERROR(VLOOKUP(C2025, 'Catégorie des articles'!$A:$D, 4, FALSE), "")</f>
        <v>CREMERIE</v>
      </c>
      <c r="G2025">
        <f t="shared" si="31"/>
        <v>202212</v>
      </c>
    </row>
    <row r="2026" spans="1:7" ht="12" customHeight="1">
      <c r="A2026" s="6">
        <v>44907</v>
      </c>
      <c r="B2026" s="7">
        <v>143480489</v>
      </c>
      <c r="C2026" s="3">
        <v>5540246175047</v>
      </c>
      <c r="D2026" s="6">
        <v>44914</v>
      </c>
      <c r="E2026" s="8">
        <v>209</v>
      </c>
      <c r="F2026" s="23" t="str">
        <f>IFERROR(VLOOKUP(C2026, 'Catégorie des articles'!$A:$D, 4, FALSE), "")</f>
        <v>CREMERIE</v>
      </c>
      <c r="G2026">
        <f t="shared" si="31"/>
        <v>202212</v>
      </c>
    </row>
    <row r="2027" spans="1:7" ht="12" customHeight="1">
      <c r="A2027" s="9">
        <v>44907</v>
      </c>
      <c r="B2027" s="10">
        <v>143480489</v>
      </c>
      <c r="C2027" s="3">
        <v>5540246175049</v>
      </c>
      <c r="D2027" s="9">
        <v>44914</v>
      </c>
      <c r="E2027" s="11">
        <v>557</v>
      </c>
      <c r="F2027" s="23" t="str">
        <f>IFERROR(VLOOKUP(C2027, 'Catégorie des articles'!$A:$D, 4, FALSE), "")</f>
        <v>CREMERIE</v>
      </c>
      <c r="G2027">
        <f t="shared" si="31"/>
        <v>202212</v>
      </c>
    </row>
    <row r="2028" spans="1:7" ht="12" customHeight="1">
      <c r="A2028" s="6">
        <v>44907</v>
      </c>
      <c r="B2028" s="7">
        <v>143480489</v>
      </c>
      <c r="C2028" s="3">
        <v>5540246175050</v>
      </c>
      <c r="D2028" s="6">
        <v>44914</v>
      </c>
      <c r="E2028" s="8">
        <v>557</v>
      </c>
      <c r="F2028" s="23" t="str">
        <f>IFERROR(VLOOKUP(C2028, 'Catégorie des articles'!$A:$D, 4, FALSE), "")</f>
        <v>CREMERIE</v>
      </c>
      <c r="G2028">
        <f t="shared" si="31"/>
        <v>202212</v>
      </c>
    </row>
    <row r="2029" spans="1:7" ht="12" customHeight="1">
      <c r="A2029" s="6">
        <v>44907</v>
      </c>
      <c r="B2029" s="7">
        <v>143480505</v>
      </c>
      <c r="C2029" s="3">
        <v>5540246192102</v>
      </c>
      <c r="D2029" s="6">
        <v>44908</v>
      </c>
      <c r="E2029" s="8">
        <v>6014</v>
      </c>
      <c r="F2029" s="23" t="str">
        <f>IFERROR(VLOOKUP(C2029, 'Catégorie des articles'!$A:$D, 4, FALSE), "")</f>
        <v>CREMERIE</v>
      </c>
      <c r="G2029">
        <f t="shared" si="31"/>
        <v>202212</v>
      </c>
    </row>
    <row r="2030" spans="1:7" ht="12" customHeight="1">
      <c r="A2030" s="9">
        <v>44908</v>
      </c>
      <c r="B2030" s="10">
        <v>143480513</v>
      </c>
      <c r="C2030" s="3">
        <v>5540246171933</v>
      </c>
      <c r="D2030" s="9">
        <v>44910</v>
      </c>
      <c r="E2030" s="11">
        <v>2228</v>
      </c>
      <c r="F2030" s="23" t="str">
        <f>IFERROR(VLOOKUP(C2030, 'Catégorie des articles'!$A:$D, 4, FALSE), "")</f>
        <v>CREMERIE</v>
      </c>
      <c r="G2030">
        <f t="shared" si="31"/>
        <v>202212</v>
      </c>
    </row>
    <row r="2031" spans="1:7" ht="12" customHeight="1">
      <c r="A2031" s="6">
        <v>44908</v>
      </c>
      <c r="B2031" s="7">
        <v>143480513</v>
      </c>
      <c r="C2031" s="3">
        <v>5540246176294</v>
      </c>
      <c r="D2031" s="6">
        <v>44910</v>
      </c>
      <c r="E2031" s="8">
        <v>1485</v>
      </c>
      <c r="F2031" s="23" t="str">
        <f>IFERROR(VLOOKUP(C2031, 'Catégorie des articles'!$A:$D, 4, FALSE), "")</f>
        <v>CREMERIE</v>
      </c>
      <c r="G2031">
        <f t="shared" si="31"/>
        <v>202212</v>
      </c>
    </row>
    <row r="2032" spans="1:7" ht="12" customHeight="1">
      <c r="A2032" s="9">
        <v>44908</v>
      </c>
      <c r="B2032" s="10">
        <v>143480513</v>
      </c>
      <c r="C2032" s="3">
        <v>5540246176295</v>
      </c>
      <c r="D2032" s="9">
        <v>44910</v>
      </c>
      <c r="E2032" s="11">
        <v>7424</v>
      </c>
      <c r="F2032" s="23" t="str">
        <f>IFERROR(VLOOKUP(C2032, 'Catégorie des articles'!$A:$D, 4, FALSE), "")</f>
        <v>CREMERIE</v>
      </c>
      <c r="G2032">
        <f t="shared" si="31"/>
        <v>202212</v>
      </c>
    </row>
    <row r="2033" spans="1:7" ht="12" customHeight="1">
      <c r="A2033" s="9">
        <v>44908</v>
      </c>
      <c r="B2033" s="10">
        <v>143480513</v>
      </c>
      <c r="C2033" s="3">
        <v>5540246187987</v>
      </c>
      <c r="D2033" s="9">
        <v>44910</v>
      </c>
      <c r="E2033" s="11">
        <v>3341</v>
      </c>
      <c r="F2033" s="23" t="str">
        <f>IFERROR(VLOOKUP(C2033, 'Catégorie des articles'!$A:$D, 4, FALSE), "")</f>
        <v>CREMERIE</v>
      </c>
      <c r="G2033">
        <f t="shared" si="31"/>
        <v>202212</v>
      </c>
    </row>
    <row r="2034" spans="1:7" ht="12" customHeight="1">
      <c r="A2034" s="9">
        <v>44908</v>
      </c>
      <c r="B2034" s="10">
        <v>143480514</v>
      </c>
      <c r="C2034" s="3">
        <v>5540246172539</v>
      </c>
      <c r="D2034" s="9">
        <v>44910</v>
      </c>
      <c r="E2034" s="11">
        <v>47</v>
      </c>
      <c r="F2034" s="23" t="str">
        <f>IFERROR(VLOOKUP(C2034, 'Catégorie des articles'!$A:$D, 4, FALSE), "")</f>
        <v>CREMERIE</v>
      </c>
      <c r="G2034">
        <f t="shared" si="31"/>
        <v>202212</v>
      </c>
    </row>
    <row r="2035" spans="1:7" ht="12" customHeight="1">
      <c r="A2035" s="6">
        <v>44908</v>
      </c>
      <c r="B2035" s="7">
        <v>143480514</v>
      </c>
      <c r="C2035" s="3">
        <v>5540246172669</v>
      </c>
      <c r="D2035" s="6">
        <v>44910</v>
      </c>
      <c r="E2035" s="8">
        <v>279</v>
      </c>
      <c r="F2035" s="23" t="str">
        <f>IFERROR(VLOOKUP(C2035, 'Catégorie des articles'!$A:$D, 4, FALSE), "")</f>
        <v>CREMERIE</v>
      </c>
      <c r="G2035">
        <f t="shared" si="31"/>
        <v>202212</v>
      </c>
    </row>
    <row r="2036" spans="1:7" ht="12" customHeight="1">
      <c r="A2036" s="9">
        <v>44908</v>
      </c>
      <c r="B2036" s="10">
        <v>143480514</v>
      </c>
      <c r="C2036" s="3">
        <v>5540246172978</v>
      </c>
      <c r="D2036" s="9">
        <v>44910</v>
      </c>
      <c r="E2036" s="11">
        <v>1671</v>
      </c>
      <c r="F2036" s="23" t="str">
        <f>IFERROR(VLOOKUP(C2036, 'Catégorie des articles'!$A:$D, 4, FALSE), "")</f>
        <v>CREMERIE</v>
      </c>
      <c r="G2036">
        <f t="shared" si="31"/>
        <v>202212</v>
      </c>
    </row>
    <row r="2037" spans="1:7" ht="12" customHeight="1">
      <c r="A2037" s="6">
        <v>44908</v>
      </c>
      <c r="B2037" s="7">
        <v>143480514</v>
      </c>
      <c r="C2037" s="3">
        <v>5540246174174</v>
      </c>
      <c r="D2037" s="6">
        <v>44910</v>
      </c>
      <c r="E2037" s="8">
        <v>232</v>
      </c>
      <c r="F2037" s="23" t="str">
        <f>IFERROR(VLOOKUP(C2037, 'Catégorie des articles'!$A:$D, 4, FALSE), "")</f>
        <v>CREMERIE</v>
      </c>
      <c r="G2037">
        <f t="shared" si="31"/>
        <v>202212</v>
      </c>
    </row>
    <row r="2038" spans="1:7" ht="12" customHeight="1">
      <c r="A2038" s="9">
        <v>44908</v>
      </c>
      <c r="B2038" s="10">
        <v>143480514</v>
      </c>
      <c r="C2038" s="3">
        <v>5540246176699</v>
      </c>
      <c r="D2038" s="9">
        <v>44910</v>
      </c>
      <c r="E2038" s="11">
        <v>6264</v>
      </c>
      <c r="F2038" s="23" t="str">
        <f>IFERROR(VLOOKUP(C2038, 'Catégorie des articles'!$A:$D, 4, FALSE), "")</f>
        <v>CREMERIE</v>
      </c>
      <c r="G2038">
        <f t="shared" si="31"/>
        <v>202212</v>
      </c>
    </row>
    <row r="2039" spans="1:7" ht="12" customHeight="1">
      <c r="A2039" s="6">
        <v>44908</v>
      </c>
      <c r="B2039" s="7">
        <v>143480521</v>
      </c>
      <c r="C2039" s="3">
        <v>5540246192148</v>
      </c>
      <c r="D2039" s="6">
        <v>44930</v>
      </c>
      <c r="E2039" s="8">
        <v>45936</v>
      </c>
      <c r="F2039" s="23" t="str">
        <f>IFERROR(VLOOKUP(C2039, 'Catégorie des articles'!$A:$D, 4, FALSE), "")</f>
        <v>MIX LEGUMES</v>
      </c>
      <c r="G2039">
        <f t="shared" si="31"/>
        <v>202301</v>
      </c>
    </row>
    <row r="2040" spans="1:7" ht="12" customHeight="1">
      <c r="A2040" s="6">
        <v>44908</v>
      </c>
      <c r="B2040" s="7">
        <v>143480525</v>
      </c>
      <c r="C2040" s="3">
        <v>5540246185429</v>
      </c>
      <c r="D2040" s="6">
        <v>44913</v>
      </c>
      <c r="E2040" s="8">
        <v>140</v>
      </c>
      <c r="F2040" s="23" t="str">
        <f>IFERROR(VLOOKUP(C2040, 'Catégorie des articles'!$A:$D, 4, FALSE), "")</f>
        <v>CREMERIE</v>
      </c>
      <c r="G2040">
        <f t="shared" si="31"/>
        <v>202212</v>
      </c>
    </row>
    <row r="2041" spans="1:7" ht="12" customHeight="1">
      <c r="A2041" s="9">
        <v>44908</v>
      </c>
      <c r="B2041" s="10">
        <v>143480525</v>
      </c>
      <c r="C2041" s="3">
        <v>5540246185562</v>
      </c>
      <c r="D2041" s="9">
        <v>44913</v>
      </c>
      <c r="E2041" s="11">
        <v>140</v>
      </c>
      <c r="F2041" s="23" t="str">
        <f>IFERROR(VLOOKUP(C2041, 'Catégorie des articles'!$A:$D, 4, FALSE), "")</f>
        <v>CREMERIE</v>
      </c>
      <c r="G2041">
        <f t="shared" si="31"/>
        <v>202212</v>
      </c>
    </row>
    <row r="2042" spans="1:7" ht="12" customHeight="1">
      <c r="A2042" s="9">
        <v>44908</v>
      </c>
      <c r="B2042" s="10">
        <v>143480537</v>
      </c>
      <c r="C2042" s="3">
        <v>5540246181061</v>
      </c>
      <c r="D2042" s="9">
        <v>44929</v>
      </c>
      <c r="E2042" s="11">
        <v>6615</v>
      </c>
      <c r="F2042" s="23" t="str">
        <f>IFERROR(VLOOKUP(C2042, 'Catégorie des articles'!$A:$D, 4, FALSE), "")</f>
        <v>VOLAILLE</v>
      </c>
      <c r="G2042">
        <f t="shared" si="31"/>
        <v>202301</v>
      </c>
    </row>
    <row r="2043" spans="1:7" ht="12" customHeight="1">
      <c r="A2043" s="6">
        <v>44908</v>
      </c>
      <c r="B2043" s="7">
        <v>143480537</v>
      </c>
      <c r="C2043" s="3">
        <v>5540246185278</v>
      </c>
      <c r="D2043" s="6">
        <v>44929</v>
      </c>
      <c r="E2043" s="8">
        <v>4477</v>
      </c>
      <c r="F2043" s="23" t="str">
        <f>IFERROR(VLOOKUP(C2043, 'Catégorie des articles'!$A:$D, 4, FALSE), "")</f>
        <v>VOLAILLE</v>
      </c>
      <c r="G2043">
        <f t="shared" si="31"/>
        <v>202301</v>
      </c>
    </row>
    <row r="2044" spans="1:7" ht="12" customHeight="1">
      <c r="A2044" s="9">
        <v>44908</v>
      </c>
      <c r="B2044" s="10">
        <v>143480539</v>
      </c>
      <c r="C2044" s="3">
        <v>5540246183130</v>
      </c>
      <c r="D2044" s="9">
        <v>44920</v>
      </c>
      <c r="E2044" s="11">
        <v>2819</v>
      </c>
      <c r="F2044" s="23" t="str">
        <f>IFERROR(VLOOKUP(C2044, 'Catégorie des articles'!$A:$D, 4, FALSE), "")</f>
        <v>MIX LEGUMES</v>
      </c>
      <c r="G2044">
        <f t="shared" si="31"/>
        <v>202212</v>
      </c>
    </row>
    <row r="2045" spans="1:7" ht="12" customHeight="1">
      <c r="A2045" s="6">
        <v>44908</v>
      </c>
      <c r="B2045" s="7">
        <v>143480539</v>
      </c>
      <c r="C2045" s="3">
        <v>5540246183537</v>
      </c>
      <c r="D2045" s="6">
        <v>44920</v>
      </c>
      <c r="E2045" s="8">
        <v>961</v>
      </c>
      <c r="F2045" s="23" t="str">
        <f>IFERROR(VLOOKUP(C2045, 'Catégorie des articles'!$A:$D, 4, FALSE), "")</f>
        <v>MIX LEGUMES</v>
      </c>
      <c r="G2045">
        <f t="shared" si="31"/>
        <v>202212</v>
      </c>
    </row>
    <row r="2046" spans="1:7" ht="12" customHeight="1">
      <c r="A2046" s="9">
        <v>44908</v>
      </c>
      <c r="B2046" s="10">
        <v>143480539</v>
      </c>
      <c r="C2046" s="3">
        <v>5540246183541</v>
      </c>
      <c r="D2046" s="9">
        <v>44920</v>
      </c>
      <c r="E2046" s="11">
        <v>1694</v>
      </c>
      <c r="F2046" s="23" t="str">
        <f>IFERROR(VLOOKUP(C2046, 'Catégorie des articles'!$A:$D, 4, FALSE), "")</f>
        <v>MIX LEGUMES</v>
      </c>
      <c r="G2046">
        <f t="shared" si="31"/>
        <v>202212</v>
      </c>
    </row>
    <row r="2047" spans="1:7" ht="12" customHeight="1">
      <c r="A2047" s="6">
        <v>44908</v>
      </c>
      <c r="B2047" s="7">
        <v>143480539</v>
      </c>
      <c r="C2047" s="3">
        <v>5540246183555</v>
      </c>
      <c r="D2047" s="6">
        <v>44920</v>
      </c>
      <c r="E2047" s="8">
        <v>543</v>
      </c>
      <c r="F2047" s="23" t="str">
        <f>IFERROR(VLOOKUP(C2047, 'Catégorie des articles'!$A:$D, 4, FALSE), "")</f>
        <v>MIX LEGUMES</v>
      </c>
      <c r="G2047">
        <f t="shared" si="31"/>
        <v>202212</v>
      </c>
    </row>
    <row r="2048" spans="1:7" ht="12" customHeight="1">
      <c r="A2048" s="9">
        <v>44908</v>
      </c>
      <c r="B2048" s="10">
        <v>143480539</v>
      </c>
      <c r="C2048" s="3">
        <v>5540246192571</v>
      </c>
      <c r="D2048" s="9">
        <v>44920</v>
      </c>
      <c r="E2048" s="11">
        <v>1337</v>
      </c>
      <c r="F2048" s="23" t="str">
        <f>IFERROR(VLOOKUP(C2048, 'Catégorie des articles'!$A:$D, 4, FALSE), "")</f>
        <v>MIX LEGUMES</v>
      </c>
      <c r="G2048">
        <f t="shared" si="31"/>
        <v>202212</v>
      </c>
    </row>
    <row r="2049" spans="1:7" ht="12" customHeight="1">
      <c r="A2049" s="9">
        <v>44908</v>
      </c>
      <c r="B2049" s="10">
        <v>143480547</v>
      </c>
      <c r="C2049" s="3">
        <v>5540246193316</v>
      </c>
      <c r="D2049" s="9">
        <v>44936</v>
      </c>
      <c r="E2049" s="11">
        <v>557</v>
      </c>
      <c r="F2049" s="23" t="str">
        <f>IFERROR(VLOOKUP(C2049, 'Catégorie des articles'!$A:$D, 4, FALSE), "")</f>
        <v>BOULANGERIE</v>
      </c>
      <c r="G2049">
        <f t="shared" si="31"/>
        <v>202301</v>
      </c>
    </row>
    <row r="2050" spans="1:7" ht="12" customHeight="1">
      <c r="A2050" s="9">
        <v>44908</v>
      </c>
      <c r="B2050" s="10">
        <v>143480552</v>
      </c>
      <c r="C2050" s="3">
        <v>5540246194632</v>
      </c>
      <c r="D2050" s="9">
        <v>44927</v>
      </c>
      <c r="E2050" s="11">
        <v>585</v>
      </c>
      <c r="F2050" s="23" t="str">
        <f>IFERROR(VLOOKUP(C2050, 'Catégorie des articles'!$A:$D, 4, FALSE), "")</f>
        <v>BOULANGERIE</v>
      </c>
      <c r="G2050">
        <f t="shared" si="31"/>
        <v>202301</v>
      </c>
    </row>
    <row r="2051" spans="1:7" ht="12" customHeight="1">
      <c r="A2051" s="9">
        <v>44908</v>
      </c>
      <c r="B2051" s="10">
        <v>143480558</v>
      </c>
      <c r="C2051" s="3">
        <v>5540246171759</v>
      </c>
      <c r="D2051" s="9">
        <v>44927</v>
      </c>
      <c r="E2051" s="11">
        <v>8770</v>
      </c>
      <c r="F2051" s="23" t="str">
        <f>IFERROR(VLOOKUP(C2051, 'Catégorie des articles'!$A:$D, 4, FALSE), "")</f>
        <v>MIX LEGUMES</v>
      </c>
      <c r="G2051">
        <f t="shared" ref="G2051:G2114" si="32">YEAR(D2051)*100 + MONTH(D2051)</f>
        <v>202301</v>
      </c>
    </row>
    <row r="2052" spans="1:7" ht="12" customHeight="1">
      <c r="A2052" s="6">
        <v>44908</v>
      </c>
      <c r="B2052" s="7">
        <v>143480558</v>
      </c>
      <c r="C2052" s="3">
        <v>5540246177133</v>
      </c>
      <c r="D2052" s="6">
        <v>44927</v>
      </c>
      <c r="E2052" s="8">
        <v>8909</v>
      </c>
      <c r="F2052" s="23" t="str">
        <f>IFERROR(VLOOKUP(C2052, 'Catégorie des articles'!$A:$D, 4, FALSE), "")</f>
        <v>MIX LEGUMES</v>
      </c>
      <c r="G2052">
        <f t="shared" si="32"/>
        <v>202301</v>
      </c>
    </row>
    <row r="2053" spans="1:7" ht="12" customHeight="1">
      <c r="A2053" s="9">
        <v>44908</v>
      </c>
      <c r="B2053" s="10">
        <v>143480558</v>
      </c>
      <c r="C2053" s="3">
        <v>5540246192518</v>
      </c>
      <c r="D2053" s="9">
        <v>44927</v>
      </c>
      <c r="E2053" s="11">
        <v>4176</v>
      </c>
      <c r="F2053" s="23" t="str">
        <f>IFERROR(VLOOKUP(C2053, 'Catégorie des articles'!$A:$D, 4, FALSE), "")</f>
        <v>MIX LEGUMES</v>
      </c>
      <c r="G2053">
        <f t="shared" si="32"/>
        <v>202301</v>
      </c>
    </row>
    <row r="2054" spans="1:7" ht="12" customHeight="1">
      <c r="A2054" s="6">
        <v>44908</v>
      </c>
      <c r="B2054" s="7">
        <v>143480563</v>
      </c>
      <c r="C2054" s="3">
        <v>5540246180522</v>
      </c>
      <c r="D2054" s="6">
        <v>44928</v>
      </c>
      <c r="E2054" s="8">
        <v>1838</v>
      </c>
      <c r="F2054" s="23" t="str">
        <f>IFERROR(VLOOKUP(C2054, 'Catégorie des articles'!$A:$D, 4, FALSE), "")</f>
        <v>BOULANGERIE</v>
      </c>
      <c r="G2054">
        <f t="shared" si="32"/>
        <v>202301</v>
      </c>
    </row>
    <row r="2055" spans="1:7" ht="12" customHeight="1">
      <c r="A2055" s="6">
        <v>44909</v>
      </c>
      <c r="B2055" s="7">
        <v>143480574</v>
      </c>
      <c r="C2055" s="3">
        <v>5540246171933</v>
      </c>
      <c r="D2055" s="6">
        <v>44913</v>
      </c>
      <c r="E2055" s="8">
        <v>2228</v>
      </c>
      <c r="F2055" s="23" t="str">
        <f>IFERROR(VLOOKUP(C2055, 'Catégorie des articles'!$A:$D, 4, FALSE), "")</f>
        <v>CREMERIE</v>
      </c>
      <c r="G2055">
        <f t="shared" si="32"/>
        <v>202212</v>
      </c>
    </row>
    <row r="2056" spans="1:7" ht="12" customHeight="1">
      <c r="A2056" s="9">
        <v>44909</v>
      </c>
      <c r="B2056" s="10">
        <v>143480574</v>
      </c>
      <c r="C2056" s="3">
        <v>5540246176295</v>
      </c>
      <c r="D2056" s="9">
        <v>44913</v>
      </c>
      <c r="E2056" s="11">
        <v>7424</v>
      </c>
      <c r="F2056" s="23" t="str">
        <f>IFERROR(VLOOKUP(C2056, 'Catégorie des articles'!$A:$D, 4, FALSE), "")</f>
        <v>CREMERIE</v>
      </c>
      <c r="G2056">
        <f t="shared" si="32"/>
        <v>202212</v>
      </c>
    </row>
    <row r="2057" spans="1:7" ht="12" customHeight="1">
      <c r="A2057" s="9">
        <v>44909</v>
      </c>
      <c r="B2057" s="10">
        <v>143480574</v>
      </c>
      <c r="C2057" s="3">
        <v>5540246187987</v>
      </c>
      <c r="D2057" s="9">
        <v>44913</v>
      </c>
      <c r="E2057" s="11">
        <v>2228</v>
      </c>
      <c r="F2057" s="23" t="str">
        <f>IFERROR(VLOOKUP(C2057, 'Catégorie des articles'!$A:$D, 4, FALSE), "")</f>
        <v>CREMERIE</v>
      </c>
      <c r="G2057">
        <f t="shared" si="32"/>
        <v>202212</v>
      </c>
    </row>
    <row r="2058" spans="1:7" ht="12" customHeight="1">
      <c r="A2058" s="6">
        <v>44909</v>
      </c>
      <c r="B2058" s="7">
        <v>143480575</v>
      </c>
      <c r="C2058" s="3">
        <v>5540246172978</v>
      </c>
      <c r="D2058" s="6">
        <v>44913</v>
      </c>
      <c r="E2058" s="8">
        <v>836</v>
      </c>
      <c r="F2058" s="23" t="str">
        <f>IFERROR(VLOOKUP(C2058, 'Catégorie des articles'!$A:$D, 4, FALSE), "")</f>
        <v>CREMERIE</v>
      </c>
      <c r="G2058">
        <f t="shared" si="32"/>
        <v>202212</v>
      </c>
    </row>
    <row r="2059" spans="1:7" ht="12" customHeight="1">
      <c r="A2059" s="9">
        <v>44909</v>
      </c>
      <c r="B2059" s="10">
        <v>143480575</v>
      </c>
      <c r="C2059" s="3">
        <v>5540246174174</v>
      </c>
      <c r="D2059" s="9">
        <v>44913</v>
      </c>
      <c r="E2059" s="11">
        <v>348</v>
      </c>
      <c r="F2059" s="23" t="str">
        <f>IFERROR(VLOOKUP(C2059, 'Catégorie des articles'!$A:$D, 4, FALSE), "")</f>
        <v>CREMERIE</v>
      </c>
      <c r="G2059">
        <f t="shared" si="32"/>
        <v>202212</v>
      </c>
    </row>
    <row r="2060" spans="1:7" ht="12" customHeight="1">
      <c r="A2060" s="9">
        <v>44909</v>
      </c>
      <c r="B2060" s="10">
        <v>143480575</v>
      </c>
      <c r="C2060" s="3">
        <v>5540246176699</v>
      </c>
      <c r="D2060" s="9">
        <v>44913</v>
      </c>
      <c r="E2060" s="11">
        <v>6264</v>
      </c>
      <c r="F2060" s="23" t="str">
        <f>IFERROR(VLOOKUP(C2060, 'Catégorie des articles'!$A:$D, 4, FALSE), "")</f>
        <v>CREMERIE</v>
      </c>
      <c r="G2060">
        <f t="shared" si="32"/>
        <v>202212</v>
      </c>
    </row>
    <row r="2061" spans="1:7" ht="12" customHeight="1">
      <c r="A2061" s="9">
        <v>44909</v>
      </c>
      <c r="B2061" s="10">
        <v>143480575</v>
      </c>
      <c r="C2061" s="3">
        <v>5540246188175</v>
      </c>
      <c r="D2061" s="9">
        <v>44913</v>
      </c>
      <c r="E2061" s="11">
        <v>464</v>
      </c>
      <c r="F2061" s="23" t="str">
        <f>IFERROR(VLOOKUP(C2061, 'Catégorie des articles'!$A:$D, 4, FALSE), "")</f>
        <v>CREMERIE</v>
      </c>
      <c r="G2061">
        <f t="shared" si="32"/>
        <v>202212</v>
      </c>
    </row>
    <row r="2062" spans="1:7" ht="12" customHeight="1">
      <c r="A2062" s="6">
        <v>44909</v>
      </c>
      <c r="B2062" s="7">
        <v>143480577</v>
      </c>
      <c r="C2062" s="3">
        <v>5540246191598</v>
      </c>
      <c r="D2062" s="6">
        <v>44914</v>
      </c>
      <c r="E2062" s="8">
        <v>1601</v>
      </c>
      <c r="F2062" s="23" t="str">
        <f>IFERROR(VLOOKUP(C2062, 'Catégorie des articles'!$A:$D, 4, FALSE), "")</f>
        <v>CREMERIE</v>
      </c>
      <c r="G2062">
        <f t="shared" si="32"/>
        <v>202212</v>
      </c>
    </row>
    <row r="2063" spans="1:7" ht="12" customHeight="1">
      <c r="A2063" s="9">
        <v>44909</v>
      </c>
      <c r="B2063" s="10">
        <v>143480581</v>
      </c>
      <c r="C2063" s="3">
        <v>5540246188200</v>
      </c>
      <c r="D2063" s="9">
        <v>44910</v>
      </c>
      <c r="E2063" s="11">
        <v>11136</v>
      </c>
      <c r="F2063" s="23" t="str">
        <f>IFERROR(VLOOKUP(C2063, 'Catégorie des articles'!$A:$D, 4, FALSE), "")</f>
        <v>CREMERIE</v>
      </c>
      <c r="G2063">
        <f t="shared" si="32"/>
        <v>202212</v>
      </c>
    </row>
    <row r="2064" spans="1:7" ht="12" customHeight="1">
      <c r="A2064" s="6">
        <v>44909</v>
      </c>
      <c r="B2064" s="7">
        <v>143480592</v>
      </c>
      <c r="C2064" s="3">
        <v>5540246173472</v>
      </c>
      <c r="D2064" s="6">
        <v>44917</v>
      </c>
      <c r="E2064" s="8">
        <v>279</v>
      </c>
      <c r="F2064" s="23" t="str">
        <f>IFERROR(VLOOKUP(C2064, 'Catégorie des articles'!$A:$D, 4, FALSE), "")</f>
        <v>CREMERIE</v>
      </c>
      <c r="G2064">
        <f t="shared" si="32"/>
        <v>202212</v>
      </c>
    </row>
    <row r="2065" spans="1:7" ht="12" customHeight="1">
      <c r="A2065" s="9">
        <v>44909</v>
      </c>
      <c r="B2065" s="10">
        <v>143480592</v>
      </c>
      <c r="C2065" s="3">
        <v>5540246174095</v>
      </c>
      <c r="D2065" s="9">
        <v>44917</v>
      </c>
      <c r="E2065" s="11">
        <v>70</v>
      </c>
      <c r="F2065" s="23" t="str">
        <f>IFERROR(VLOOKUP(C2065, 'Catégorie des articles'!$A:$D, 4, FALSE), "")</f>
        <v>CREMERIE</v>
      </c>
      <c r="G2065">
        <f t="shared" si="32"/>
        <v>202212</v>
      </c>
    </row>
    <row r="2066" spans="1:7" ht="12" customHeight="1">
      <c r="A2066" s="6">
        <v>44909</v>
      </c>
      <c r="B2066" s="7">
        <v>143480592</v>
      </c>
      <c r="C2066" s="3">
        <v>5540246175047</v>
      </c>
      <c r="D2066" s="6">
        <v>44917</v>
      </c>
      <c r="E2066" s="8">
        <v>279</v>
      </c>
      <c r="F2066" s="23" t="str">
        <f>IFERROR(VLOOKUP(C2066, 'Catégorie des articles'!$A:$D, 4, FALSE), "")</f>
        <v>CREMERIE</v>
      </c>
      <c r="G2066">
        <f t="shared" si="32"/>
        <v>202212</v>
      </c>
    </row>
    <row r="2067" spans="1:7" ht="12" customHeight="1">
      <c r="A2067" s="9">
        <v>44909</v>
      </c>
      <c r="B2067" s="10">
        <v>143480592</v>
      </c>
      <c r="C2067" s="3">
        <v>5540246175049</v>
      </c>
      <c r="D2067" s="9">
        <v>44917</v>
      </c>
      <c r="E2067" s="11">
        <v>557</v>
      </c>
      <c r="F2067" s="23" t="str">
        <f>IFERROR(VLOOKUP(C2067, 'Catégorie des articles'!$A:$D, 4, FALSE), "")</f>
        <v>CREMERIE</v>
      </c>
      <c r="G2067">
        <f t="shared" si="32"/>
        <v>202212</v>
      </c>
    </row>
    <row r="2068" spans="1:7" ht="12" customHeight="1">
      <c r="A2068" s="6">
        <v>44909</v>
      </c>
      <c r="B2068" s="7">
        <v>143480592</v>
      </c>
      <c r="C2068" s="3">
        <v>5540246175050</v>
      </c>
      <c r="D2068" s="6">
        <v>44917</v>
      </c>
      <c r="E2068" s="8">
        <v>557</v>
      </c>
      <c r="F2068" s="23" t="str">
        <f>IFERROR(VLOOKUP(C2068, 'Catégorie des articles'!$A:$D, 4, FALSE), "")</f>
        <v>CREMERIE</v>
      </c>
      <c r="G2068">
        <f t="shared" si="32"/>
        <v>202212</v>
      </c>
    </row>
    <row r="2069" spans="1:7" ht="12" customHeight="1">
      <c r="A2069" s="9">
        <v>44910</v>
      </c>
      <c r="B2069" s="10">
        <v>143480608</v>
      </c>
      <c r="C2069" s="3">
        <v>5540246176294</v>
      </c>
      <c r="D2069" s="9">
        <v>44914</v>
      </c>
      <c r="E2069" s="11">
        <v>1485</v>
      </c>
      <c r="F2069" s="23" t="str">
        <f>IFERROR(VLOOKUP(C2069, 'Catégorie des articles'!$A:$D, 4, FALSE), "")</f>
        <v>CREMERIE</v>
      </c>
      <c r="G2069">
        <f t="shared" si="32"/>
        <v>202212</v>
      </c>
    </row>
    <row r="2070" spans="1:7" ht="12" customHeight="1">
      <c r="A2070" s="6">
        <v>44910</v>
      </c>
      <c r="B2070" s="7">
        <v>143480608</v>
      </c>
      <c r="C2070" s="3">
        <v>5540246176295</v>
      </c>
      <c r="D2070" s="6">
        <v>44914</v>
      </c>
      <c r="E2070" s="8">
        <v>7424</v>
      </c>
      <c r="F2070" s="23" t="str">
        <f>IFERROR(VLOOKUP(C2070, 'Catégorie des articles'!$A:$D, 4, FALSE), "")</f>
        <v>CREMERIE</v>
      </c>
      <c r="G2070">
        <f t="shared" si="32"/>
        <v>202212</v>
      </c>
    </row>
    <row r="2071" spans="1:7" ht="12" customHeight="1">
      <c r="A2071" s="9">
        <v>44910</v>
      </c>
      <c r="B2071" s="10">
        <v>143480608</v>
      </c>
      <c r="C2071" s="3">
        <v>5540246187987</v>
      </c>
      <c r="D2071" s="9">
        <v>44914</v>
      </c>
      <c r="E2071" s="11">
        <v>4455</v>
      </c>
      <c r="F2071" s="23" t="str">
        <f>IFERROR(VLOOKUP(C2071, 'Catégorie des articles'!$A:$D, 4, FALSE), "")</f>
        <v>CREMERIE</v>
      </c>
      <c r="G2071">
        <f t="shared" si="32"/>
        <v>202212</v>
      </c>
    </row>
    <row r="2072" spans="1:7" ht="12" customHeight="1">
      <c r="A2072" s="6">
        <v>44910</v>
      </c>
      <c r="B2072" s="7">
        <v>143480609</v>
      </c>
      <c r="C2072" s="3">
        <v>5540246176699</v>
      </c>
      <c r="D2072" s="6">
        <v>44914</v>
      </c>
      <c r="E2072" s="8">
        <v>6264</v>
      </c>
      <c r="F2072" s="23" t="str">
        <f>IFERROR(VLOOKUP(C2072, 'Catégorie des articles'!$A:$D, 4, FALSE), "")</f>
        <v>CREMERIE</v>
      </c>
      <c r="G2072">
        <f t="shared" si="32"/>
        <v>202212</v>
      </c>
    </row>
    <row r="2073" spans="1:7" ht="12" customHeight="1">
      <c r="A2073" s="9">
        <v>44910</v>
      </c>
      <c r="B2073" s="10">
        <v>143480616</v>
      </c>
      <c r="C2073" s="3">
        <v>5540246193878</v>
      </c>
      <c r="D2073" s="9">
        <v>44950</v>
      </c>
      <c r="E2073" s="11">
        <v>24500</v>
      </c>
      <c r="F2073" s="23" t="str">
        <f>IFERROR(VLOOKUP(C2073, 'Catégorie des articles'!$A:$D, 4, FALSE), "")</f>
        <v>VOLAILLE</v>
      </c>
      <c r="G2073">
        <f t="shared" si="32"/>
        <v>202301</v>
      </c>
    </row>
    <row r="2074" spans="1:7" ht="12" customHeight="1">
      <c r="A2074" s="9">
        <v>44910</v>
      </c>
      <c r="B2074" s="10">
        <v>143480620</v>
      </c>
      <c r="C2074" s="3">
        <v>5540246188200</v>
      </c>
      <c r="D2074" s="9">
        <v>44910</v>
      </c>
      <c r="E2074" s="11">
        <v>10654</v>
      </c>
      <c r="F2074" s="23" t="str">
        <f>IFERROR(VLOOKUP(C2074, 'Catégorie des articles'!$A:$D, 4, FALSE), "")</f>
        <v>CREMERIE</v>
      </c>
      <c r="G2074">
        <f t="shared" si="32"/>
        <v>202212</v>
      </c>
    </row>
    <row r="2075" spans="1:7" ht="12" customHeight="1">
      <c r="A2075" s="6">
        <v>44910</v>
      </c>
      <c r="B2075" s="7">
        <v>143480621</v>
      </c>
      <c r="C2075" s="3">
        <v>5540246194632</v>
      </c>
      <c r="D2075" s="6">
        <v>44923</v>
      </c>
      <c r="E2075" s="8">
        <v>1587</v>
      </c>
      <c r="F2075" s="23" t="str">
        <f>IFERROR(VLOOKUP(C2075, 'Catégorie des articles'!$A:$D, 4, FALSE), "")</f>
        <v>BOULANGERIE</v>
      </c>
      <c r="G2075">
        <f t="shared" si="32"/>
        <v>202212</v>
      </c>
    </row>
    <row r="2076" spans="1:7" ht="12" customHeight="1">
      <c r="A2076" s="9">
        <v>44910</v>
      </c>
      <c r="B2076" s="10">
        <v>143480621</v>
      </c>
      <c r="C2076" s="3">
        <v>5540246195250</v>
      </c>
      <c r="D2076" s="9">
        <v>44923</v>
      </c>
      <c r="E2076" s="11">
        <v>335</v>
      </c>
      <c r="F2076" s="23" t="str">
        <f>IFERROR(VLOOKUP(C2076, 'Catégorie des articles'!$A:$D, 4, FALSE), "")</f>
        <v>BOULANGERIE</v>
      </c>
      <c r="G2076">
        <f t="shared" si="32"/>
        <v>202212</v>
      </c>
    </row>
    <row r="2077" spans="1:7" ht="12" customHeight="1">
      <c r="A2077" s="6">
        <v>44910</v>
      </c>
      <c r="B2077" s="7">
        <v>143480645</v>
      </c>
      <c r="C2077" s="3">
        <v>5540246182684</v>
      </c>
      <c r="D2077" s="6">
        <v>44924</v>
      </c>
      <c r="E2077" s="8">
        <v>325</v>
      </c>
      <c r="F2077" s="23" t="str">
        <f>IFERROR(VLOOKUP(C2077, 'Catégorie des articles'!$A:$D, 4, FALSE), "")</f>
        <v>BOULANGERIE</v>
      </c>
      <c r="G2077">
        <f t="shared" si="32"/>
        <v>202212</v>
      </c>
    </row>
    <row r="2078" spans="1:7" ht="12" customHeight="1">
      <c r="A2078" s="9">
        <v>44910</v>
      </c>
      <c r="B2078" s="10">
        <v>143480645</v>
      </c>
      <c r="C2078" s="3">
        <v>5540246183844</v>
      </c>
      <c r="D2078" s="9">
        <v>44924</v>
      </c>
      <c r="E2078" s="11">
        <v>186</v>
      </c>
      <c r="F2078" s="23" t="str">
        <f>IFERROR(VLOOKUP(C2078, 'Catégorie des articles'!$A:$D, 4, FALSE), "")</f>
        <v>BOULANGERIE</v>
      </c>
      <c r="G2078">
        <f t="shared" si="32"/>
        <v>202212</v>
      </c>
    </row>
    <row r="2079" spans="1:7" ht="12" customHeight="1">
      <c r="A2079" s="9">
        <v>44910</v>
      </c>
      <c r="B2079" s="10">
        <v>143480649</v>
      </c>
      <c r="C2079" s="3">
        <v>5540246183558</v>
      </c>
      <c r="D2079" s="9">
        <v>44923</v>
      </c>
      <c r="E2079" s="11">
        <v>1300</v>
      </c>
      <c r="F2079" s="23" t="str">
        <f>IFERROR(VLOOKUP(C2079, 'Catégorie des articles'!$A:$D, 4, FALSE), "")</f>
        <v>MIX LEGUMES</v>
      </c>
      <c r="G2079">
        <f t="shared" si="32"/>
        <v>202212</v>
      </c>
    </row>
    <row r="2080" spans="1:7" ht="12" customHeight="1">
      <c r="A2080" s="6">
        <v>44910</v>
      </c>
      <c r="B2080" s="7">
        <v>143480649</v>
      </c>
      <c r="C2080" s="3">
        <v>5540246192594</v>
      </c>
      <c r="D2080" s="6">
        <v>44923</v>
      </c>
      <c r="E2080" s="8">
        <v>2970</v>
      </c>
      <c r="F2080" s="23" t="str">
        <f>IFERROR(VLOOKUP(C2080, 'Catégorie des articles'!$A:$D, 4, FALSE), "")</f>
        <v>MIX LEGUMES</v>
      </c>
      <c r="G2080">
        <f t="shared" si="32"/>
        <v>202212</v>
      </c>
    </row>
    <row r="2081" spans="1:7" ht="12" customHeight="1">
      <c r="A2081" s="6">
        <v>44910</v>
      </c>
      <c r="B2081" s="7">
        <v>143480651</v>
      </c>
      <c r="C2081" s="3">
        <v>5540246183589</v>
      </c>
      <c r="D2081" s="6">
        <v>44928</v>
      </c>
      <c r="E2081" s="8">
        <v>1300</v>
      </c>
      <c r="F2081" s="23" t="str">
        <f>IFERROR(VLOOKUP(C2081, 'Catégorie des articles'!$A:$D, 4, FALSE), "")</f>
        <v>MIX LEGUMES</v>
      </c>
      <c r="G2081">
        <f t="shared" si="32"/>
        <v>202301</v>
      </c>
    </row>
    <row r="2082" spans="1:7" ht="12" customHeight="1">
      <c r="A2082" s="9">
        <v>44910</v>
      </c>
      <c r="B2082" s="10">
        <v>143480651</v>
      </c>
      <c r="C2082" s="3">
        <v>5540246194790</v>
      </c>
      <c r="D2082" s="9">
        <v>44928</v>
      </c>
      <c r="E2082" s="11">
        <v>1316</v>
      </c>
      <c r="F2082" s="23" t="str">
        <f>IFERROR(VLOOKUP(C2082, 'Catégorie des articles'!$A:$D, 4, FALSE), "")</f>
        <v>MIX LEGUMES</v>
      </c>
      <c r="G2082">
        <f t="shared" si="32"/>
        <v>202301</v>
      </c>
    </row>
    <row r="2083" spans="1:7" ht="12" customHeight="1">
      <c r="A2083" s="6">
        <v>44910</v>
      </c>
      <c r="B2083" s="7">
        <v>143480653</v>
      </c>
      <c r="C2083" s="3">
        <v>5540246195241</v>
      </c>
      <c r="D2083" s="6">
        <v>44930</v>
      </c>
      <c r="E2083" s="8">
        <v>743</v>
      </c>
      <c r="F2083" s="23" t="str">
        <f>IFERROR(VLOOKUP(C2083, 'Catégorie des articles'!$A:$D, 4, FALSE), "")</f>
        <v>MIX LEGUMES</v>
      </c>
      <c r="G2083">
        <f t="shared" si="32"/>
        <v>202301</v>
      </c>
    </row>
    <row r="2084" spans="1:7" ht="12" customHeight="1">
      <c r="A2084" s="6">
        <v>44910</v>
      </c>
      <c r="B2084" s="7">
        <v>143480655</v>
      </c>
      <c r="C2084" s="3">
        <v>5540246195653</v>
      </c>
      <c r="D2084" s="6">
        <v>44928</v>
      </c>
      <c r="E2084" s="8">
        <v>168</v>
      </c>
      <c r="F2084" s="23" t="str">
        <f>IFERROR(VLOOKUP(C2084, 'Catégorie des articles'!$A:$D, 4, FALSE), "")</f>
        <v>EMBALLAGES</v>
      </c>
      <c r="G2084">
        <f t="shared" si="32"/>
        <v>202301</v>
      </c>
    </row>
    <row r="2085" spans="1:7" ht="12" customHeight="1">
      <c r="A2085" s="9">
        <v>44913</v>
      </c>
      <c r="B2085" s="10">
        <v>143490660</v>
      </c>
      <c r="C2085" s="3">
        <v>5540246172978</v>
      </c>
      <c r="D2085" s="9">
        <v>44915</v>
      </c>
      <c r="E2085" s="11">
        <v>1671</v>
      </c>
      <c r="F2085" s="23" t="str">
        <f>IFERROR(VLOOKUP(C2085, 'Catégorie des articles'!$A:$D, 4, FALSE), "")</f>
        <v>CREMERIE</v>
      </c>
      <c r="G2085">
        <f t="shared" si="32"/>
        <v>202212</v>
      </c>
    </row>
    <row r="2086" spans="1:7" ht="12" customHeight="1">
      <c r="A2086" s="9">
        <v>44913</v>
      </c>
      <c r="B2086" s="10">
        <v>143490660</v>
      </c>
      <c r="C2086" s="3">
        <v>5540246174174</v>
      </c>
      <c r="D2086" s="9">
        <v>44915</v>
      </c>
      <c r="E2086" s="11">
        <v>348</v>
      </c>
      <c r="F2086" s="23" t="str">
        <f>IFERROR(VLOOKUP(C2086, 'Catégorie des articles'!$A:$D, 4, FALSE), "")</f>
        <v>CREMERIE</v>
      </c>
      <c r="G2086">
        <f t="shared" si="32"/>
        <v>202212</v>
      </c>
    </row>
    <row r="2087" spans="1:7" ht="12" customHeight="1">
      <c r="A2087" s="6">
        <v>44913</v>
      </c>
      <c r="B2087" s="7">
        <v>143490660</v>
      </c>
      <c r="C2087" s="3">
        <v>5540246188175</v>
      </c>
      <c r="D2087" s="6">
        <v>44915</v>
      </c>
      <c r="E2087" s="8">
        <v>232</v>
      </c>
      <c r="F2087" s="23" t="str">
        <f>IFERROR(VLOOKUP(C2087, 'Catégorie des articles'!$A:$D, 4, FALSE), "")</f>
        <v>CREMERIE</v>
      </c>
      <c r="G2087">
        <f t="shared" si="32"/>
        <v>202212</v>
      </c>
    </row>
    <row r="2088" spans="1:7" ht="12" customHeight="1">
      <c r="A2088" s="6">
        <v>44913</v>
      </c>
      <c r="B2088" s="7">
        <v>143490662</v>
      </c>
      <c r="C2088" s="3">
        <v>5540246171933</v>
      </c>
      <c r="D2088" s="6">
        <v>44915</v>
      </c>
      <c r="E2088" s="8">
        <v>1671</v>
      </c>
      <c r="F2088" s="23" t="str">
        <f>IFERROR(VLOOKUP(C2088, 'Catégorie des articles'!$A:$D, 4, FALSE), "")</f>
        <v>CREMERIE</v>
      </c>
      <c r="G2088">
        <f t="shared" si="32"/>
        <v>202212</v>
      </c>
    </row>
    <row r="2089" spans="1:7" ht="12" customHeight="1">
      <c r="A2089" s="6">
        <v>44913</v>
      </c>
      <c r="B2089" s="7">
        <v>143490682</v>
      </c>
      <c r="C2089" s="3">
        <v>5540246183560</v>
      </c>
      <c r="D2089" s="6">
        <v>44920</v>
      </c>
      <c r="E2089" s="8">
        <v>669</v>
      </c>
      <c r="F2089" s="23" t="str">
        <f>IFERROR(VLOOKUP(C2089, 'Catégorie des articles'!$A:$D, 4, FALSE), "")</f>
        <v>MIX LEGUMES</v>
      </c>
      <c r="G2089">
        <f t="shared" si="32"/>
        <v>202212</v>
      </c>
    </row>
    <row r="2090" spans="1:7" ht="12" customHeight="1">
      <c r="A2090" s="9">
        <v>44913</v>
      </c>
      <c r="B2090" s="10">
        <v>143490683</v>
      </c>
      <c r="C2090" s="3">
        <v>5540246170256</v>
      </c>
      <c r="D2090" s="9">
        <v>44949</v>
      </c>
      <c r="E2090" s="11">
        <v>3174</v>
      </c>
      <c r="F2090" s="23" t="str">
        <f>IFERROR(VLOOKUP(C2090, 'Catégorie des articles'!$A:$D, 4, FALSE), "")</f>
        <v>BOULANGERIE</v>
      </c>
      <c r="G2090">
        <f t="shared" si="32"/>
        <v>202301</v>
      </c>
    </row>
    <row r="2091" spans="1:7" ht="12" customHeight="1">
      <c r="A2091" s="6">
        <v>44913</v>
      </c>
      <c r="B2091" s="7">
        <v>143490683</v>
      </c>
      <c r="C2091" s="3">
        <v>5540246171888</v>
      </c>
      <c r="D2091" s="6">
        <v>44949</v>
      </c>
      <c r="E2091" s="8">
        <v>520</v>
      </c>
      <c r="F2091" s="23" t="str">
        <f>IFERROR(VLOOKUP(C2091, 'Catégorie des articles'!$A:$D, 4, FALSE), "")</f>
        <v>BOULANGERIE</v>
      </c>
      <c r="G2091">
        <f t="shared" si="32"/>
        <v>202301</v>
      </c>
    </row>
    <row r="2092" spans="1:7" ht="12" customHeight="1">
      <c r="A2092" s="6">
        <v>44913</v>
      </c>
      <c r="B2092" s="7">
        <v>143490693</v>
      </c>
      <c r="C2092" s="3">
        <v>5540246194632</v>
      </c>
      <c r="D2092" s="6">
        <v>44931</v>
      </c>
      <c r="E2092" s="8">
        <v>2088</v>
      </c>
      <c r="F2092" s="23" t="str">
        <f>IFERROR(VLOOKUP(C2092, 'Catégorie des articles'!$A:$D, 4, FALSE), "")</f>
        <v>BOULANGERIE</v>
      </c>
      <c r="G2092">
        <f t="shared" si="32"/>
        <v>202301</v>
      </c>
    </row>
    <row r="2093" spans="1:7" ht="12" customHeight="1">
      <c r="A2093" s="9">
        <v>44913</v>
      </c>
      <c r="B2093" s="10">
        <v>143490694</v>
      </c>
      <c r="C2093" s="3">
        <v>5540246195250</v>
      </c>
      <c r="D2093" s="9">
        <v>44934</v>
      </c>
      <c r="E2093" s="11">
        <v>418</v>
      </c>
      <c r="F2093" s="23" t="str">
        <f>IFERROR(VLOOKUP(C2093, 'Catégorie des articles'!$A:$D, 4, FALSE), "")</f>
        <v>BOULANGERIE</v>
      </c>
      <c r="G2093">
        <f t="shared" si="32"/>
        <v>202301</v>
      </c>
    </row>
    <row r="2094" spans="1:7" ht="12" customHeight="1">
      <c r="A2094" s="6">
        <v>44913</v>
      </c>
      <c r="B2094" s="7">
        <v>143490694</v>
      </c>
      <c r="C2094" s="3">
        <v>5540246196046</v>
      </c>
      <c r="D2094" s="6">
        <v>44934</v>
      </c>
      <c r="E2094" s="8">
        <v>836</v>
      </c>
      <c r="F2094" s="23" t="str">
        <f>IFERROR(VLOOKUP(C2094, 'Catégorie des articles'!$A:$D, 4, FALSE), "")</f>
        <v>BOULANGERIE</v>
      </c>
      <c r="G2094">
        <f t="shared" si="32"/>
        <v>202301</v>
      </c>
    </row>
    <row r="2095" spans="1:7" ht="12" customHeight="1">
      <c r="A2095" s="9">
        <v>44914</v>
      </c>
      <c r="B2095" s="10">
        <v>143490711</v>
      </c>
      <c r="C2095" s="3">
        <v>5540246174095</v>
      </c>
      <c r="D2095" s="9">
        <v>44922</v>
      </c>
      <c r="E2095" s="11">
        <v>70</v>
      </c>
      <c r="F2095" s="23" t="str">
        <f>IFERROR(VLOOKUP(C2095, 'Catégorie des articles'!$A:$D, 4, FALSE), "")</f>
        <v>CREMERIE</v>
      </c>
      <c r="G2095">
        <f t="shared" si="32"/>
        <v>202212</v>
      </c>
    </row>
    <row r="2096" spans="1:7" ht="12" customHeight="1">
      <c r="A2096" s="6">
        <v>44914</v>
      </c>
      <c r="B2096" s="7">
        <v>143490711</v>
      </c>
      <c r="C2096" s="3">
        <v>5540246175049</v>
      </c>
      <c r="D2096" s="6">
        <v>44922</v>
      </c>
      <c r="E2096" s="8">
        <v>696</v>
      </c>
      <c r="F2096" s="23" t="str">
        <f>IFERROR(VLOOKUP(C2096, 'Catégorie des articles'!$A:$D, 4, FALSE), "")</f>
        <v>CREMERIE</v>
      </c>
      <c r="G2096">
        <f t="shared" si="32"/>
        <v>202212</v>
      </c>
    </row>
    <row r="2097" spans="1:7" ht="12" customHeight="1">
      <c r="A2097" s="9">
        <v>44914</v>
      </c>
      <c r="B2097" s="10">
        <v>143490711</v>
      </c>
      <c r="C2097" s="3">
        <v>5540246175050</v>
      </c>
      <c r="D2097" s="9">
        <v>44922</v>
      </c>
      <c r="E2097" s="11">
        <v>279</v>
      </c>
      <c r="F2097" s="23" t="str">
        <f>IFERROR(VLOOKUP(C2097, 'Catégorie des articles'!$A:$D, 4, FALSE), "")</f>
        <v>CREMERIE</v>
      </c>
      <c r="G2097">
        <f t="shared" si="32"/>
        <v>202212</v>
      </c>
    </row>
    <row r="2098" spans="1:7" ht="12" customHeight="1">
      <c r="A2098" s="9">
        <v>44914</v>
      </c>
      <c r="B2098" s="10">
        <v>143490732</v>
      </c>
      <c r="C2098" s="3">
        <v>5540246196148</v>
      </c>
      <c r="D2098" s="9">
        <v>44945</v>
      </c>
      <c r="E2098" s="11">
        <v>975</v>
      </c>
      <c r="F2098" s="23" t="str">
        <f>IFERROR(VLOOKUP(C2098, 'Catégorie des articles'!$A:$D, 4, FALSE), "")</f>
        <v>EMBALLAGES</v>
      </c>
      <c r="G2098">
        <f t="shared" si="32"/>
        <v>202301</v>
      </c>
    </row>
    <row r="2099" spans="1:7" ht="12" customHeight="1">
      <c r="A2099" s="9">
        <v>44915</v>
      </c>
      <c r="B2099" s="10">
        <v>143490736</v>
      </c>
      <c r="C2099" s="3">
        <v>5540246172539</v>
      </c>
      <c r="D2099" s="9">
        <v>44917</v>
      </c>
      <c r="E2099" s="11">
        <v>24</v>
      </c>
      <c r="F2099" s="23" t="str">
        <f>IFERROR(VLOOKUP(C2099, 'Catégorie des articles'!$A:$D, 4, FALSE), "")</f>
        <v>CREMERIE</v>
      </c>
      <c r="G2099">
        <f t="shared" si="32"/>
        <v>202212</v>
      </c>
    </row>
    <row r="2100" spans="1:7" ht="12" customHeight="1">
      <c r="A2100" s="6">
        <v>44915</v>
      </c>
      <c r="B2100" s="7">
        <v>143490736</v>
      </c>
      <c r="C2100" s="3">
        <v>5540246172669</v>
      </c>
      <c r="D2100" s="6">
        <v>44917</v>
      </c>
      <c r="E2100" s="8">
        <v>279</v>
      </c>
      <c r="F2100" s="23" t="str">
        <f>IFERROR(VLOOKUP(C2100, 'Catégorie des articles'!$A:$D, 4, FALSE), "")</f>
        <v>CREMERIE</v>
      </c>
      <c r="G2100">
        <f t="shared" si="32"/>
        <v>202212</v>
      </c>
    </row>
    <row r="2101" spans="1:7" ht="12" customHeight="1">
      <c r="A2101" s="9">
        <v>44915</v>
      </c>
      <c r="B2101" s="10">
        <v>143490736</v>
      </c>
      <c r="C2101" s="3">
        <v>5540246172978</v>
      </c>
      <c r="D2101" s="9">
        <v>44917</v>
      </c>
      <c r="E2101" s="11">
        <v>1671</v>
      </c>
      <c r="F2101" s="23" t="str">
        <f>IFERROR(VLOOKUP(C2101, 'Catégorie des articles'!$A:$D, 4, FALSE), "")</f>
        <v>CREMERIE</v>
      </c>
      <c r="G2101">
        <f t="shared" si="32"/>
        <v>202212</v>
      </c>
    </row>
    <row r="2102" spans="1:7" ht="12" customHeight="1">
      <c r="A2102" s="9">
        <v>44915</v>
      </c>
      <c r="B2102" s="10">
        <v>143490736</v>
      </c>
      <c r="C2102" s="3">
        <v>5540246174174</v>
      </c>
      <c r="D2102" s="9">
        <v>44917</v>
      </c>
      <c r="E2102" s="11">
        <v>232</v>
      </c>
      <c r="F2102" s="23" t="str">
        <f>IFERROR(VLOOKUP(C2102, 'Catégorie des articles'!$A:$D, 4, FALSE), "")</f>
        <v>CREMERIE</v>
      </c>
      <c r="G2102">
        <f t="shared" si="32"/>
        <v>202212</v>
      </c>
    </row>
    <row r="2103" spans="1:7" ht="12" customHeight="1">
      <c r="A2103" s="6">
        <v>44915</v>
      </c>
      <c r="B2103" s="7">
        <v>143490736</v>
      </c>
      <c r="C2103" s="3">
        <v>5540246176699</v>
      </c>
      <c r="D2103" s="6">
        <v>44917</v>
      </c>
      <c r="E2103" s="8">
        <v>6264</v>
      </c>
      <c r="F2103" s="23" t="str">
        <f>IFERROR(VLOOKUP(C2103, 'Catégorie des articles'!$A:$D, 4, FALSE), "")</f>
        <v>CREMERIE</v>
      </c>
      <c r="G2103">
        <f t="shared" si="32"/>
        <v>202212</v>
      </c>
    </row>
    <row r="2104" spans="1:7" ht="12" customHeight="1">
      <c r="A2104" s="9">
        <v>44915</v>
      </c>
      <c r="B2104" s="10">
        <v>143490737</v>
      </c>
      <c r="C2104" s="3">
        <v>5540246171933</v>
      </c>
      <c r="D2104" s="9">
        <v>44917</v>
      </c>
      <c r="E2104" s="11">
        <v>1114</v>
      </c>
      <c r="F2104" s="23" t="str">
        <f>IFERROR(VLOOKUP(C2104, 'Catégorie des articles'!$A:$D, 4, FALSE), "")</f>
        <v>CREMERIE</v>
      </c>
      <c r="G2104">
        <f t="shared" si="32"/>
        <v>202212</v>
      </c>
    </row>
    <row r="2105" spans="1:7" ht="12" customHeight="1">
      <c r="A2105" s="6">
        <v>44915</v>
      </c>
      <c r="B2105" s="7">
        <v>143490737</v>
      </c>
      <c r="C2105" s="3">
        <v>5540246176294</v>
      </c>
      <c r="D2105" s="6">
        <v>44917</v>
      </c>
      <c r="E2105" s="8">
        <v>1485</v>
      </c>
      <c r="F2105" s="23" t="str">
        <f>IFERROR(VLOOKUP(C2105, 'Catégorie des articles'!$A:$D, 4, FALSE), "")</f>
        <v>CREMERIE</v>
      </c>
      <c r="G2105">
        <f t="shared" si="32"/>
        <v>202212</v>
      </c>
    </row>
    <row r="2106" spans="1:7" ht="12" customHeight="1">
      <c r="A2106" s="9">
        <v>44915</v>
      </c>
      <c r="B2106" s="10">
        <v>143490737</v>
      </c>
      <c r="C2106" s="3">
        <v>5540246176295</v>
      </c>
      <c r="D2106" s="9">
        <v>44917</v>
      </c>
      <c r="E2106" s="11">
        <v>6682</v>
      </c>
      <c r="F2106" s="23" t="str">
        <f>IFERROR(VLOOKUP(C2106, 'Catégorie des articles'!$A:$D, 4, FALSE), "")</f>
        <v>CREMERIE</v>
      </c>
      <c r="G2106">
        <f t="shared" si="32"/>
        <v>202212</v>
      </c>
    </row>
    <row r="2107" spans="1:7" ht="12" customHeight="1">
      <c r="A2107" s="9">
        <v>44915</v>
      </c>
      <c r="B2107" s="10">
        <v>143490737</v>
      </c>
      <c r="C2107" s="3">
        <v>5540246187987</v>
      </c>
      <c r="D2107" s="9">
        <v>44917</v>
      </c>
      <c r="E2107" s="11">
        <v>3341</v>
      </c>
      <c r="F2107" s="23" t="str">
        <f>IFERROR(VLOOKUP(C2107, 'Catégorie des articles'!$A:$D, 4, FALSE), "")</f>
        <v>CREMERIE</v>
      </c>
      <c r="G2107">
        <f t="shared" si="32"/>
        <v>202212</v>
      </c>
    </row>
    <row r="2108" spans="1:7" ht="12" customHeight="1">
      <c r="A2108" s="9">
        <v>44915</v>
      </c>
      <c r="B2108" s="10">
        <v>143490747</v>
      </c>
      <c r="C2108" s="3">
        <v>5540246188175</v>
      </c>
      <c r="D2108" s="9">
        <v>44921</v>
      </c>
      <c r="E2108" s="11">
        <v>836</v>
      </c>
      <c r="F2108" s="23" t="str">
        <f>IFERROR(VLOOKUP(C2108, 'Catégorie des articles'!$A:$D, 4, FALSE), "")</f>
        <v>CREMERIE</v>
      </c>
      <c r="G2108">
        <f t="shared" si="32"/>
        <v>202212</v>
      </c>
    </row>
    <row r="2109" spans="1:7" ht="12" customHeight="1">
      <c r="A2109" s="9">
        <v>44915</v>
      </c>
      <c r="B2109" s="10">
        <v>143490761</v>
      </c>
      <c r="C2109" s="3">
        <v>5540246191394</v>
      </c>
      <c r="D2109" s="9">
        <v>44945</v>
      </c>
      <c r="E2109" s="11">
        <v>418</v>
      </c>
      <c r="F2109" s="23" t="str">
        <f>IFERROR(VLOOKUP(C2109, 'Catégorie des articles'!$A:$D, 4, FALSE), "")</f>
        <v>CREMERIE</v>
      </c>
      <c r="G2109">
        <f t="shared" si="32"/>
        <v>202301</v>
      </c>
    </row>
    <row r="2110" spans="1:7" ht="12" customHeight="1">
      <c r="A2110" s="9">
        <v>44915</v>
      </c>
      <c r="B2110" s="10">
        <v>143490763</v>
      </c>
      <c r="C2110" s="3">
        <v>5540246196002</v>
      </c>
      <c r="D2110" s="9">
        <v>44945</v>
      </c>
      <c r="E2110" s="11">
        <v>423</v>
      </c>
      <c r="F2110" s="23" t="str">
        <f>IFERROR(VLOOKUP(C2110, 'Catégorie des articles'!$A:$D, 4, FALSE), "")</f>
        <v>CREMERIE</v>
      </c>
      <c r="G2110">
        <f t="shared" si="32"/>
        <v>202301</v>
      </c>
    </row>
    <row r="2111" spans="1:7" ht="12" customHeight="1">
      <c r="A2111" s="9">
        <v>44915</v>
      </c>
      <c r="B2111" s="10">
        <v>143490765</v>
      </c>
      <c r="C2111" s="3">
        <v>5540246177133</v>
      </c>
      <c r="D2111" s="9">
        <v>44934</v>
      </c>
      <c r="E2111" s="11">
        <v>6125</v>
      </c>
      <c r="F2111" s="23" t="str">
        <f>IFERROR(VLOOKUP(C2111, 'Catégorie des articles'!$A:$D, 4, FALSE), "")</f>
        <v>MIX LEGUMES</v>
      </c>
      <c r="G2111">
        <f t="shared" si="32"/>
        <v>202301</v>
      </c>
    </row>
    <row r="2112" spans="1:7" ht="12" customHeight="1">
      <c r="A2112" s="6">
        <v>44915</v>
      </c>
      <c r="B2112" s="7">
        <v>143490765</v>
      </c>
      <c r="C2112" s="3">
        <v>5540246192148</v>
      </c>
      <c r="D2112" s="6">
        <v>44934</v>
      </c>
      <c r="E2112" s="8">
        <v>13920</v>
      </c>
      <c r="F2112" s="23" t="str">
        <f>IFERROR(VLOOKUP(C2112, 'Catégorie des articles'!$A:$D, 4, FALSE), "")</f>
        <v>MIX LEGUMES</v>
      </c>
      <c r="G2112">
        <f t="shared" si="32"/>
        <v>202301</v>
      </c>
    </row>
    <row r="2113" spans="1:7" ht="12" customHeight="1">
      <c r="A2113" s="9">
        <v>44915</v>
      </c>
      <c r="B2113" s="10">
        <v>143490765</v>
      </c>
      <c r="C2113" s="3">
        <v>5540246192518</v>
      </c>
      <c r="D2113" s="9">
        <v>44934</v>
      </c>
      <c r="E2113" s="11">
        <v>9396</v>
      </c>
      <c r="F2113" s="23" t="str">
        <f>IFERROR(VLOOKUP(C2113, 'Catégorie des articles'!$A:$D, 4, FALSE), "")</f>
        <v>MIX LEGUMES</v>
      </c>
      <c r="G2113">
        <f t="shared" si="32"/>
        <v>202301</v>
      </c>
    </row>
    <row r="2114" spans="1:7" ht="12" customHeight="1">
      <c r="A2114" s="9">
        <v>44915</v>
      </c>
      <c r="B2114" s="10">
        <v>143490767</v>
      </c>
      <c r="C2114" s="3">
        <v>5540246177376</v>
      </c>
      <c r="D2114" s="9">
        <v>44935</v>
      </c>
      <c r="E2114" s="11">
        <v>1420</v>
      </c>
      <c r="F2114" s="23" t="str">
        <f>IFERROR(VLOOKUP(C2114, 'Catégorie des articles'!$A:$D, 4, FALSE), "")</f>
        <v>BOULANGERIE</v>
      </c>
      <c r="G2114">
        <f t="shared" si="32"/>
        <v>202301</v>
      </c>
    </row>
    <row r="2115" spans="1:7" ht="12" customHeight="1">
      <c r="A2115" s="9">
        <v>44915</v>
      </c>
      <c r="B2115" s="10">
        <v>143490772</v>
      </c>
      <c r="C2115" s="3">
        <v>5540246170256</v>
      </c>
      <c r="D2115" s="9">
        <v>44950</v>
      </c>
      <c r="E2115" s="11">
        <v>2116</v>
      </c>
      <c r="F2115" s="23" t="str">
        <f>IFERROR(VLOOKUP(C2115, 'Catégorie des articles'!$A:$D, 4, FALSE), "")</f>
        <v>BOULANGERIE</v>
      </c>
      <c r="G2115">
        <f t="shared" ref="G2115:G2178" si="33">YEAR(D2115)*100 + MONTH(D2115)</f>
        <v>202301</v>
      </c>
    </row>
    <row r="2116" spans="1:7" ht="12" customHeight="1">
      <c r="A2116" s="6">
        <v>44915</v>
      </c>
      <c r="B2116" s="7">
        <v>143490772</v>
      </c>
      <c r="C2116" s="3">
        <v>5540246171888</v>
      </c>
      <c r="D2116" s="6">
        <v>44950</v>
      </c>
      <c r="E2116" s="8">
        <v>1300</v>
      </c>
      <c r="F2116" s="23" t="str">
        <f>IFERROR(VLOOKUP(C2116, 'Catégorie des articles'!$A:$D, 4, FALSE), "")</f>
        <v>BOULANGERIE</v>
      </c>
      <c r="G2116">
        <f t="shared" si="33"/>
        <v>202301</v>
      </c>
    </row>
    <row r="2117" spans="1:7" ht="12" customHeight="1">
      <c r="A2117" s="9">
        <v>44916</v>
      </c>
      <c r="B2117" s="10">
        <v>143490786</v>
      </c>
      <c r="C2117" s="3">
        <v>5540246176295</v>
      </c>
      <c r="D2117" s="9">
        <v>44920</v>
      </c>
      <c r="E2117" s="11">
        <v>6682</v>
      </c>
      <c r="F2117" s="23" t="str">
        <f>IFERROR(VLOOKUP(C2117, 'Catégorie des articles'!$A:$D, 4, FALSE), "")</f>
        <v>CREMERIE</v>
      </c>
      <c r="G2117">
        <f t="shared" si="33"/>
        <v>202212</v>
      </c>
    </row>
    <row r="2118" spans="1:7" ht="12" customHeight="1">
      <c r="A2118" s="9">
        <v>44916</v>
      </c>
      <c r="B2118" s="10">
        <v>143490786</v>
      </c>
      <c r="C2118" s="3">
        <v>5540246187987</v>
      </c>
      <c r="D2118" s="9">
        <v>44920</v>
      </c>
      <c r="E2118" s="11">
        <v>4455</v>
      </c>
      <c r="F2118" s="23" t="str">
        <f>IFERROR(VLOOKUP(C2118, 'Catégorie des articles'!$A:$D, 4, FALSE), "")</f>
        <v>CREMERIE</v>
      </c>
      <c r="G2118">
        <f t="shared" si="33"/>
        <v>202212</v>
      </c>
    </row>
    <row r="2119" spans="1:7" ht="12" customHeight="1">
      <c r="A2119" s="9">
        <v>44916</v>
      </c>
      <c r="B2119" s="10">
        <v>143490787</v>
      </c>
      <c r="C2119" s="3">
        <v>5540246172978</v>
      </c>
      <c r="D2119" s="9">
        <v>44920</v>
      </c>
      <c r="E2119" s="11">
        <v>836</v>
      </c>
      <c r="F2119" s="23" t="str">
        <f>IFERROR(VLOOKUP(C2119, 'Catégorie des articles'!$A:$D, 4, FALSE), "")</f>
        <v>CREMERIE</v>
      </c>
      <c r="G2119">
        <f t="shared" si="33"/>
        <v>202212</v>
      </c>
    </row>
    <row r="2120" spans="1:7" ht="12" customHeight="1">
      <c r="A2120" s="6">
        <v>44916</v>
      </c>
      <c r="B2120" s="7">
        <v>143490787</v>
      </c>
      <c r="C2120" s="3">
        <v>5540246176699</v>
      </c>
      <c r="D2120" s="6">
        <v>44920</v>
      </c>
      <c r="E2120" s="8">
        <v>6264</v>
      </c>
      <c r="F2120" s="23" t="str">
        <f>IFERROR(VLOOKUP(C2120, 'Catégorie des articles'!$A:$D, 4, FALSE), "")</f>
        <v>CREMERIE</v>
      </c>
      <c r="G2120">
        <f t="shared" si="33"/>
        <v>202212</v>
      </c>
    </row>
    <row r="2121" spans="1:7" ht="12" customHeight="1">
      <c r="A2121" s="9">
        <v>44916</v>
      </c>
      <c r="B2121" s="10">
        <v>143490787</v>
      </c>
      <c r="C2121" s="3">
        <v>5540246188175</v>
      </c>
      <c r="D2121" s="9">
        <v>44920</v>
      </c>
      <c r="E2121" s="11">
        <v>232</v>
      </c>
      <c r="F2121" s="23" t="str">
        <f>IFERROR(VLOOKUP(C2121, 'Catégorie des articles'!$A:$D, 4, FALSE), "")</f>
        <v>CREMERIE</v>
      </c>
      <c r="G2121">
        <f t="shared" si="33"/>
        <v>202212</v>
      </c>
    </row>
    <row r="2122" spans="1:7" ht="12" customHeight="1">
      <c r="A2122" s="9">
        <v>44916</v>
      </c>
      <c r="B2122" s="10">
        <v>143490790</v>
      </c>
      <c r="C2122" s="3">
        <v>5540246191598</v>
      </c>
      <c r="D2122" s="9">
        <v>44922</v>
      </c>
      <c r="E2122" s="11">
        <v>1601</v>
      </c>
      <c r="F2122" s="23" t="str">
        <f>IFERROR(VLOOKUP(C2122, 'Catégorie des articles'!$A:$D, 4, FALSE), "")</f>
        <v>CREMERIE</v>
      </c>
      <c r="G2122">
        <f t="shared" si="33"/>
        <v>202212</v>
      </c>
    </row>
    <row r="2123" spans="1:7" ht="12" customHeight="1">
      <c r="A2123" s="9">
        <v>44916</v>
      </c>
      <c r="B2123" s="10">
        <v>143490803</v>
      </c>
      <c r="C2123" s="3">
        <v>5540246185562</v>
      </c>
      <c r="D2123" s="9">
        <v>44922</v>
      </c>
      <c r="E2123" s="11">
        <v>279</v>
      </c>
      <c r="F2123" s="23" t="str">
        <f>IFERROR(VLOOKUP(C2123, 'Catégorie des articles'!$A:$D, 4, FALSE), "")</f>
        <v>CREMERIE</v>
      </c>
      <c r="G2123">
        <f t="shared" si="33"/>
        <v>202212</v>
      </c>
    </row>
    <row r="2124" spans="1:7" ht="12" customHeight="1">
      <c r="A2124" s="9">
        <v>44916</v>
      </c>
      <c r="B2124" s="10">
        <v>143490804</v>
      </c>
      <c r="C2124" s="3">
        <v>5540246174095</v>
      </c>
      <c r="D2124" s="9">
        <v>44924</v>
      </c>
      <c r="E2124" s="11">
        <v>70</v>
      </c>
      <c r="F2124" s="23" t="str">
        <f>IFERROR(VLOOKUP(C2124, 'Catégorie des articles'!$A:$D, 4, FALSE), "")</f>
        <v>CREMERIE</v>
      </c>
      <c r="G2124">
        <f t="shared" si="33"/>
        <v>202212</v>
      </c>
    </row>
    <row r="2125" spans="1:7" ht="12" customHeight="1">
      <c r="A2125" s="6">
        <v>44916</v>
      </c>
      <c r="B2125" s="7">
        <v>143490804</v>
      </c>
      <c r="C2125" s="3">
        <v>5540246175047</v>
      </c>
      <c r="D2125" s="6">
        <v>44924</v>
      </c>
      <c r="E2125" s="8">
        <v>279</v>
      </c>
      <c r="F2125" s="23" t="str">
        <f>IFERROR(VLOOKUP(C2125, 'Catégorie des articles'!$A:$D, 4, FALSE), "")</f>
        <v>CREMERIE</v>
      </c>
      <c r="G2125">
        <f t="shared" si="33"/>
        <v>202212</v>
      </c>
    </row>
    <row r="2126" spans="1:7" ht="12" customHeight="1">
      <c r="A2126" s="9">
        <v>44916</v>
      </c>
      <c r="B2126" s="10">
        <v>143490804</v>
      </c>
      <c r="C2126" s="3">
        <v>5540246175049</v>
      </c>
      <c r="D2126" s="9">
        <v>44924</v>
      </c>
      <c r="E2126" s="11">
        <v>836</v>
      </c>
      <c r="F2126" s="23" t="str">
        <f>IFERROR(VLOOKUP(C2126, 'Catégorie des articles'!$A:$D, 4, FALSE), "")</f>
        <v>CREMERIE</v>
      </c>
      <c r="G2126">
        <f t="shared" si="33"/>
        <v>202212</v>
      </c>
    </row>
    <row r="2127" spans="1:7" ht="12" customHeight="1">
      <c r="A2127" s="6">
        <v>44916</v>
      </c>
      <c r="B2127" s="7">
        <v>143490804</v>
      </c>
      <c r="C2127" s="3">
        <v>5540246190743</v>
      </c>
      <c r="D2127" s="6">
        <v>44924</v>
      </c>
      <c r="E2127" s="8">
        <v>557</v>
      </c>
      <c r="F2127" s="23" t="str">
        <f>IFERROR(VLOOKUP(C2127, 'Catégorie des articles'!$A:$D, 4, FALSE), "")</f>
        <v>CREMERIE</v>
      </c>
      <c r="G2127">
        <f t="shared" si="33"/>
        <v>202212</v>
      </c>
    </row>
    <row r="2128" spans="1:7" ht="12" customHeight="1">
      <c r="A2128" s="6">
        <v>44916</v>
      </c>
      <c r="B2128" s="7">
        <v>143490806</v>
      </c>
      <c r="C2128" s="3">
        <v>5540246194632</v>
      </c>
      <c r="D2128" s="6">
        <v>44935</v>
      </c>
      <c r="E2128" s="8">
        <v>1671</v>
      </c>
      <c r="F2128" s="23" t="str">
        <f>IFERROR(VLOOKUP(C2128, 'Catégorie des articles'!$A:$D, 4, FALSE), "")</f>
        <v>BOULANGERIE</v>
      </c>
      <c r="G2128">
        <f t="shared" si="33"/>
        <v>202301</v>
      </c>
    </row>
    <row r="2129" spans="1:7" ht="12" customHeight="1">
      <c r="A2129" s="9">
        <v>44916</v>
      </c>
      <c r="B2129" s="10">
        <v>143490806</v>
      </c>
      <c r="C2129" s="3">
        <v>5540246195250</v>
      </c>
      <c r="D2129" s="9">
        <v>44935</v>
      </c>
      <c r="E2129" s="11">
        <v>168</v>
      </c>
      <c r="F2129" s="23" t="str">
        <f>IFERROR(VLOOKUP(C2129, 'Catégorie des articles'!$A:$D, 4, FALSE), "")</f>
        <v>BOULANGERIE</v>
      </c>
      <c r="G2129">
        <f t="shared" si="33"/>
        <v>202301</v>
      </c>
    </row>
    <row r="2130" spans="1:7" ht="12" customHeight="1">
      <c r="A2130" s="6">
        <v>44916</v>
      </c>
      <c r="B2130" s="7">
        <v>143490806</v>
      </c>
      <c r="C2130" s="3">
        <v>5540246196046</v>
      </c>
      <c r="D2130" s="6">
        <v>44935</v>
      </c>
      <c r="E2130" s="8">
        <v>84</v>
      </c>
      <c r="F2130" s="23" t="str">
        <f>IFERROR(VLOOKUP(C2130, 'Catégorie des articles'!$A:$D, 4, FALSE), "")</f>
        <v>BOULANGERIE</v>
      </c>
      <c r="G2130">
        <f t="shared" si="33"/>
        <v>202301</v>
      </c>
    </row>
    <row r="2131" spans="1:7" ht="12" customHeight="1">
      <c r="A2131" s="9">
        <v>44916</v>
      </c>
      <c r="B2131" s="10">
        <v>143490807</v>
      </c>
      <c r="C2131" s="3">
        <v>5540246177133</v>
      </c>
      <c r="D2131" s="9">
        <v>44938</v>
      </c>
      <c r="E2131" s="11">
        <v>5568</v>
      </c>
      <c r="F2131" s="23" t="str">
        <f>IFERROR(VLOOKUP(C2131, 'Catégorie des articles'!$A:$D, 4, FALSE), "")</f>
        <v>MIX LEGUMES</v>
      </c>
      <c r="G2131">
        <f t="shared" si="33"/>
        <v>202301</v>
      </c>
    </row>
    <row r="2132" spans="1:7" ht="12" customHeight="1">
      <c r="A2132" s="6">
        <v>44916</v>
      </c>
      <c r="B2132" s="7">
        <v>143490807</v>
      </c>
      <c r="C2132" s="3">
        <v>5540246192148</v>
      </c>
      <c r="D2132" s="6">
        <v>44938</v>
      </c>
      <c r="E2132" s="8">
        <v>23664</v>
      </c>
      <c r="F2132" s="23" t="str">
        <f>IFERROR(VLOOKUP(C2132, 'Catégorie des articles'!$A:$D, 4, FALSE), "")</f>
        <v>MIX LEGUMES</v>
      </c>
      <c r="G2132">
        <f t="shared" si="33"/>
        <v>202301</v>
      </c>
    </row>
    <row r="2133" spans="1:7" ht="12" customHeight="1">
      <c r="A2133" s="9">
        <v>44916</v>
      </c>
      <c r="B2133" s="10">
        <v>143490807</v>
      </c>
      <c r="C2133" s="3">
        <v>5540246192518</v>
      </c>
      <c r="D2133" s="9">
        <v>44938</v>
      </c>
      <c r="E2133" s="11">
        <v>3132</v>
      </c>
      <c r="F2133" s="23" t="str">
        <f>IFERROR(VLOOKUP(C2133, 'Catégorie des articles'!$A:$D, 4, FALSE), "")</f>
        <v>MIX LEGUMES</v>
      </c>
      <c r="G2133">
        <f t="shared" si="33"/>
        <v>202301</v>
      </c>
    </row>
    <row r="2134" spans="1:7" ht="12" customHeight="1">
      <c r="A2134" s="9">
        <v>44916</v>
      </c>
      <c r="B2134" s="10">
        <v>143490813</v>
      </c>
      <c r="C2134" s="3">
        <v>5540246173492</v>
      </c>
      <c r="D2134" s="9">
        <v>44931</v>
      </c>
      <c r="E2134" s="11">
        <v>8967</v>
      </c>
      <c r="F2134" s="23" t="str">
        <f>IFERROR(VLOOKUP(C2134, 'Catégorie des articles'!$A:$D, 4, FALSE), "")</f>
        <v>VOLAILLE</v>
      </c>
      <c r="G2134">
        <f t="shared" si="33"/>
        <v>202301</v>
      </c>
    </row>
    <row r="2135" spans="1:7" ht="12" customHeight="1">
      <c r="A2135" s="9">
        <v>44916</v>
      </c>
      <c r="B2135" s="10">
        <v>143490814</v>
      </c>
      <c r="C2135" s="3">
        <v>5540246196046</v>
      </c>
      <c r="D2135" s="9">
        <v>44917</v>
      </c>
      <c r="E2135" s="11">
        <v>335</v>
      </c>
      <c r="F2135" s="23" t="str">
        <f>IFERROR(VLOOKUP(C2135, 'Catégorie des articles'!$A:$D, 4, FALSE), "")</f>
        <v>BOULANGERIE</v>
      </c>
      <c r="G2135">
        <f t="shared" si="33"/>
        <v>202212</v>
      </c>
    </row>
    <row r="2136" spans="1:7" ht="12" customHeight="1">
      <c r="A2136" s="6">
        <v>44916</v>
      </c>
      <c r="B2136" s="7">
        <v>143490821</v>
      </c>
      <c r="C2136" s="3">
        <v>5540246181061</v>
      </c>
      <c r="D2136" s="6">
        <v>44930</v>
      </c>
      <c r="E2136" s="8">
        <v>6615</v>
      </c>
      <c r="F2136" s="23" t="str">
        <f>IFERROR(VLOOKUP(C2136, 'Catégorie des articles'!$A:$D, 4, FALSE), "")</f>
        <v>VOLAILLE</v>
      </c>
      <c r="G2136">
        <f t="shared" si="33"/>
        <v>202301</v>
      </c>
    </row>
    <row r="2137" spans="1:7" ht="12" customHeight="1">
      <c r="A2137" s="9">
        <v>44916</v>
      </c>
      <c r="B2137" s="10">
        <v>143490821</v>
      </c>
      <c r="C2137" s="3">
        <v>5540246185278</v>
      </c>
      <c r="D2137" s="9">
        <v>44930</v>
      </c>
      <c r="E2137" s="11">
        <v>3358</v>
      </c>
      <c r="F2137" s="23" t="str">
        <f>IFERROR(VLOOKUP(C2137, 'Catégorie des articles'!$A:$D, 4, FALSE), "")</f>
        <v>VOLAILLE</v>
      </c>
      <c r="G2137">
        <f t="shared" si="33"/>
        <v>202301</v>
      </c>
    </row>
    <row r="2138" spans="1:7" ht="12" customHeight="1">
      <c r="A2138" s="9">
        <v>44917</v>
      </c>
      <c r="B2138" s="10">
        <v>143490829</v>
      </c>
      <c r="C2138" s="3">
        <v>5540246176699</v>
      </c>
      <c r="D2138" s="9">
        <v>44921</v>
      </c>
      <c r="E2138" s="11">
        <v>6264</v>
      </c>
      <c r="F2138" s="23" t="str">
        <f>IFERROR(VLOOKUP(C2138, 'Catégorie des articles'!$A:$D, 4, FALSE), "")</f>
        <v>CREMERIE</v>
      </c>
      <c r="G2138">
        <f t="shared" si="33"/>
        <v>202212</v>
      </c>
    </row>
    <row r="2139" spans="1:7" ht="12" customHeight="1">
      <c r="A2139" s="6">
        <v>44917</v>
      </c>
      <c r="B2139" s="7">
        <v>143490830</v>
      </c>
      <c r="C2139" s="3">
        <v>5540246176295</v>
      </c>
      <c r="D2139" s="6">
        <v>44921</v>
      </c>
      <c r="E2139" s="8">
        <v>7424</v>
      </c>
      <c r="F2139" s="23" t="str">
        <f>IFERROR(VLOOKUP(C2139, 'Catégorie des articles'!$A:$D, 4, FALSE), "")</f>
        <v>CREMERIE</v>
      </c>
      <c r="G2139">
        <f t="shared" si="33"/>
        <v>202212</v>
      </c>
    </row>
    <row r="2140" spans="1:7" ht="12" customHeight="1">
      <c r="A2140" s="9">
        <v>44917</v>
      </c>
      <c r="B2140" s="10">
        <v>143490830</v>
      </c>
      <c r="C2140" s="3">
        <v>5540246187987</v>
      </c>
      <c r="D2140" s="9">
        <v>44921</v>
      </c>
      <c r="E2140" s="11">
        <v>3341</v>
      </c>
      <c r="F2140" s="23" t="str">
        <f>IFERROR(VLOOKUP(C2140, 'Catégorie des articles'!$A:$D, 4, FALSE), "")</f>
        <v>CREMERIE</v>
      </c>
      <c r="G2140">
        <f t="shared" si="33"/>
        <v>202212</v>
      </c>
    </row>
    <row r="2141" spans="1:7" ht="12" customHeight="1">
      <c r="A2141" s="9">
        <v>44917</v>
      </c>
      <c r="B2141" s="10">
        <v>143490837</v>
      </c>
      <c r="C2141" s="3">
        <v>5540246194632</v>
      </c>
      <c r="D2141" s="9">
        <v>44938</v>
      </c>
      <c r="E2141" s="11">
        <v>1420</v>
      </c>
      <c r="F2141" s="23" t="str">
        <f>IFERROR(VLOOKUP(C2141, 'Catégorie des articles'!$A:$D, 4, FALSE), "")</f>
        <v>BOULANGERIE</v>
      </c>
      <c r="G2141">
        <f t="shared" si="33"/>
        <v>202301</v>
      </c>
    </row>
    <row r="2142" spans="1:7" ht="12" customHeight="1">
      <c r="A2142" s="6">
        <v>44920</v>
      </c>
      <c r="B2142" s="7">
        <v>143500850</v>
      </c>
      <c r="C2142" s="3">
        <v>5540246174174</v>
      </c>
      <c r="D2142" s="6">
        <v>44922</v>
      </c>
      <c r="E2142" s="8">
        <v>696</v>
      </c>
      <c r="F2142" s="23" t="str">
        <f>IFERROR(VLOOKUP(C2142, 'Catégorie des articles'!$A:$D, 4, FALSE), "")</f>
        <v>CREMERIE</v>
      </c>
      <c r="G2142">
        <f t="shared" si="33"/>
        <v>202212</v>
      </c>
    </row>
    <row r="2143" spans="1:7" ht="12" customHeight="1">
      <c r="A2143" s="6">
        <v>44920</v>
      </c>
      <c r="B2143" s="7">
        <v>143500851</v>
      </c>
      <c r="C2143" s="3">
        <v>5540246187987</v>
      </c>
      <c r="D2143" s="6">
        <v>44922</v>
      </c>
      <c r="E2143" s="8">
        <v>2228</v>
      </c>
      <c r="F2143" s="23" t="str">
        <f>IFERROR(VLOOKUP(C2143, 'Catégorie des articles'!$A:$D, 4, FALSE), "")</f>
        <v>CREMERIE</v>
      </c>
      <c r="G2143">
        <f t="shared" si="33"/>
        <v>202212</v>
      </c>
    </row>
    <row r="2144" spans="1:7" ht="12" customHeight="1">
      <c r="A2144" s="9">
        <v>44920</v>
      </c>
      <c r="B2144" s="10">
        <v>143500860</v>
      </c>
      <c r="C2144" s="3">
        <v>5540246173472</v>
      </c>
      <c r="D2144" s="9">
        <v>44928</v>
      </c>
      <c r="E2144" s="11">
        <v>279</v>
      </c>
      <c r="F2144" s="23" t="str">
        <f>IFERROR(VLOOKUP(C2144, 'Catégorie des articles'!$A:$D, 4, FALSE), "")</f>
        <v>CREMERIE</v>
      </c>
      <c r="G2144">
        <f t="shared" si="33"/>
        <v>202301</v>
      </c>
    </row>
    <row r="2145" spans="1:7" ht="12" customHeight="1">
      <c r="A2145" s="6">
        <v>44920</v>
      </c>
      <c r="B2145" s="7">
        <v>143500860</v>
      </c>
      <c r="C2145" s="3">
        <v>5540246175049</v>
      </c>
      <c r="D2145" s="6">
        <v>44928</v>
      </c>
      <c r="E2145" s="8">
        <v>557</v>
      </c>
      <c r="F2145" s="23" t="str">
        <f>IFERROR(VLOOKUP(C2145, 'Catégorie des articles'!$A:$D, 4, FALSE), "")</f>
        <v>CREMERIE</v>
      </c>
      <c r="G2145">
        <f t="shared" si="33"/>
        <v>202301</v>
      </c>
    </row>
    <row r="2146" spans="1:7" ht="12" customHeight="1">
      <c r="A2146" s="9">
        <v>44920</v>
      </c>
      <c r="B2146" s="10">
        <v>143500860</v>
      </c>
      <c r="C2146" s="3">
        <v>5540246175050</v>
      </c>
      <c r="D2146" s="9">
        <v>44928</v>
      </c>
      <c r="E2146" s="11">
        <v>1114</v>
      </c>
      <c r="F2146" s="23" t="str">
        <f>IFERROR(VLOOKUP(C2146, 'Catégorie des articles'!$A:$D, 4, FALSE), "")</f>
        <v>CREMERIE</v>
      </c>
      <c r="G2146">
        <f t="shared" si="33"/>
        <v>202301</v>
      </c>
    </row>
    <row r="2147" spans="1:7" ht="12" customHeight="1">
      <c r="A2147" s="6">
        <v>44920</v>
      </c>
      <c r="B2147" s="7">
        <v>143500865</v>
      </c>
      <c r="C2147" s="3">
        <v>5540246194632</v>
      </c>
      <c r="D2147" s="6">
        <v>44942</v>
      </c>
      <c r="E2147" s="8">
        <v>919</v>
      </c>
      <c r="F2147" s="23" t="str">
        <f>IFERROR(VLOOKUP(C2147, 'Catégorie des articles'!$A:$D, 4, FALSE), "")</f>
        <v>BOULANGERIE</v>
      </c>
      <c r="G2147">
        <f t="shared" si="33"/>
        <v>202301</v>
      </c>
    </row>
    <row r="2148" spans="1:7" ht="12" customHeight="1">
      <c r="A2148" s="9">
        <v>44920</v>
      </c>
      <c r="B2148" s="10">
        <v>143500865</v>
      </c>
      <c r="C2148" s="3">
        <v>5540246195250</v>
      </c>
      <c r="D2148" s="9">
        <v>44942</v>
      </c>
      <c r="E2148" s="11">
        <v>168</v>
      </c>
      <c r="F2148" s="23" t="str">
        <f>IFERROR(VLOOKUP(C2148, 'Catégorie des articles'!$A:$D, 4, FALSE), "")</f>
        <v>BOULANGERIE</v>
      </c>
      <c r="G2148">
        <f t="shared" si="33"/>
        <v>202301</v>
      </c>
    </row>
    <row r="2149" spans="1:7" ht="12" customHeight="1">
      <c r="A2149" s="6">
        <v>44920</v>
      </c>
      <c r="B2149" s="7">
        <v>143500866</v>
      </c>
      <c r="C2149" s="3">
        <v>5540246182684</v>
      </c>
      <c r="D2149" s="6">
        <v>44942</v>
      </c>
      <c r="E2149" s="8">
        <v>372</v>
      </c>
      <c r="F2149" s="23" t="str">
        <f>IFERROR(VLOOKUP(C2149, 'Catégorie des articles'!$A:$D, 4, FALSE), "")</f>
        <v>BOULANGERIE</v>
      </c>
      <c r="G2149">
        <f t="shared" si="33"/>
        <v>202301</v>
      </c>
    </row>
    <row r="2150" spans="1:7" ht="12" customHeight="1">
      <c r="A2150" s="6">
        <v>44920</v>
      </c>
      <c r="B2150" s="7">
        <v>143500866</v>
      </c>
      <c r="C2150" s="3">
        <v>5540246194467</v>
      </c>
      <c r="D2150" s="6">
        <v>44942</v>
      </c>
      <c r="E2150" s="8">
        <v>14255</v>
      </c>
      <c r="F2150" s="23" t="str">
        <f>IFERROR(VLOOKUP(C2150, 'Catégorie des articles'!$A:$D, 4, FALSE), "")</f>
        <v>BOULANGERIE</v>
      </c>
      <c r="G2150">
        <f t="shared" si="33"/>
        <v>202301</v>
      </c>
    </row>
    <row r="2151" spans="1:7" ht="12" customHeight="1">
      <c r="A2151" s="6">
        <v>44920</v>
      </c>
      <c r="B2151" s="7">
        <v>143500873</v>
      </c>
      <c r="C2151" s="3">
        <v>5540246173906</v>
      </c>
      <c r="D2151" s="6">
        <v>44935</v>
      </c>
      <c r="E2151" s="8">
        <v>4900</v>
      </c>
      <c r="F2151" s="23" t="str">
        <f>IFERROR(VLOOKUP(C2151, 'Catégorie des articles'!$A:$D, 4, FALSE), "")</f>
        <v>VOLAILLE</v>
      </c>
      <c r="G2151">
        <f t="shared" si="33"/>
        <v>202301</v>
      </c>
    </row>
    <row r="2152" spans="1:7" ht="12" customHeight="1">
      <c r="A2152" s="9">
        <v>44920</v>
      </c>
      <c r="B2152" s="10">
        <v>143500873</v>
      </c>
      <c r="C2152" s="3">
        <v>5540246181016</v>
      </c>
      <c r="D2152" s="9">
        <v>44935</v>
      </c>
      <c r="E2152" s="11">
        <v>10691</v>
      </c>
      <c r="F2152" s="23" t="str">
        <f>IFERROR(VLOOKUP(C2152, 'Catégorie des articles'!$A:$D, 4, FALSE), "")</f>
        <v>VOLAILLE</v>
      </c>
      <c r="G2152">
        <f t="shared" si="33"/>
        <v>202301</v>
      </c>
    </row>
    <row r="2153" spans="1:7" ht="12" customHeight="1">
      <c r="A2153" s="6">
        <v>44920</v>
      </c>
      <c r="B2153" s="7">
        <v>143500874</v>
      </c>
      <c r="C2153" s="3">
        <v>5540246183130</v>
      </c>
      <c r="D2153" s="6">
        <v>44943</v>
      </c>
      <c r="E2153" s="8">
        <v>1128</v>
      </c>
      <c r="F2153" s="23" t="str">
        <f>IFERROR(VLOOKUP(C2153, 'Catégorie des articles'!$A:$D, 4, FALSE), "")</f>
        <v>MIX LEGUMES</v>
      </c>
      <c r="G2153">
        <f t="shared" si="33"/>
        <v>202301</v>
      </c>
    </row>
    <row r="2154" spans="1:7" ht="12" customHeight="1">
      <c r="A2154" s="9">
        <v>44920</v>
      </c>
      <c r="B2154" s="10">
        <v>143500874</v>
      </c>
      <c r="C2154" s="3">
        <v>5540246183455</v>
      </c>
      <c r="D2154" s="9">
        <v>44943</v>
      </c>
      <c r="E2154" s="11">
        <v>1044</v>
      </c>
      <c r="F2154" s="23" t="str">
        <f>IFERROR(VLOOKUP(C2154, 'Catégorie des articles'!$A:$D, 4, FALSE), "")</f>
        <v>MIX LEGUMES</v>
      </c>
      <c r="G2154">
        <f t="shared" si="33"/>
        <v>202301</v>
      </c>
    </row>
    <row r="2155" spans="1:7" ht="12" customHeight="1">
      <c r="A2155" s="6">
        <v>44920</v>
      </c>
      <c r="B2155" s="7">
        <v>143500874</v>
      </c>
      <c r="C2155" s="3">
        <v>5540246183538</v>
      </c>
      <c r="D2155" s="6">
        <v>44943</v>
      </c>
      <c r="E2155" s="8">
        <v>919</v>
      </c>
      <c r="F2155" s="23" t="str">
        <f>IFERROR(VLOOKUP(C2155, 'Catégorie des articles'!$A:$D, 4, FALSE), "")</f>
        <v>MIX LEGUMES</v>
      </c>
      <c r="G2155">
        <f t="shared" si="33"/>
        <v>202301</v>
      </c>
    </row>
    <row r="2156" spans="1:7" ht="12" customHeight="1">
      <c r="A2156" s="6">
        <v>44920</v>
      </c>
      <c r="B2156" s="7">
        <v>143500876</v>
      </c>
      <c r="C2156" s="3">
        <v>5540246183587</v>
      </c>
      <c r="D2156" s="6">
        <v>44944</v>
      </c>
      <c r="E2156" s="8">
        <v>502</v>
      </c>
      <c r="F2156" s="23" t="str">
        <f>IFERROR(VLOOKUP(C2156, 'Catégorie des articles'!$A:$D, 4, FALSE), "")</f>
        <v>MIX LEGUMES</v>
      </c>
      <c r="G2156">
        <f t="shared" si="33"/>
        <v>202301</v>
      </c>
    </row>
    <row r="2157" spans="1:7" ht="12" customHeight="1">
      <c r="A2157" s="9">
        <v>44920</v>
      </c>
      <c r="B2157" s="10">
        <v>143500876</v>
      </c>
      <c r="C2157" s="3">
        <v>5540246183589</v>
      </c>
      <c r="D2157" s="9">
        <v>44944</v>
      </c>
      <c r="E2157" s="11">
        <v>1300</v>
      </c>
      <c r="F2157" s="23" t="str">
        <f>IFERROR(VLOOKUP(C2157, 'Catégorie des articles'!$A:$D, 4, FALSE), "")</f>
        <v>MIX LEGUMES</v>
      </c>
      <c r="G2157">
        <f t="shared" si="33"/>
        <v>202301</v>
      </c>
    </row>
    <row r="2158" spans="1:7" ht="12" customHeight="1">
      <c r="A2158" s="6">
        <v>44920</v>
      </c>
      <c r="B2158" s="7">
        <v>143500876</v>
      </c>
      <c r="C2158" s="3">
        <v>5540246186352</v>
      </c>
      <c r="D2158" s="6">
        <v>44944</v>
      </c>
      <c r="E2158" s="8">
        <v>940</v>
      </c>
      <c r="F2158" s="23" t="str">
        <f>IFERROR(VLOOKUP(C2158, 'Catégorie des articles'!$A:$D, 4, FALSE), "")</f>
        <v>MIX LEGUMES</v>
      </c>
      <c r="G2158">
        <f t="shared" si="33"/>
        <v>202301</v>
      </c>
    </row>
    <row r="2159" spans="1:7" ht="12" customHeight="1">
      <c r="A2159" s="6">
        <v>44921</v>
      </c>
      <c r="B2159" s="7">
        <v>143500892</v>
      </c>
      <c r="C2159" s="3">
        <v>5540246188175</v>
      </c>
      <c r="D2159" s="6">
        <v>44923</v>
      </c>
      <c r="E2159" s="8">
        <v>348</v>
      </c>
      <c r="F2159" s="23" t="str">
        <f>IFERROR(VLOOKUP(C2159, 'Catégorie des articles'!$A:$D, 4, FALSE), "")</f>
        <v>CREMERIE</v>
      </c>
      <c r="G2159">
        <f t="shared" si="33"/>
        <v>202212</v>
      </c>
    </row>
    <row r="2160" spans="1:7" ht="12" customHeight="1">
      <c r="A2160" s="9">
        <v>44921</v>
      </c>
      <c r="B2160" s="10">
        <v>143500892</v>
      </c>
      <c r="C2160" s="3">
        <v>5540246192102</v>
      </c>
      <c r="D2160" s="9">
        <v>44923</v>
      </c>
      <c r="E2160" s="11">
        <v>4009</v>
      </c>
      <c r="F2160" s="23" t="str">
        <f>IFERROR(VLOOKUP(C2160, 'Catégorie des articles'!$A:$D, 4, FALSE), "")</f>
        <v>CREMERIE</v>
      </c>
      <c r="G2160">
        <f t="shared" si="33"/>
        <v>202212</v>
      </c>
    </row>
    <row r="2161" spans="1:7" ht="12" customHeight="1">
      <c r="A2161" s="6">
        <v>44922</v>
      </c>
      <c r="B2161" s="7">
        <v>143500931</v>
      </c>
      <c r="C2161" s="3">
        <v>5540246171933</v>
      </c>
      <c r="D2161" s="6">
        <v>44924</v>
      </c>
      <c r="E2161" s="8">
        <v>1671</v>
      </c>
      <c r="F2161" s="23" t="str">
        <f>IFERROR(VLOOKUP(C2161, 'Catégorie des articles'!$A:$D, 4, FALSE), "")</f>
        <v>CREMERIE</v>
      </c>
      <c r="G2161">
        <f t="shared" si="33"/>
        <v>202212</v>
      </c>
    </row>
    <row r="2162" spans="1:7" ht="12" customHeight="1">
      <c r="A2162" s="9">
        <v>44922</v>
      </c>
      <c r="B2162" s="10">
        <v>143500931</v>
      </c>
      <c r="C2162" s="3">
        <v>5540246176294</v>
      </c>
      <c r="D2162" s="9">
        <v>44924</v>
      </c>
      <c r="E2162" s="11">
        <v>1114</v>
      </c>
      <c r="F2162" s="23" t="str">
        <f>IFERROR(VLOOKUP(C2162, 'Catégorie des articles'!$A:$D, 4, FALSE), "")</f>
        <v>CREMERIE</v>
      </c>
      <c r="G2162">
        <f t="shared" si="33"/>
        <v>202212</v>
      </c>
    </row>
    <row r="2163" spans="1:7" ht="12" customHeight="1">
      <c r="A2163" s="6">
        <v>44922</v>
      </c>
      <c r="B2163" s="7">
        <v>143500931</v>
      </c>
      <c r="C2163" s="3">
        <v>5540246176295</v>
      </c>
      <c r="D2163" s="6">
        <v>44924</v>
      </c>
      <c r="E2163" s="8">
        <v>3712</v>
      </c>
      <c r="F2163" s="23" t="str">
        <f>IFERROR(VLOOKUP(C2163, 'Catégorie des articles'!$A:$D, 4, FALSE), "")</f>
        <v>CREMERIE</v>
      </c>
      <c r="G2163">
        <f t="shared" si="33"/>
        <v>202212</v>
      </c>
    </row>
    <row r="2164" spans="1:7" ht="12" customHeight="1">
      <c r="A2164" s="6">
        <v>44922</v>
      </c>
      <c r="B2164" s="7">
        <v>143500931</v>
      </c>
      <c r="C2164" s="3">
        <v>5540246187987</v>
      </c>
      <c r="D2164" s="6">
        <v>44924</v>
      </c>
      <c r="E2164" s="8">
        <v>2228</v>
      </c>
      <c r="F2164" s="23" t="str">
        <f>IFERROR(VLOOKUP(C2164, 'Catégorie des articles'!$A:$D, 4, FALSE), "")</f>
        <v>CREMERIE</v>
      </c>
      <c r="G2164">
        <f t="shared" si="33"/>
        <v>202212</v>
      </c>
    </row>
    <row r="2165" spans="1:7" ht="12" customHeight="1">
      <c r="A2165" s="9">
        <v>44922</v>
      </c>
      <c r="B2165" s="10">
        <v>143500936</v>
      </c>
      <c r="C2165" s="3">
        <v>5540246185429</v>
      </c>
      <c r="D2165" s="9">
        <v>44927</v>
      </c>
      <c r="E2165" s="11">
        <v>140</v>
      </c>
      <c r="F2165" s="23" t="str">
        <f>IFERROR(VLOOKUP(C2165, 'Catégorie des articles'!$A:$D, 4, FALSE), "")</f>
        <v>CREMERIE</v>
      </c>
      <c r="G2165">
        <f t="shared" si="33"/>
        <v>202301</v>
      </c>
    </row>
    <row r="2166" spans="1:7" ht="12" customHeight="1">
      <c r="A2166" s="6">
        <v>44922</v>
      </c>
      <c r="B2166" s="7">
        <v>143500942</v>
      </c>
      <c r="C2166" s="3">
        <v>5540246191598</v>
      </c>
      <c r="D2166" s="6">
        <v>44927</v>
      </c>
      <c r="E2166" s="8">
        <v>1601</v>
      </c>
      <c r="F2166" s="23" t="str">
        <f>IFERROR(VLOOKUP(C2166, 'Catégorie des articles'!$A:$D, 4, FALSE), "")</f>
        <v>CREMERIE</v>
      </c>
      <c r="G2166">
        <f t="shared" si="33"/>
        <v>202301</v>
      </c>
    </row>
    <row r="2167" spans="1:7" ht="12" customHeight="1">
      <c r="A2167" s="9">
        <v>44922</v>
      </c>
      <c r="B2167" s="10">
        <v>143500943</v>
      </c>
      <c r="C2167" s="3">
        <v>5540246191594</v>
      </c>
      <c r="D2167" s="9">
        <v>44927</v>
      </c>
      <c r="E2167" s="11">
        <v>1504</v>
      </c>
      <c r="F2167" s="23" t="str">
        <f>IFERROR(VLOOKUP(C2167, 'Catégorie des articles'!$A:$D, 4, FALSE), "")</f>
        <v>CREMERIE</v>
      </c>
      <c r="G2167">
        <f t="shared" si="33"/>
        <v>202301</v>
      </c>
    </row>
    <row r="2168" spans="1:7" ht="12" customHeight="1">
      <c r="A2168" s="6">
        <v>44922</v>
      </c>
      <c r="B2168" s="7">
        <v>143500947</v>
      </c>
      <c r="C2168" s="3">
        <v>5540246191596</v>
      </c>
      <c r="D2168" s="6">
        <v>44941</v>
      </c>
      <c r="E2168" s="8">
        <v>149</v>
      </c>
      <c r="F2168" s="23" t="str">
        <f>IFERROR(VLOOKUP(C2168, 'Catégorie des articles'!$A:$D, 4, FALSE), "")</f>
        <v>BOULANGERIE</v>
      </c>
      <c r="G2168">
        <f t="shared" si="33"/>
        <v>202301</v>
      </c>
    </row>
    <row r="2169" spans="1:7" ht="12" customHeight="1">
      <c r="A2169" s="9">
        <v>44922</v>
      </c>
      <c r="B2169" s="10">
        <v>143500947</v>
      </c>
      <c r="C2169" s="3">
        <v>5540246196466</v>
      </c>
      <c r="D2169" s="9">
        <v>44941</v>
      </c>
      <c r="E2169" s="11">
        <v>594</v>
      </c>
      <c r="F2169" s="23" t="str">
        <f>IFERROR(VLOOKUP(C2169, 'Catégorie des articles'!$A:$D, 4, FALSE), "")</f>
        <v>BOULANGERIE</v>
      </c>
      <c r="G2169">
        <f t="shared" si="33"/>
        <v>202301</v>
      </c>
    </row>
    <row r="2170" spans="1:7" ht="12" customHeight="1">
      <c r="A2170" s="9">
        <v>44923</v>
      </c>
      <c r="B2170" s="10">
        <v>143500967</v>
      </c>
      <c r="C2170" s="3">
        <v>5540246172978</v>
      </c>
      <c r="D2170" s="9">
        <v>44927</v>
      </c>
      <c r="E2170" s="11">
        <v>1671</v>
      </c>
      <c r="F2170" s="23" t="str">
        <f>IFERROR(VLOOKUP(C2170, 'Catégorie des articles'!$A:$D, 4, FALSE), "")</f>
        <v>CREMERIE</v>
      </c>
      <c r="G2170">
        <f t="shared" si="33"/>
        <v>202301</v>
      </c>
    </row>
    <row r="2171" spans="1:7" ht="12" customHeight="1">
      <c r="A2171" s="6">
        <v>44923</v>
      </c>
      <c r="B2171" s="7">
        <v>143500967</v>
      </c>
      <c r="C2171" s="3">
        <v>5540246176699</v>
      </c>
      <c r="D2171" s="6">
        <v>44927</v>
      </c>
      <c r="E2171" s="8">
        <v>12528</v>
      </c>
      <c r="F2171" s="23" t="str">
        <f>IFERROR(VLOOKUP(C2171, 'Catégorie des articles'!$A:$D, 4, FALSE), "")</f>
        <v>CREMERIE</v>
      </c>
      <c r="G2171">
        <f t="shared" si="33"/>
        <v>202301</v>
      </c>
    </row>
    <row r="2172" spans="1:7" ht="12" customHeight="1">
      <c r="A2172" s="9">
        <v>44923</v>
      </c>
      <c r="B2172" s="10">
        <v>143500969</v>
      </c>
      <c r="C2172" s="3">
        <v>5540246171933</v>
      </c>
      <c r="D2172" s="9">
        <v>44927</v>
      </c>
      <c r="E2172" s="11">
        <v>1671</v>
      </c>
      <c r="F2172" s="23" t="str">
        <f>IFERROR(VLOOKUP(C2172, 'Catégorie des articles'!$A:$D, 4, FALSE), "")</f>
        <v>CREMERIE</v>
      </c>
      <c r="G2172">
        <f t="shared" si="33"/>
        <v>202301</v>
      </c>
    </row>
    <row r="2173" spans="1:7" ht="12" customHeight="1">
      <c r="A2173" s="9">
        <v>44923</v>
      </c>
      <c r="B2173" s="10">
        <v>143500969</v>
      </c>
      <c r="C2173" s="3">
        <v>5540246187987</v>
      </c>
      <c r="D2173" s="9">
        <v>44927</v>
      </c>
      <c r="E2173" s="11">
        <v>5568</v>
      </c>
      <c r="F2173" s="23" t="str">
        <f>IFERROR(VLOOKUP(C2173, 'Catégorie des articles'!$A:$D, 4, FALSE), "")</f>
        <v>CREMERIE</v>
      </c>
      <c r="G2173">
        <f t="shared" si="33"/>
        <v>202301</v>
      </c>
    </row>
    <row r="2174" spans="1:7" ht="12" customHeight="1">
      <c r="A2174" s="6">
        <v>44923</v>
      </c>
      <c r="B2174" s="7">
        <v>143500969</v>
      </c>
      <c r="C2174" s="3">
        <v>5540246188200</v>
      </c>
      <c r="D2174" s="6">
        <v>44927</v>
      </c>
      <c r="E2174" s="8">
        <v>2228</v>
      </c>
      <c r="F2174" s="23" t="str">
        <f>IFERROR(VLOOKUP(C2174, 'Catégorie des articles'!$A:$D, 4, FALSE), "")</f>
        <v>CREMERIE</v>
      </c>
      <c r="G2174">
        <f t="shared" si="33"/>
        <v>202301</v>
      </c>
    </row>
    <row r="2175" spans="1:7" ht="12" customHeight="1">
      <c r="A2175" s="9">
        <v>44923</v>
      </c>
      <c r="B2175" s="10">
        <v>143500973</v>
      </c>
      <c r="C2175" s="3">
        <v>5540246185278</v>
      </c>
      <c r="D2175" s="9">
        <v>44924</v>
      </c>
      <c r="E2175" s="11">
        <v>1120</v>
      </c>
      <c r="F2175" s="23" t="str">
        <f>IFERROR(VLOOKUP(C2175, 'Catégorie des articles'!$A:$D, 4, FALSE), "")</f>
        <v>VOLAILLE</v>
      </c>
      <c r="G2175">
        <f t="shared" si="33"/>
        <v>202212</v>
      </c>
    </row>
    <row r="2176" spans="1:7" ht="12" customHeight="1">
      <c r="A2176" s="9">
        <v>44923</v>
      </c>
      <c r="B2176" s="10">
        <v>143500984</v>
      </c>
      <c r="C2176" s="3">
        <v>5540246194632</v>
      </c>
      <c r="D2176" s="9">
        <v>44944</v>
      </c>
      <c r="E2176" s="11">
        <v>2005</v>
      </c>
      <c r="F2176" s="23" t="str">
        <f>IFERROR(VLOOKUP(C2176, 'Catégorie des articles'!$A:$D, 4, FALSE), "")</f>
        <v>BOULANGERIE</v>
      </c>
      <c r="G2176">
        <f t="shared" si="33"/>
        <v>202301</v>
      </c>
    </row>
    <row r="2177" spans="1:7" ht="12" customHeight="1">
      <c r="A2177" s="9">
        <v>44923</v>
      </c>
      <c r="B2177" s="10">
        <v>143500987</v>
      </c>
      <c r="C2177" s="3">
        <v>5540246192148</v>
      </c>
      <c r="D2177" s="9">
        <v>44941</v>
      </c>
      <c r="E2177" s="11">
        <v>45936</v>
      </c>
      <c r="F2177" s="23" t="str">
        <f>IFERROR(VLOOKUP(C2177, 'Catégorie des articles'!$A:$D, 4, FALSE), "")</f>
        <v>MIX LEGUMES</v>
      </c>
      <c r="G2177">
        <f t="shared" si="33"/>
        <v>202301</v>
      </c>
    </row>
    <row r="2178" spans="1:7" ht="12" customHeight="1">
      <c r="A2178" s="9">
        <v>44923</v>
      </c>
      <c r="B2178" s="10">
        <v>143500988</v>
      </c>
      <c r="C2178" s="3">
        <v>5540246171759</v>
      </c>
      <c r="D2178" s="9">
        <v>44943</v>
      </c>
      <c r="E2178" s="11">
        <v>7308</v>
      </c>
      <c r="F2178" s="23" t="str">
        <f>IFERROR(VLOOKUP(C2178, 'Catégorie des articles'!$A:$D, 4, FALSE), "")</f>
        <v>MIX LEGUMES</v>
      </c>
      <c r="G2178">
        <f t="shared" si="33"/>
        <v>202301</v>
      </c>
    </row>
    <row r="2179" spans="1:7" ht="12" customHeight="1">
      <c r="A2179" s="6">
        <v>44923</v>
      </c>
      <c r="B2179" s="7">
        <v>143500988</v>
      </c>
      <c r="C2179" s="3">
        <v>5540246177133</v>
      </c>
      <c r="D2179" s="6">
        <v>44943</v>
      </c>
      <c r="E2179" s="8">
        <v>8352</v>
      </c>
      <c r="F2179" s="23" t="str">
        <f>IFERROR(VLOOKUP(C2179, 'Catégorie des articles'!$A:$D, 4, FALSE), "")</f>
        <v>MIX LEGUMES</v>
      </c>
      <c r="G2179">
        <f t="shared" ref="G2179:G2242" si="34">YEAR(D2179)*100 + MONTH(D2179)</f>
        <v>202301</v>
      </c>
    </row>
    <row r="2180" spans="1:7" ht="12" customHeight="1">
      <c r="A2180" s="9">
        <v>44923</v>
      </c>
      <c r="B2180" s="10">
        <v>143500988</v>
      </c>
      <c r="C2180" s="3">
        <v>5540246192518</v>
      </c>
      <c r="D2180" s="9">
        <v>44943</v>
      </c>
      <c r="E2180" s="11">
        <v>5220</v>
      </c>
      <c r="F2180" s="23" t="str">
        <f>IFERROR(VLOOKUP(C2180, 'Catégorie des articles'!$A:$D, 4, FALSE), "")</f>
        <v>MIX LEGUMES</v>
      </c>
      <c r="G2180">
        <f t="shared" si="34"/>
        <v>202301</v>
      </c>
    </row>
    <row r="2181" spans="1:7" ht="12" customHeight="1">
      <c r="A2181" s="9">
        <v>44924</v>
      </c>
      <c r="B2181" s="10">
        <v>143501007</v>
      </c>
      <c r="C2181" s="3">
        <v>5540246172539</v>
      </c>
      <c r="D2181" s="9">
        <v>44928</v>
      </c>
      <c r="E2181" s="11">
        <v>47</v>
      </c>
      <c r="F2181" s="23" t="str">
        <f>IFERROR(VLOOKUP(C2181, 'Catégorie des articles'!$A:$D, 4, FALSE), "")</f>
        <v>CREMERIE</v>
      </c>
      <c r="G2181">
        <f t="shared" si="34"/>
        <v>202301</v>
      </c>
    </row>
    <row r="2182" spans="1:7" ht="12" customHeight="1">
      <c r="A2182" s="6">
        <v>44924</v>
      </c>
      <c r="B2182" s="7">
        <v>143501007</v>
      </c>
      <c r="C2182" s="3">
        <v>5540246172669</v>
      </c>
      <c r="D2182" s="6">
        <v>44928</v>
      </c>
      <c r="E2182" s="8">
        <v>557</v>
      </c>
      <c r="F2182" s="23" t="str">
        <f>IFERROR(VLOOKUP(C2182, 'Catégorie des articles'!$A:$D, 4, FALSE), "")</f>
        <v>CREMERIE</v>
      </c>
      <c r="G2182">
        <f t="shared" si="34"/>
        <v>202301</v>
      </c>
    </row>
    <row r="2183" spans="1:7" ht="12" customHeight="1">
      <c r="A2183" s="9">
        <v>44924</v>
      </c>
      <c r="B2183" s="10">
        <v>143501007</v>
      </c>
      <c r="C2183" s="3">
        <v>5540246172978</v>
      </c>
      <c r="D2183" s="9">
        <v>44928</v>
      </c>
      <c r="E2183" s="11">
        <v>1671</v>
      </c>
      <c r="F2183" s="23" t="str">
        <f>IFERROR(VLOOKUP(C2183, 'Catégorie des articles'!$A:$D, 4, FALSE), "")</f>
        <v>CREMERIE</v>
      </c>
      <c r="G2183">
        <f t="shared" si="34"/>
        <v>202301</v>
      </c>
    </row>
    <row r="2184" spans="1:7" ht="12" customHeight="1">
      <c r="A2184" s="9">
        <v>44924</v>
      </c>
      <c r="B2184" s="10">
        <v>143501008</v>
      </c>
      <c r="C2184" s="3">
        <v>5540246191598</v>
      </c>
      <c r="D2184" s="9">
        <v>44928</v>
      </c>
      <c r="E2184" s="11">
        <v>1601</v>
      </c>
      <c r="F2184" s="23" t="str">
        <f>IFERROR(VLOOKUP(C2184, 'Catégorie des articles'!$A:$D, 4, FALSE), "")</f>
        <v>CREMERIE</v>
      </c>
      <c r="G2184">
        <f t="shared" si="34"/>
        <v>202301</v>
      </c>
    </row>
    <row r="2185" spans="1:7" ht="12" customHeight="1">
      <c r="A2185" s="9">
        <v>44924</v>
      </c>
      <c r="B2185" s="10">
        <v>143501009</v>
      </c>
      <c r="C2185" s="3">
        <v>5540246171933</v>
      </c>
      <c r="D2185" s="9">
        <v>44928</v>
      </c>
      <c r="E2185" s="11">
        <v>1671</v>
      </c>
      <c r="F2185" s="23" t="str">
        <f>IFERROR(VLOOKUP(C2185, 'Catégorie des articles'!$A:$D, 4, FALSE), "")</f>
        <v>CREMERIE</v>
      </c>
      <c r="G2185">
        <f t="shared" si="34"/>
        <v>202301</v>
      </c>
    </row>
    <row r="2186" spans="1:7" ht="12" customHeight="1">
      <c r="A2186" s="6">
        <v>44924</v>
      </c>
      <c r="B2186" s="7">
        <v>143501009</v>
      </c>
      <c r="C2186" s="3">
        <v>5540246176294</v>
      </c>
      <c r="D2186" s="6">
        <v>44928</v>
      </c>
      <c r="E2186" s="8">
        <v>2228</v>
      </c>
      <c r="F2186" s="23" t="str">
        <f>IFERROR(VLOOKUP(C2186, 'Catégorie des articles'!$A:$D, 4, FALSE), "")</f>
        <v>CREMERIE</v>
      </c>
      <c r="G2186">
        <f t="shared" si="34"/>
        <v>202301</v>
      </c>
    </row>
    <row r="2187" spans="1:7" ht="12" customHeight="1">
      <c r="A2187" s="9">
        <v>44924</v>
      </c>
      <c r="B2187" s="10">
        <v>143501009</v>
      </c>
      <c r="C2187" s="3">
        <v>5540246176295</v>
      </c>
      <c r="D2187" s="9">
        <v>44928</v>
      </c>
      <c r="E2187" s="11">
        <v>4455</v>
      </c>
      <c r="F2187" s="23" t="str">
        <f>IFERROR(VLOOKUP(C2187, 'Catégorie des articles'!$A:$D, 4, FALSE), "")</f>
        <v>CREMERIE</v>
      </c>
      <c r="G2187">
        <f t="shared" si="34"/>
        <v>202301</v>
      </c>
    </row>
    <row r="2188" spans="1:7" ht="12" customHeight="1">
      <c r="A2188" s="9">
        <v>44924</v>
      </c>
      <c r="B2188" s="10">
        <v>143501009</v>
      </c>
      <c r="C2188" s="3">
        <v>5540246187987</v>
      </c>
      <c r="D2188" s="9">
        <v>44928</v>
      </c>
      <c r="E2188" s="11">
        <v>4455</v>
      </c>
      <c r="F2188" s="23" t="str">
        <f>IFERROR(VLOOKUP(C2188, 'Catégorie des articles'!$A:$D, 4, FALSE), "")</f>
        <v>CREMERIE</v>
      </c>
      <c r="G2188">
        <f t="shared" si="34"/>
        <v>202301</v>
      </c>
    </row>
    <row r="2189" spans="1:7" ht="12" customHeight="1">
      <c r="A2189" s="6">
        <v>44924</v>
      </c>
      <c r="B2189" s="7">
        <v>143501009</v>
      </c>
      <c r="C2189" s="3">
        <v>5540246188200</v>
      </c>
      <c r="D2189" s="6">
        <v>44928</v>
      </c>
      <c r="E2189" s="8">
        <v>1485</v>
      </c>
      <c r="F2189" s="23" t="str">
        <f>IFERROR(VLOOKUP(C2189, 'Catégorie des articles'!$A:$D, 4, FALSE), "")</f>
        <v>CREMERIE</v>
      </c>
      <c r="G2189">
        <f t="shared" si="34"/>
        <v>202301</v>
      </c>
    </row>
    <row r="2190" spans="1:7" ht="12" customHeight="1">
      <c r="A2190" s="6">
        <v>44924</v>
      </c>
      <c r="B2190" s="7">
        <v>143501014</v>
      </c>
      <c r="C2190" s="3">
        <v>5540246186325</v>
      </c>
      <c r="D2190" s="6">
        <v>44930</v>
      </c>
      <c r="E2190" s="8">
        <v>140</v>
      </c>
      <c r="F2190" s="23" t="str">
        <f>IFERROR(VLOOKUP(C2190, 'Catégorie des articles'!$A:$D, 4, FALSE), "")</f>
        <v>CREMERIE</v>
      </c>
      <c r="G2190">
        <f t="shared" si="34"/>
        <v>202301</v>
      </c>
    </row>
    <row r="2191" spans="1:7" ht="12" customHeight="1">
      <c r="A2191" s="6">
        <v>44924</v>
      </c>
      <c r="B2191" s="7">
        <v>143501015</v>
      </c>
      <c r="C2191" s="3">
        <v>5540246188175</v>
      </c>
      <c r="D2191" s="6">
        <v>44928</v>
      </c>
      <c r="E2191" s="8">
        <v>696</v>
      </c>
      <c r="F2191" s="23" t="str">
        <f>IFERROR(VLOOKUP(C2191, 'Catégorie des articles'!$A:$D, 4, FALSE), "")</f>
        <v>CREMERIE</v>
      </c>
      <c r="G2191">
        <f t="shared" si="34"/>
        <v>202301</v>
      </c>
    </row>
    <row r="2192" spans="1:7" ht="12" customHeight="1">
      <c r="A2192" s="9">
        <v>44924</v>
      </c>
      <c r="B2192" s="10">
        <v>143501016</v>
      </c>
      <c r="C2192" s="3">
        <v>5540246196800</v>
      </c>
      <c r="D2192" s="9">
        <v>44929</v>
      </c>
      <c r="E2192" s="11">
        <v>669</v>
      </c>
      <c r="F2192" s="23" t="str">
        <f>IFERROR(VLOOKUP(C2192, 'Catégorie des articles'!$A:$D, 4, FALSE), "")</f>
        <v>MIX LEGUMES</v>
      </c>
      <c r="G2192">
        <f t="shared" si="34"/>
        <v>202301</v>
      </c>
    </row>
    <row r="2193" spans="1:7" ht="12" customHeight="1">
      <c r="A2193" s="9">
        <v>44924</v>
      </c>
      <c r="B2193" s="10">
        <v>143501018</v>
      </c>
      <c r="C2193" s="3">
        <v>5540246173472</v>
      </c>
      <c r="D2193" s="9">
        <v>44931</v>
      </c>
      <c r="E2193" s="11">
        <v>279</v>
      </c>
      <c r="F2193" s="23" t="str">
        <f>IFERROR(VLOOKUP(C2193, 'Catégorie des articles'!$A:$D, 4, FALSE), "")</f>
        <v>CREMERIE</v>
      </c>
      <c r="G2193">
        <f t="shared" si="34"/>
        <v>202301</v>
      </c>
    </row>
    <row r="2194" spans="1:7" ht="12" customHeight="1">
      <c r="A2194" s="6">
        <v>44924</v>
      </c>
      <c r="B2194" s="7">
        <v>143501018</v>
      </c>
      <c r="C2194" s="3">
        <v>5540246174095</v>
      </c>
      <c r="D2194" s="6">
        <v>44931</v>
      </c>
      <c r="E2194" s="8">
        <v>279</v>
      </c>
      <c r="F2194" s="23" t="str">
        <f>IFERROR(VLOOKUP(C2194, 'Catégorie des articles'!$A:$D, 4, FALSE), "")</f>
        <v>CREMERIE</v>
      </c>
      <c r="G2194">
        <f t="shared" si="34"/>
        <v>202301</v>
      </c>
    </row>
    <row r="2195" spans="1:7" ht="12" customHeight="1">
      <c r="A2195" s="9">
        <v>44924</v>
      </c>
      <c r="B2195" s="10">
        <v>143501018</v>
      </c>
      <c r="C2195" s="3">
        <v>5540246175049</v>
      </c>
      <c r="D2195" s="9">
        <v>44931</v>
      </c>
      <c r="E2195" s="11">
        <v>836</v>
      </c>
      <c r="F2195" s="23" t="str">
        <f>IFERROR(VLOOKUP(C2195, 'Catégorie des articles'!$A:$D, 4, FALSE), "")</f>
        <v>CREMERIE</v>
      </c>
      <c r="G2195">
        <f t="shared" si="34"/>
        <v>202301</v>
      </c>
    </row>
    <row r="2196" spans="1:7" ht="12" customHeight="1">
      <c r="A2196" s="6">
        <v>44924</v>
      </c>
      <c r="B2196" s="7">
        <v>143501018</v>
      </c>
      <c r="C2196" s="3">
        <v>5540246175050</v>
      </c>
      <c r="D2196" s="6">
        <v>44931</v>
      </c>
      <c r="E2196" s="8">
        <v>557</v>
      </c>
      <c r="F2196" s="23" t="str">
        <f>IFERROR(VLOOKUP(C2196, 'Catégorie des articles'!$A:$D, 4, FALSE), "")</f>
        <v>CREMERIE</v>
      </c>
      <c r="G2196">
        <f t="shared" si="34"/>
        <v>202301</v>
      </c>
    </row>
    <row r="2197" spans="1:7" ht="12" customHeight="1">
      <c r="A2197" s="6">
        <v>44927</v>
      </c>
      <c r="B2197" s="7">
        <v>143511044</v>
      </c>
      <c r="C2197" s="3">
        <v>5540246174174</v>
      </c>
      <c r="D2197" s="6">
        <v>44929</v>
      </c>
      <c r="E2197" s="8">
        <v>464</v>
      </c>
      <c r="F2197" s="23" t="str">
        <f>IFERROR(VLOOKUP(C2197, 'Catégorie des articles'!$A:$D, 4, FALSE), "")</f>
        <v>CREMERIE</v>
      </c>
      <c r="G2197">
        <f t="shared" si="34"/>
        <v>202301</v>
      </c>
    </row>
    <row r="2198" spans="1:7" ht="12" customHeight="1">
      <c r="A2198" s="6">
        <v>44927</v>
      </c>
      <c r="B2198" s="7">
        <v>143511045</v>
      </c>
      <c r="C2198" s="3">
        <v>5540246176295</v>
      </c>
      <c r="D2198" s="6">
        <v>44929</v>
      </c>
      <c r="E2198" s="8">
        <v>7424</v>
      </c>
      <c r="F2198" s="23" t="str">
        <f>IFERROR(VLOOKUP(C2198, 'Catégorie des articles'!$A:$D, 4, FALSE), "")</f>
        <v>CREMERIE</v>
      </c>
      <c r="G2198">
        <f t="shared" si="34"/>
        <v>202301</v>
      </c>
    </row>
    <row r="2199" spans="1:7" ht="12" customHeight="1">
      <c r="A2199" s="9">
        <v>44927</v>
      </c>
      <c r="B2199" s="10">
        <v>143511045</v>
      </c>
      <c r="C2199" s="3">
        <v>5540246188200</v>
      </c>
      <c r="D2199" s="9">
        <v>44929</v>
      </c>
      <c r="E2199" s="11">
        <v>2228</v>
      </c>
      <c r="F2199" s="23" t="str">
        <f>IFERROR(VLOOKUP(C2199, 'Catégorie des articles'!$A:$D, 4, FALSE), "")</f>
        <v>CREMERIE</v>
      </c>
      <c r="G2199">
        <f t="shared" si="34"/>
        <v>202301</v>
      </c>
    </row>
    <row r="2200" spans="1:7" ht="12" customHeight="1">
      <c r="A2200" s="9">
        <v>44927</v>
      </c>
      <c r="B2200" s="10">
        <v>143511052</v>
      </c>
      <c r="C2200" s="3">
        <v>5540246175049</v>
      </c>
      <c r="D2200" s="9">
        <v>44935</v>
      </c>
      <c r="E2200" s="11">
        <v>1114</v>
      </c>
      <c r="F2200" s="23" t="str">
        <f>IFERROR(VLOOKUP(C2200, 'Catégorie des articles'!$A:$D, 4, FALSE), "")</f>
        <v>CREMERIE</v>
      </c>
      <c r="G2200">
        <f t="shared" si="34"/>
        <v>202301</v>
      </c>
    </row>
    <row r="2201" spans="1:7" ht="12" customHeight="1">
      <c r="A2201" s="6">
        <v>44927</v>
      </c>
      <c r="B2201" s="7">
        <v>143511052</v>
      </c>
      <c r="C2201" s="3">
        <v>5540246175050</v>
      </c>
      <c r="D2201" s="6">
        <v>44935</v>
      </c>
      <c r="E2201" s="8">
        <v>557</v>
      </c>
      <c r="F2201" s="23" t="str">
        <f>IFERROR(VLOOKUP(C2201, 'Catégorie des articles'!$A:$D, 4, FALSE), "")</f>
        <v>CREMERIE</v>
      </c>
      <c r="G2201">
        <f t="shared" si="34"/>
        <v>202301</v>
      </c>
    </row>
    <row r="2202" spans="1:7" ht="12" customHeight="1">
      <c r="A2202" s="9">
        <v>44927</v>
      </c>
      <c r="B2202" s="10">
        <v>143511064</v>
      </c>
      <c r="C2202" s="3">
        <v>5540246194632</v>
      </c>
      <c r="D2202" s="9">
        <v>44948</v>
      </c>
      <c r="E2202" s="11">
        <v>2757</v>
      </c>
      <c r="F2202" s="23" t="str">
        <f>IFERROR(VLOOKUP(C2202, 'Catégorie des articles'!$A:$D, 4, FALSE), "")</f>
        <v>BOULANGERIE</v>
      </c>
      <c r="G2202">
        <f t="shared" si="34"/>
        <v>202301</v>
      </c>
    </row>
    <row r="2203" spans="1:7" ht="12" customHeight="1">
      <c r="A2203" s="6">
        <v>44927</v>
      </c>
      <c r="B2203" s="7">
        <v>143511068</v>
      </c>
      <c r="C2203" s="3">
        <v>5540246192209</v>
      </c>
      <c r="D2203" s="6">
        <v>44943</v>
      </c>
      <c r="E2203" s="8">
        <v>1114</v>
      </c>
      <c r="F2203" s="23" t="str">
        <f>IFERROR(VLOOKUP(C2203, 'Catégorie des articles'!$A:$D, 4, FALSE), "")</f>
        <v>MIX LEGUMES</v>
      </c>
      <c r="G2203">
        <f t="shared" si="34"/>
        <v>202301</v>
      </c>
    </row>
    <row r="2204" spans="1:7" ht="12" customHeight="1">
      <c r="A2204" s="9">
        <v>44927</v>
      </c>
      <c r="B2204" s="10">
        <v>143511068</v>
      </c>
      <c r="C2204" s="3">
        <v>5540246192594</v>
      </c>
      <c r="D2204" s="9">
        <v>44943</v>
      </c>
      <c r="E2204" s="11">
        <v>743</v>
      </c>
      <c r="F2204" s="23" t="str">
        <f>IFERROR(VLOOKUP(C2204, 'Catégorie des articles'!$A:$D, 4, FALSE), "")</f>
        <v>MIX LEGUMES</v>
      </c>
      <c r="G2204">
        <f t="shared" si="34"/>
        <v>202301</v>
      </c>
    </row>
    <row r="2205" spans="1:7" ht="12" customHeight="1">
      <c r="A2205" s="6">
        <v>44927</v>
      </c>
      <c r="B2205" s="7">
        <v>143511068</v>
      </c>
      <c r="C2205" s="3">
        <v>5540246192831</v>
      </c>
      <c r="D2205" s="6">
        <v>44943</v>
      </c>
      <c r="E2205" s="8">
        <v>1300</v>
      </c>
      <c r="F2205" s="23" t="str">
        <f>IFERROR(VLOOKUP(C2205, 'Catégorie des articles'!$A:$D, 4, FALSE), "")</f>
        <v>MIX LEGUMES</v>
      </c>
      <c r="G2205">
        <f t="shared" si="34"/>
        <v>202301</v>
      </c>
    </row>
    <row r="2206" spans="1:7" ht="12" customHeight="1">
      <c r="A2206" s="6">
        <v>44927</v>
      </c>
      <c r="B2206" s="7">
        <v>143511070</v>
      </c>
      <c r="C2206" s="3">
        <v>5540246193316</v>
      </c>
      <c r="D2206" s="6">
        <v>44950</v>
      </c>
      <c r="E2206" s="8">
        <v>669</v>
      </c>
      <c r="F2206" s="23" t="str">
        <f>IFERROR(VLOOKUP(C2206, 'Catégorie des articles'!$A:$D, 4, FALSE), "")</f>
        <v>BOULANGERIE</v>
      </c>
      <c r="G2206">
        <f t="shared" si="34"/>
        <v>202301</v>
      </c>
    </row>
    <row r="2207" spans="1:7" ht="12" customHeight="1">
      <c r="A2207" s="9">
        <v>44928</v>
      </c>
      <c r="B2207" s="10">
        <v>143511082</v>
      </c>
      <c r="C2207" s="3">
        <v>5540246172669</v>
      </c>
      <c r="D2207" s="9">
        <v>44930</v>
      </c>
      <c r="E2207" s="11">
        <v>279</v>
      </c>
      <c r="F2207" s="23" t="str">
        <f>IFERROR(VLOOKUP(C2207, 'Catégorie des articles'!$A:$D, 4, FALSE), "")</f>
        <v>CREMERIE</v>
      </c>
      <c r="G2207">
        <f t="shared" si="34"/>
        <v>202301</v>
      </c>
    </row>
    <row r="2208" spans="1:7" ht="12" customHeight="1">
      <c r="A2208" s="9">
        <v>44928</v>
      </c>
      <c r="B2208" s="10">
        <v>143511082</v>
      </c>
      <c r="C2208" s="3">
        <v>5540246174174</v>
      </c>
      <c r="D2208" s="9">
        <v>44930</v>
      </c>
      <c r="E2208" s="11">
        <v>464</v>
      </c>
      <c r="F2208" s="23" t="str">
        <f>IFERROR(VLOOKUP(C2208, 'Catégorie des articles'!$A:$D, 4, FALSE), "")</f>
        <v>CREMERIE</v>
      </c>
      <c r="G2208">
        <f t="shared" si="34"/>
        <v>202301</v>
      </c>
    </row>
    <row r="2209" spans="1:7" ht="12" customHeight="1">
      <c r="A2209" s="6">
        <v>44928</v>
      </c>
      <c r="B2209" s="7">
        <v>143511082</v>
      </c>
      <c r="C2209" s="3">
        <v>5540246176699</v>
      </c>
      <c r="D2209" s="6">
        <v>44930</v>
      </c>
      <c r="E2209" s="8">
        <v>8352</v>
      </c>
      <c r="F2209" s="23" t="str">
        <f>IFERROR(VLOOKUP(C2209, 'Catégorie des articles'!$A:$D, 4, FALSE), "")</f>
        <v>CREMERIE</v>
      </c>
      <c r="G2209">
        <f t="shared" si="34"/>
        <v>202301</v>
      </c>
    </row>
    <row r="2210" spans="1:7" ht="12" customHeight="1">
      <c r="A2210" s="6">
        <v>44928</v>
      </c>
      <c r="B2210" s="7">
        <v>143511082</v>
      </c>
      <c r="C2210" s="3">
        <v>5540246192102</v>
      </c>
      <c r="D2210" s="6">
        <v>44930</v>
      </c>
      <c r="E2210" s="8">
        <v>2005</v>
      </c>
      <c r="F2210" s="23" t="str">
        <f>IFERROR(VLOOKUP(C2210, 'Catégorie des articles'!$A:$D, 4, FALSE), "")</f>
        <v>CREMERIE</v>
      </c>
      <c r="G2210">
        <f t="shared" si="34"/>
        <v>202301</v>
      </c>
    </row>
    <row r="2211" spans="1:7" ht="12" customHeight="1">
      <c r="A2211" s="6">
        <v>44928</v>
      </c>
      <c r="B2211" s="7">
        <v>143511083</v>
      </c>
      <c r="C2211" s="3">
        <v>5540246176295</v>
      </c>
      <c r="D2211" s="6">
        <v>44930</v>
      </c>
      <c r="E2211" s="8">
        <v>7424</v>
      </c>
      <c r="F2211" s="23" t="str">
        <f>IFERROR(VLOOKUP(C2211, 'Catégorie des articles'!$A:$D, 4, FALSE), "")</f>
        <v>CREMERIE</v>
      </c>
      <c r="G2211">
        <f t="shared" si="34"/>
        <v>202301</v>
      </c>
    </row>
    <row r="2212" spans="1:7" ht="12" customHeight="1">
      <c r="A2212" s="9">
        <v>44928</v>
      </c>
      <c r="B2212" s="10">
        <v>143511083</v>
      </c>
      <c r="C2212" s="3">
        <v>5540246187987</v>
      </c>
      <c r="D2212" s="9">
        <v>44930</v>
      </c>
      <c r="E2212" s="11">
        <v>2228</v>
      </c>
      <c r="F2212" s="23" t="str">
        <f>IFERROR(VLOOKUP(C2212, 'Catégorie des articles'!$A:$D, 4, FALSE), "")</f>
        <v>CREMERIE</v>
      </c>
      <c r="G2212">
        <f t="shared" si="34"/>
        <v>202301</v>
      </c>
    </row>
    <row r="2213" spans="1:7" ht="12" customHeight="1">
      <c r="A2213" s="9">
        <v>44928</v>
      </c>
      <c r="B2213" s="10">
        <v>143511097</v>
      </c>
      <c r="C2213" s="3">
        <v>5540246183130</v>
      </c>
      <c r="D2213" s="9">
        <v>44951</v>
      </c>
      <c r="E2213" s="11">
        <v>1692</v>
      </c>
      <c r="F2213" s="23" t="str">
        <f>IFERROR(VLOOKUP(C2213, 'Catégorie des articles'!$A:$D, 4, FALSE), "")</f>
        <v>MIX LEGUMES</v>
      </c>
      <c r="G2213">
        <f t="shared" si="34"/>
        <v>202301</v>
      </c>
    </row>
    <row r="2214" spans="1:7" ht="12" customHeight="1">
      <c r="A2214" s="6">
        <v>44928</v>
      </c>
      <c r="B2214" s="7">
        <v>143511097</v>
      </c>
      <c r="C2214" s="3">
        <v>5540246183537</v>
      </c>
      <c r="D2214" s="6">
        <v>44951</v>
      </c>
      <c r="E2214" s="8">
        <v>961</v>
      </c>
      <c r="F2214" s="23" t="str">
        <f>IFERROR(VLOOKUP(C2214, 'Catégorie des articles'!$A:$D, 4, FALSE), "")</f>
        <v>MIX LEGUMES</v>
      </c>
      <c r="G2214">
        <f t="shared" si="34"/>
        <v>202301</v>
      </c>
    </row>
    <row r="2215" spans="1:7" ht="12" customHeight="1">
      <c r="A2215" s="9">
        <v>44928</v>
      </c>
      <c r="B2215" s="10">
        <v>143511097</v>
      </c>
      <c r="C2215" s="3">
        <v>5540246183538</v>
      </c>
      <c r="D2215" s="9">
        <v>44951</v>
      </c>
      <c r="E2215" s="11">
        <v>919</v>
      </c>
      <c r="F2215" s="23" t="str">
        <f>IFERROR(VLOOKUP(C2215, 'Catégorie des articles'!$A:$D, 4, FALSE), "")</f>
        <v>MIX LEGUMES</v>
      </c>
      <c r="G2215">
        <f t="shared" si="34"/>
        <v>202301</v>
      </c>
    </row>
    <row r="2216" spans="1:7" ht="12" customHeight="1">
      <c r="A2216" s="6">
        <v>44928</v>
      </c>
      <c r="B2216" s="7">
        <v>143511097</v>
      </c>
      <c r="C2216" s="3">
        <v>5540246183541</v>
      </c>
      <c r="D2216" s="6">
        <v>44951</v>
      </c>
      <c r="E2216" s="8">
        <v>1044</v>
      </c>
      <c r="F2216" s="23" t="str">
        <f>IFERROR(VLOOKUP(C2216, 'Catégorie des articles'!$A:$D, 4, FALSE), "")</f>
        <v>MIX LEGUMES</v>
      </c>
      <c r="G2216">
        <f t="shared" si="34"/>
        <v>202301</v>
      </c>
    </row>
    <row r="2217" spans="1:7" ht="12" customHeight="1">
      <c r="A2217" s="9">
        <v>44928</v>
      </c>
      <c r="B2217" s="10">
        <v>143511097</v>
      </c>
      <c r="C2217" s="3">
        <v>5540246183552</v>
      </c>
      <c r="D2217" s="9">
        <v>44951</v>
      </c>
      <c r="E2217" s="11">
        <v>2172</v>
      </c>
      <c r="F2217" s="23" t="str">
        <f>IFERROR(VLOOKUP(C2217, 'Catégorie des articles'!$A:$D, 4, FALSE), "")</f>
        <v>MIX LEGUMES</v>
      </c>
      <c r="G2217">
        <f t="shared" si="34"/>
        <v>202301</v>
      </c>
    </row>
    <row r="2218" spans="1:7" ht="12" customHeight="1">
      <c r="A2218" s="9">
        <v>44928</v>
      </c>
      <c r="B2218" s="10">
        <v>143511097</v>
      </c>
      <c r="C2218" s="3">
        <v>5540246192571</v>
      </c>
      <c r="D2218" s="9">
        <v>44951</v>
      </c>
      <c r="E2218" s="11">
        <v>669</v>
      </c>
      <c r="F2218" s="23" t="str">
        <f>IFERROR(VLOOKUP(C2218, 'Catégorie des articles'!$A:$D, 4, FALSE), "")</f>
        <v>MIX LEGUMES</v>
      </c>
      <c r="G2218">
        <f t="shared" si="34"/>
        <v>202301</v>
      </c>
    </row>
    <row r="2219" spans="1:7" ht="12" customHeight="1">
      <c r="A2219" s="9">
        <v>44928</v>
      </c>
      <c r="B2219" s="10">
        <v>143511101</v>
      </c>
      <c r="C2219" s="3">
        <v>5540246180522</v>
      </c>
      <c r="D2219" s="9">
        <v>44952</v>
      </c>
      <c r="E2219" s="11">
        <v>1782</v>
      </c>
      <c r="F2219" s="23" t="str">
        <f>IFERROR(VLOOKUP(C2219, 'Catégorie des articles'!$A:$D, 4, FALSE), "")</f>
        <v>BOULANGERIE</v>
      </c>
      <c r="G2219">
        <f t="shared" si="34"/>
        <v>202301</v>
      </c>
    </row>
    <row r="2220" spans="1:7" ht="12" customHeight="1">
      <c r="A2220" s="6">
        <v>44928</v>
      </c>
      <c r="B2220" s="7">
        <v>143511101</v>
      </c>
      <c r="C2220" s="3">
        <v>5540246193409</v>
      </c>
      <c r="D2220" s="6">
        <v>44952</v>
      </c>
      <c r="E2220" s="8">
        <v>65</v>
      </c>
      <c r="F2220" s="23" t="str">
        <f>IFERROR(VLOOKUP(C2220, 'Catégorie des articles'!$A:$D, 4, FALSE), "")</f>
        <v>BOULANGERIE</v>
      </c>
      <c r="G2220">
        <f t="shared" si="34"/>
        <v>202301</v>
      </c>
    </row>
    <row r="2221" spans="1:7" ht="12" customHeight="1">
      <c r="A2221" s="9">
        <v>44928</v>
      </c>
      <c r="B2221" s="10">
        <v>143511102</v>
      </c>
      <c r="C2221" s="3">
        <v>5540246191596</v>
      </c>
      <c r="D2221" s="9">
        <v>44949</v>
      </c>
      <c r="E2221" s="11">
        <v>372</v>
      </c>
      <c r="F2221" s="23" t="str">
        <f>IFERROR(VLOOKUP(C2221, 'Catégorie des articles'!$A:$D, 4, FALSE), "")</f>
        <v>BOULANGERIE</v>
      </c>
      <c r="G2221">
        <f t="shared" si="34"/>
        <v>202301</v>
      </c>
    </row>
    <row r="2222" spans="1:7" ht="12" customHeight="1">
      <c r="A2222" s="6">
        <v>44928</v>
      </c>
      <c r="B2222" s="7">
        <v>143511102</v>
      </c>
      <c r="C2222" s="3">
        <v>5540246196466</v>
      </c>
      <c r="D2222" s="6">
        <v>44949</v>
      </c>
      <c r="E2222" s="8">
        <v>1188</v>
      </c>
      <c r="F2222" s="23" t="str">
        <f>IFERROR(VLOOKUP(C2222, 'Catégorie des articles'!$A:$D, 4, FALSE), "")</f>
        <v>BOULANGERIE</v>
      </c>
      <c r="G2222">
        <f t="shared" si="34"/>
        <v>202301</v>
      </c>
    </row>
    <row r="2223" spans="1:7" ht="12" customHeight="1">
      <c r="A2223" s="6">
        <v>44929</v>
      </c>
      <c r="B2223" s="7">
        <v>143511120</v>
      </c>
      <c r="C2223" s="3">
        <v>5540246172978</v>
      </c>
      <c r="D2223" s="6">
        <v>44931</v>
      </c>
      <c r="E2223" s="8">
        <v>2506</v>
      </c>
      <c r="F2223" s="23" t="str">
        <f>IFERROR(VLOOKUP(C2223, 'Catégorie des articles'!$A:$D, 4, FALSE), "")</f>
        <v>CREMERIE</v>
      </c>
      <c r="G2223">
        <f t="shared" si="34"/>
        <v>202301</v>
      </c>
    </row>
    <row r="2224" spans="1:7" ht="12" customHeight="1">
      <c r="A2224" s="6">
        <v>44929</v>
      </c>
      <c r="B2224" s="7">
        <v>143511120</v>
      </c>
      <c r="C2224" s="3">
        <v>5540246174174</v>
      </c>
      <c r="D2224" s="6">
        <v>44931</v>
      </c>
      <c r="E2224" s="8">
        <v>348</v>
      </c>
      <c r="F2224" s="23" t="str">
        <f>IFERROR(VLOOKUP(C2224, 'Catégorie des articles'!$A:$D, 4, FALSE), "")</f>
        <v>CREMERIE</v>
      </c>
      <c r="G2224">
        <f t="shared" si="34"/>
        <v>202301</v>
      </c>
    </row>
    <row r="2225" spans="1:7" ht="12" customHeight="1">
      <c r="A2225" s="6">
        <v>44929</v>
      </c>
      <c r="B2225" s="7">
        <v>143511120</v>
      </c>
      <c r="C2225" s="3">
        <v>5540246176699</v>
      </c>
      <c r="D2225" s="6">
        <v>44931</v>
      </c>
      <c r="E2225" s="8">
        <v>4176</v>
      </c>
      <c r="F2225" s="23" t="str">
        <f>IFERROR(VLOOKUP(C2225, 'Catégorie des articles'!$A:$D, 4, FALSE), "")</f>
        <v>CREMERIE</v>
      </c>
      <c r="G2225">
        <f t="shared" si="34"/>
        <v>202301</v>
      </c>
    </row>
    <row r="2226" spans="1:7" ht="12" customHeight="1">
      <c r="A2226" s="9">
        <v>44929</v>
      </c>
      <c r="B2226" s="10">
        <v>143511120</v>
      </c>
      <c r="C2226" s="3">
        <v>5540246188175</v>
      </c>
      <c r="D2226" s="9">
        <v>44931</v>
      </c>
      <c r="E2226" s="11">
        <v>696</v>
      </c>
      <c r="F2226" s="23" t="str">
        <f>IFERROR(VLOOKUP(C2226, 'Catégorie des articles'!$A:$D, 4, FALSE), "")</f>
        <v>CREMERIE</v>
      </c>
      <c r="G2226">
        <f t="shared" si="34"/>
        <v>202301</v>
      </c>
    </row>
    <row r="2227" spans="1:7" ht="12" customHeight="1">
      <c r="A2227" s="6">
        <v>44929</v>
      </c>
      <c r="B2227" s="7">
        <v>143511121</v>
      </c>
      <c r="C2227" s="3">
        <v>5540246176294</v>
      </c>
      <c r="D2227" s="6">
        <v>44931</v>
      </c>
      <c r="E2227" s="8">
        <v>743</v>
      </c>
      <c r="F2227" s="23" t="str">
        <f>IFERROR(VLOOKUP(C2227, 'Catégorie des articles'!$A:$D, 4, FALSE), "")</f>
        <v>CREMERIE</v>
      </c>
      <c r="G2227">
        <f t="shared" si="34"/>
        <v>202301</v>
      </c>
    </row>
    <row r="2228" spans="1:7" ht="12" customHeight="1">
      <c r="A2228" s="9">
        <v>44929</v>
      </c>
      <c r="B2228" s="10">
        <v>143511121</v>
      </c>
      <c r="C2228" s="3">
        <v>5540246176295</v>
      </c>
      <c r="D2228" s="9">
        <v>44931</v>
      </c>
      <c r="E2228" s="11">
        <v>4455</v>
      </c>
      <c r="F2228" s="23" t="str">
        <f>IFERROR(VLOOKUP(C2228, 'Catégorie des articles'!$A:$D, 4, FALSE), "")</f>
        <v>CREMERIE</v>
      </c>
      <c r="G2228">
        <f t="shared" si="34"/>
        <v>202301</v>
      </c>
    </row>
    <row r="2229" spans="1:7" ht="12" customHeight="1">
      <c r="A2229" s="9">
        <v>44929</v>
      </c>
      <c r="B2229" s="10">
        <v>143511121</v>
      </c>
      <c r="C2229" s="3">
        <v>5540246188200</v>
      </c>
      <c r="D2229" s="9">
        <v>44931</v>
      </c>
      <c r="E2229" s="11">
        <v>1485</v>
      </c>
      <c r="F2229" s="23" t="str">
        <f>IFERROR(VLOOKUP(C2229, 'Catégorie des articles'!$A:$D, 4, FALSE), "")</f>
        <v>CREMERIE</v>
      </c>
      <c r="G2229">
        <f t="shared" si="34"/>
        <v>202301</v>
      </c>
    </row>
    <row r="2230" spans="1:7" ht="12" customHeight="1">
      <c r="A2230" s="9">
        <v>44929</v>
      </c>
      <c r="B2230" s="10">
        <v>143511127</v>
      </c>
      <c r="C2230" s="3">
        <v>5540246191598</v>
      </c>
      <c r="D2230" s="9">
        <v>44935</v>
      </c>
      <c r="E2230" s="11">
        <v>1601</v>
      </c>
      <c r="F2230" s="23" t="str">
        <f>IFERROR(VLOOKUP(C2230, 'Catégorie des articles'!$A:$D, 4, FALSE), "")</f>
        <v>CREMERIE</v>
      </c>
      <c r="G2230">
        <f t="shared" si="34"/>
        <v>202301</v>
      </c>
    </row>
    <row r="2231" spans="1:7" ht="12" customHeight="1">
      <c r="A2231" s="9">
        <v>44929</v>
      </c>
      <c r="B2231" s="10">
        <v>143511129</v>
      </c>
      <c r="C2231" s="3">
        <v>5540246195242</v>
      </c>
      <c r="D2231" s="9">
        <v>44948</v>
      </c>
      <c r="E2231" s="11">
        <v>743</v>
      </c>
      <c r="F2231" s="23" t="str">
        <f>IFERROR(VLOOKUP(C2231, 'Catégorie des articles'!$A:$D, 4, FALSE), "")</f>
        <v>MIX LEGUMES</v>
      </c>
      <c r="G2231">
        <f t="shared" si="34"/>
        <v>202301</v>
      </c>
    </row>
    <row r="2232" spans="1:7" ht="12" customHeight="1">
      <c r="A2232" s="9">
        <v>44930</v>
      </c>
      <c r="B2232" s="10">
        <v>143511148</v>
      </c>
      <c r="C2232" s="3">
        <v>5540246174174</v>
      </c>
      <c r="D2232" s="9">
        <v>44934</v>
      </c>
      <c r="E2232" s="11">
        <v>232</v>
      </c>
      <c r="F2232" s="23" t="str">
        <f>IFERROR(VLOOKUP(C2232, 'Catégorie des articles'!$A:$D, 4, FALSE), "")</f>
        <v>CREMERIE</v>
      </c>
      <c r="G2232">
        <f t="shared" si="34"/>
        <v>202301</v>
      </c>
    </row>
    <row r="2233" spans="1:7" ht="12" customHeight="1">
      <c r="A2233" s="6">
        <v>44930</v>
      </c>
      <c r="B2233" s="7">
        <v>143511148</v>
      </c>
      <c r="C2233" s="3">
        <v>5540246176699</v>
      </c>
      <c r="D2233" s="6">
        <v>44934</v>
      </c>
      <c r="E2233" s="8">
        <v>8352</v>
      </c>
      <c r="F2233" s="23" t="str">
        <f>IFERROR(VLOOKUP(C2233, 'Catégorie des articles'!$A:$D, 4, FALSE), "")</f>
        <v>CREMERIE</v>
      </c>
      <c r="G2233">
        <f t="shared" si="34"/>
        <v>202301</v>
      </c>
    </row>
    <row r="2234" spans="1:7" ht="12" customHeight="1">
      <c r="A2234" s="9">
        <v>44930</v>
      </c>
      <c r="B2234" s="10">
        <v>143511149</v>
      </c>
      <c r="C2234" s="3">
        <v>5540246176294</v>
      </c>
      <c r="D2234" s="9">
        <v>44934</v>
      </c>
      <c r="E2234" s="11">
        <v>1485</v>
      </c>
      <c r="F2234" s="23" t="str">
        <f>IFERROR(VLOOKUP(C2234, 'Catégorie des articles'!$A:$D, 4, FALSE), "")</f>
        <v>CREMERIE</v>
      </c>
      <c r="G2234">
        <f t="shared" si="34"/>
        <v>202301</v>
      </c>
    </row>
    <row r="2235" spans="1:7" ht="12" customHeight="1">
      <c r="A2235" s="6">
        <v>44930</v>
      </c>
      <c r="B2235" s="7">
        <v>143511149</v>
      </c>
      <c r="C2235" s="3">
        <v>5540246187987</v>
      </c>
      <c r="D2235" s="6">
        <v>44934</v>
      </c>
      <c r="E2235" s="8">
        <v>2784</v>
      </c>
      <c r="F2235" s="23" t="str">
        <f>IFERROR(VLOOKUP(C2235, 'Catégorie des articles'!$A:$D, 4, FALSE), "")</f>
        <v>CREMERIE</v>
      </c>
      <c r="G2235">
        <f t="shared" si="34"/>
        <v>202301</v>
      </c>
    </row>
    <row r="2236" spans="1:7" ht="12" customHeight="1">
      <c r="A2236" s="9">
        <v>44930</v>
      </c>
      <c r="B2236" s="10">
        <v>143511152</v>
      </c>
      <c r="C2236" s="3">
        <v>5540246175049</v>
      </c>
      <c r="D2236" s="9">
        <v>44938</v>
      </c>
      <c r="E2236" s="11">
        <v>836</v>
      </c>
      <c r="F2236" s="23" t="str">
        <f>IFERROR(VLOOKUP(C2236, 'Catégorie des articles'!$A:$D, 4, FALSE), "")</f>
        <v>CREMERIE</v>
      </c>
      <c r="G2236">
        <f t="shared" si="34"/>
        <v>202301</v>
      </c>
    </row>
    <row r="2237" spans="1:7" ht="12" customHeight="1">
      <c r="A2237" s="6">
        <v>44930</v>
      </c>
      <c r="B2237" s="7">
        <v>143511168</v>
      </c>
      <c r="C2237" s="3">
        <v>5540246183587</v>
      </c>
      <c r="D2237" s="6">
        <v>44951</v>
      </c>
      <c r="E2237" s="8">
        <v>502</v>
      </c>
      <c r="F2237" s="23" t="str">
        <f>IFERROR(VLOOKUP(C2237, 'Catégorie des articles'!$A:$D, 4, FALSE), "")</f>
        <v>MIX LEGUMES</v>
      </c>
      <c r="G2237">
        <f t="shared" si="34"/>
        <v>202301</v>
      </c>
    </row>
    <row r="2238" spans="1:7" ht="12" customHeight="1">
      <c r="A2238" s="9">
        <v>44930</v>
      </c>
      <c r="B2238" s="10">
        <v>143511168</v>
      </c>
      <c r="C2238" s="3">
        <v>5540246183589</v>
      </c>
      <c r="D2238" s="9">
        <v>44951</v>
      </c>
      <c r="E2238" s="11">
        <v>1300</v>
      </c>
      <c r="F2238" s="23" t="str">
        <f>IFERROR(VLOOKUP(C2238, 'Catégorie des articles'!$A:$D, 4, FALSE), "")</f>
        <v>MIX LEGUMES</v>
      </c>
      <c r="G2238">
        <f t="shared" si="34"/>
        <v>202301</v>
      </c>
    </row>
    <row r="2239" spans="1:7" ht="12" customHeight="1">
      <c r="A2239" s="6">
        <v>44930</v>
      </c>
      <c r="B2239" s="7">
        <v>143511168</v>
      </c>
      <c r="C2239" s="3">
        <v>5540246186352</v>
      </c>
      <c r="D2239" s="6">
        <v>44951</v>
      </c>
      <c r="E2239" s="8">
        <v>940</v>
      </c>
      <c r="F2239" s="23" t="str">
        <f>IFERROR(VLOOKUP(C2239, 'Catégorie des articles'!$A:$D, 4, FALSE), "")</f>
        <v>MIX LEGUMES</v>
      </c>
      <c r="G2239">
        <f t="shared" si="34"/>
        <v>202301</v>
      </c>
    </row>
    <row r="2240" spans="1:7" ht="12" customHeight="1">
      <c r="A2240" s="9">
        <v>44930</v>
      </c>
      <c r="B2240" s="10">
        <v>143511168</v>
      </c>
      <c r="C2240" s="3">
        <v>5540246194790</v>
      </c>
      <c r="D2240" s="9">
        <v>44951</v>
      </c>
      <c r="E2240" s="11">
        <v>1316</v>
      </c>
      <c r="F2240" s="23" t="str">
        <f>IFERROR(VLOOKUP(C2240, 'Catégorie des articles'!$A:$D, 4, FALSE), "")</f>
        <v>MIX LEGUMES</v>
      </c>
      <c r="G2240">
        <f t="shared" si="34"/>
        <v>202301</v>
      </c>
    </row>
    <row r="2241" spans="1:7" ht="12" customHeight="1">
      <c r="A2241" s="6">
        <v>44930</v>
      </c>
      <c r="B2241" s="7">
        <v>143511173</v>
      </c>
      <c r="C2241" s="3">
        <v>5540246192148</v>
      </c>
      <c r="D2241" s="6">
        <v>44948</v>
      </c>
      <c r="E2241" s="8">
        <v>45936</v>
      </c>
      <c r="F2241" s="23" t="str">
        <f>IFERROR(VLOOKUP(C2241, 'Catégorie des articles'!$A:$D, 4, FALSE), "")</f>
        <v>MIX LEGUMES</v>
      </c>
      <c r="G2241">
        <f t="shared" si="34"/>
        <v>202301</v>
      </c>
    </row>
    <row r="2242" spans="1:7" ht="12" customHeight="1">
      <c r="A2242" s="9">
        <v>44930</v>
      </c>
      <c r="B2242" s="10">
        <v>143511174</v>
      </c>
      <c r="C2242" s="3">
        <v>5540246192148</v>
      </c>
      <c r="D2242" s="9">
        <v>44952</v>
      </c>
      <c r="E2242" s="11">
        <v>45936</v>
      </c>
      <c r="F2242" s="23" t="str">
        <f>IFERROR(VLOOKUP(C2242, 'Catégorie des articles'!$A:$D, 4, FALSE), "")</f>
        <v>MIX LEGUMES</v>
      </c>
      <c r="G2242">
        <f t="shared" si="34"/>
        <v>202301</v>
      </c>
    </row>
    <row r="2243" spans="1:7" ht="12" customHeight="1">
      <c r="A2243" s="9">
        <v>44930</v>
      </c>
      <c r="B2243" s="10">
        <v>143511175</v>
      </c>
      <c r="C2243" s="3">
        <v>5540246171759</v>
      </c>
      <c r="D2243" s="9">
        <v>44950</v>
      </c>
      <c r="E2243" s="11">
        <v>5847</v>
      </c>
      <c r="F2243" s="23" t="str">
        <f>IFERROR(VLOOKUP(C2243, 'Catégorie des articles'!$A:$D, 4, FALSE), "")</f>
        <v>MIX LEGUMES</v>
      </c>
      <c r="G2243">
        <f t="shared" ref="G2243:G2306" si="35">YEAR(D2243)*100 + MONTH(D2243)</f>
        <v>202301</v>
      </c>
    </row>
    <row r="2244" spans="1:7" ht="12" customHeight="1">
      <c r="A2244" s="6">
        <v>44930</v>
      </c>
      <c r="B2244" s="7">
        <v>143511175</v>
      </c>
      <c r="C2244" s="3">
        <v>5540246177133</v>
      </c>
      <c r="D2244" s="6">
        <v>44950</v>
      </c>
      <c r="E2244" s="8">
        <v>8352</v>
      </c>
      <c r="F2244" s="23" t="str">
        <f>IFERROR(VLOOKUP(C2244, 'Catégorie des articles'!$A:$D, 4, FALSE), "")</f>
        <v>MIX LEGUMES</v>
      </c>
      <c r="G2244">
        <f t="shared" si="35"/>
        <v>202301</v>
      </c>
    </row>
    <row r="2245" spans="1:7" ht="12" customHeight="1">
      <c r="A2245" s="9">
        <v>44930</v>
      </c>
      <c r="B2245" s="10">
        <v>143511175</v>
      </c>
      <c r="C2245" s="3">
        <v>5540246192518</v>
      </c>
      <c r="D2245" s="9">
        <v>44950</v>
      </c>
      <c r="E2245" s="11">
        <v>4176</v>
      </c>
      <c r="F2245" s="23" t="str">
        <f>IFERROR(VLOOKUP(C2245, 'Catégorie des articles'!$A:$D, 4, FALSE), "")</f>
        <v>MIX LEGUMES</v>
      </c>
      <c r="G2245">
        <f t="shared" si="35"/>
        <v>202301</v>
      </c>
    </row>
    <row r="2246" spans="1:7" ht="12" customHeight="1">
      <c r="A2246" s="6">
        <v>44931</v>
      </c>
      <c r="B2246" s="7">
        <v>143511188</v>
      </c>
      <c r="C2246" s="3">
        <v>5540246174174</v>
      </c>
      <c r="D2246" s="6">
        <v>44935</v>
      </c>
      <c r="E2246" s="8">
        <v>232</v>
      </c>
      <c r="F2246" s="23" t="str">
        <f>IFERROR(VLOOKUP(C2246, 'Catégorie des articles'!$A:$D, 4, FALSE), "")</f>
        <v>CREMERIE</v>
      </c>
      <c r="G2246">
        <f t="shared" si="35"/>
        <v>202301</v>
      </c>
    </row>
    <row r="2247" spans="1:7" ht="12" customHeight="1">
      <c r="A2247" s="6">
        <v>44931</v>
      </c>
      <c r="B2247" s="7">
        <v>143511188</v>
      </c>
      <c r="C2247" s="3">
        <v>5540246188175</v>
      </c>
      <c r="D2247" s="6">
        <v>44935</v>
      </c>
      <c r="E2247" s="8">
        <v>464</v>
      </c>
      <c r="F2247" s="23" t="str">
        <f>IFERROR(VLOOKUP(C2247, 'Catégorie des articles'!$A:$D, 4, FALSE), "")</f>
        <v>CREMERIE</v>
      </c>
      <c r="G2247">
        <f t="shared" si="35"/>
        <v>202301</v>
      </c>
    </row>
    <row r="2248" spans="1:7" ht="12" customHeight="1">
      <c r="A2248" s="6">
        <v>44931</v>
      </c>
      <c r="B2248" s="7">
        <v>143511189</v>
      </c>
      <c r="C2248" s="3">
        <v>5540246176294</v>
      </c>
      <c r="D2248" s="6">
        <v>44935</v>
      </c>
      <c r="E2248" s="8">
        <v>2228</v>
      </c>
      <c r="F2248" s="23" t="str">
        <f>IFERROR(VLOOKUP(C2248, 'Catégorie des articles'!$A:$D, 4, FALSE), "")</f>
        <v>CREMERIE</v>
      </c>
      <c r="G2248">
        <f t="shared" si="35"/>
        <v>202301</v>
      </c>
    </row>
    <row r="2249" spans="1:7" ht="12" customHeight="1">
      <c r="A2249" s="6">
        <v>44931</v>
      </c>
      <c r="B2249" s="7">
        <v>143511189</v>
      </c>
      <c r="C2249" s="3">
        <v>5540246187987</v>
      </c>
      <c r="D2249" s="6">
        <v>44935</v>
      </c>
      <c r="E2249" s="8">
        <v>4455</v>
      </c>
      <c r="F2249" s="23" t="str">
        <f>IFERROR(VLOOKUP(C2249, 'Catégorie des articles'!$A:$D, 4, FALSE), "")</f>
        <v>CREMERIE</v>
      </c>
      <c r="G2249">
        <f t="shared" si="35"/>
        <v>202301</v>
      </c>
    </row>
    <row r="2250" spans="1:7" ht="12" customHeight="1">
      <c r="A2250" s="9">
        <v>44931</v>
      </c>
      <c r="B2250" s="10">
        <v>143511189</v>
      </c>
      <c r="C2250" s="3">
        <v>5540246188200</v>
      </c>
      <c r="D2250" s="9">
        <v>44935</v>
      </c>
      <c r="E2250" s="11">
        <v>743</v>
      </c>
      <c r="F2250" s="23" t="str">
        <f>IFERROR(VLOOKUP(C2250, 'Catégorie des articles'!$A:$D, 4, FALSE), "")</f>
        <v>CREMERIE</v>
      </c>
      <c r="G2250">
        <f t="shared" si="35"/>
        <v>202301</v>
      </c>
    </row>
    <row r="2251" spans="1:7" ht="12" customHeight="1">
      <c r="A2251" s="6">
        <v>44931</v>
      </c>
      <c r="B2251" s="7">
        <v>143511194</v>
      </c>
      <c r="C2251" s="3">
        <v>5540246185429</v>
      </c>
      <c r="D2251" s="6">
        <v>44938</v>
      </c>
      <c r="E2251" s="8">
        <v>140</v>
      </c>
      <c r="F2251" s="23" t="str">
        <f>IFERROR(VLOOKUP(C2251, 'Catégorie des articles'!$A:$D, 4, FALSE), "")</f>
        <v>CREMERIE</v>
      </c>
      <c r="G2251">
        <f t="shared" si="35"/>
        <v>202301</v>
      </c>
    </row>
    <row r="2252" spans="1:7" ht="12" customHeight="1">
      <c r="A2252" s="9">
        <v>44931</v>
      </c>
      <c r="B2252" s="10">
        <v>143511194</v>
      </c>
      <c r="C2252" s="3">
        <v>5540246185562</v>
      </c>
      <c r="D2252" s="9">
        <v>44938</v>
      </c>
      <c r="E2252" s="11">
        <v>140</v>
      </c>
      <c r="F2252" s="23" t="str">
        <f>IFERROR(VLOOKUP(C2252, 'Catégorie des articles'!$A:$D, 4, FALSE), "")</f>
        <v>CREMERIE</v>
      </c>
      <c r="G2252">
        <f t="shared" si="35"/>
        <v>202301</v>
      </c>
    </row>
    <row r="2253" spans="1:7" ht="12" customHeight="1">
      <c r="A2253" s="9">
        <v>44931</v>
      </c>
      <c r="B2253" s="10">
        <v>143511201</v>
      </c>
      <c r="C2253" s="3">
        <v>5540246173906</v>
      </c>
      <c r="D2253" s="9">
        <v>44945</v>
      </c>
      <c r="E2253" s="11">
        <v>3267</v>
      </c>
      <c r="F2253" s="23" t="str">
        <f>IFERROR(VLOOKUP(C2253, 'Catégorie des articles'!$A:$D, 4, FALSE), "")</f>
        <v>VOLAILLE</v>
      </c>
      <c r="G2253">
        <f t="shared" si="35"/>
        <v>202301</v>
      </c>
    </row>
    <row r="2254" spans="1:7" ht="12" customHeight="1">
      <c r="A2254" s="6">
        <v>44931</v>
      </c>
      <c r="B2254" s="7">
        <v>143511201</v>
      </c>
      <c r="C2254" s="3">
        <v>5540246181016</v>
      </c>
      <c r="D2254" s="6">
        <v>44945</v>
      </c>
      <c r="E2254" s="8">
        <v>10691</v>
      </c>
      <c r="F2254" s="23" t="str">
        <f>IFERROR(VLOOKUP(C2254, 'Catégorie des articles'!$A:$D, 4, FALSE), "")</f>
        <v>VOLAILLE</v>
      </c>
      <c r="G2254">
        <f t="shared" si="35"/>
        <v>202301</v>
      </c>
    </row>
    <row r="2255" spans="1:7" ht="12" customHeight="1">
      <c r="A2255" s="6">
        <v>44931</v>
      </c>
      <c r="B2255" s="7">
        <v>143511209</v>
      </c>
      <c r="C2255" s="3">
        <v>5540246194632</v>
      </c>
      <c r="D2255" s="6">
        <v>44951</v>
      </c>
      <c r="E2255" s="8">
        <v>2088</v>
      </c>
      <c r="F2255" s="23" t="str">
        <f>IFERROR(VLOOKUP(C2255, 'Catégorie des articles'!$A:$D, 4, FALSE), "")</f>
        <v>BOULANGERIE</v>
      </c>
      <c r="G2255">
        <f t="shared" si="35"/>
        <v>202301</v>
      </c>
    </row>
    <row r="2256" spans="1:7" ht="12" customHeight="1">
      <c r="A2256" s="9">
        <v>44934</v>
      </c>
      <c r="B2256" s="10">
        <v>143521222</v>
      </c>
      <c r="C2256" s="3">
        <v>5540246172539</v>
      </c>
      <c r="D2256" s="9">
        <v>44936</v>
      </c>
      <c r="E2256" s="11">
        <v>47</v>
      </c>
      <c r="F2256" s="23" t="str">
        <f>IFERROR(VLOOKUP(C2256, 'Catégorie des articles'!$A:$D, 4, FALSE), "")</f>
        <v>CREMERIE</v>
      </c>
      <c r="G2256">
        <f t="shared" si="35"/>
        <v>202301</v>
      </c>
    </row>
    <row r="2257" spans="1:7" ht="12" customHeight="1">
      <c r="A2257" s="6">
        <v>44934</v>
      </c>
      <c r="B2257" s="7">
        <v>143521222</v>
      </c>
      <c r="C2257" s="3">
        <v>5540246172669</v>
      </c>
      <c r="D2257" s="6">
        <v>44936</v>
      </c>
      <c r="E2257" s="8">
        <v>279</v>
      </c>
      <c r="F2257" s="23" t="str">
        <f>IFERROR(VLOOKUP(C2257, 'Catégorie des articles'!$A:$D, 4, FALSE), "")</f>
        <v>CREMERIE</v>
      </c>
      <c r="G2257">
        <f t="shared" si="35"/>
        <v>202301</v>
      </c>
    </row>
    <row r="2258" spans="1:7" ht="12" customHeight="1">
      <c r="A2258" s="9">
        <v>44934</v>
      </c>
      <c r="B2258" s="10">
        <v>143521222</v>
      </c>
      <c r="C2258" s="3">
        <v>5540246172978</v>
      </c>
      <c r="D2258" s="9">
        <v>44936</v>
      </c>
      <c r="E2258" s="11">
        <v>1671</v>
      </c>
      <c r="F2258" s="23" t="str">
        <f>IFERROR(VLOOKUP(C2258, 'Catégorie des articles'!$A:$D, 4, FALSE), "")</f>
        <v>CREMERIE</v>
      </c>
      <c r="G2258">
        <f t="shared" si="35"/>
        <v>202301</v>
      </c>
    </row>
    <row r="2259" spans="1:7" ht="12" customHeight="1">
      <c r="A2259" s="9">
        <v>44934</v>
      </c>
      <c r="B2259" s="10">
        <v>143521222</v>
      </c>
      <c r="C2259" s="3">
        <v>5540246174174</v>
      </c>
      <c r="D2259" s="9">
        <v>44936</v>
      </c>
      <c r="E2259" s="11">
        <v>348</v>
      </c>
      <c r="F2259" s="23" t="str">
        <f>IFERROR(VLOOKUP(C2259, 'Catégorie des articles'!$A:$D, 4, FALSE), "")</f>
        <v>CREMERIE</v>
      </c>
      <c r="G2259">
        <f t="shared" si="35"/>
        <v>202301</v>
      </c>
    </row>
    <row r="2260" spans="1:7" ht="12" customHeight="1">
      <c r="A2260" s="6">
        <v>44934</v>
      </c>
      <c r="B2260" s="7">
        <v>143521222</v>
      </c>
      <c r="C2260" s="3">
        <v>5540246176699</v>
      </c>
      <c r="D2260" s="6">
        <v>44936</v>
      </c>
      <c r="E2260" s="8">
        <v>8352</v>
      </c>
      <c r="F2260" s="23" t="str">
        <f>IFERROR(VLOOKUP(C2260, 'Catégorie des articles'!$A:$D, 4, FALSE), "")</f>
        <v>CREMERIE</v>
      </c>
      <c r="G2260">
        <f t="shared" si="35"/>
        <v>202301</v>
      </c>
    </row>
    <row r="2261" spans="1:7" ht="12" customHeight="1">
      <c r="A2261" s="9">
        <v>44934</v>
      </c>
      <c r="B2261" s="10">
        <v>143521224</v>
      </c>
      <c r="C2261" s="3">
        <v>5540246176294</v>
      </c>
      <c r="D2261" s="9">
        <v>44936</v>
      </c>
      <c r="E2261" s="11">
        <v>1485</v>
      </c>
      <c r="F2261" s="23" t="str">
        <f>IFERROR(VLOOKUP(C2261, 'Catégorie des articles'!$A:$D, 4, FALSE), "")</f>
        <v>CREMERIE</v>
      </c>
      <c r="G2261">
        <f t="shared" si="35"/>
        <v>202301</v>
      </c>
    </row>
    <row r="2262" spans="1:7" ht="12" customHeight="1">
      <c r="A2262" s="6">
        <v>44934</v>
      </c>
      <c r="B2262" s="7">
        <v>143521224</v>
      </c>
      <c r="C2262" s="3">
        <v>5540246176295</v>
      </c>
      <c r="D2262" s="6">
        <v>44936</v>
      </c>
      <c r="E2262" s="8">
        <v>14848</v>
      </c>
      <c r="F2262" s="23" t="str">
        <f>IFERROR(VLOOKUP(C2262, 'Catégorie des articles'!$A:$D, 4, FALSE), "")</f>
        <v>CREMERIE</v>
      </c>
      <c r="G2262">
        <f t="shared" si="35"/>
        <v>202301</v>
      </c>
    </row>
    <row r="2263" spans="1:7" ht="12" customHeight="1">
      <c r="A2263" s="6">
        <v>44934</v>
      </c>
      <c r="B2263" s="7">
        <v>143521224</v>
      </c>
      <c r="C2263" s="3">
        <v>5540246187987</v>
      </c>
      <c r="D2263" s="6">
        <v>44936</v>
      </c>
      <c r="E2263" s="8">
        <v>6682</v>
      </c>
      <c r="F2263" s="23" t="str">
        <f>IFERROR(VLOOKUP(C2263, 'Catégorie des articles'!$A:$D, 4, FALSE), "")</f>
        <v>CREMERIE</v>
      </c>
      <c r="G2263">
        <f t="shared" si="35"/>
        <v>202301</v>
      </c>
    </row>
    <row r="2264" spans="1:7" ht="12" customHeight="1">
      <c r="A2264" s="9">
        <v>44934</v>
      </c>
      <c r="B2264" s="10">
        <v>143521224</v>
      </c>
      <c r="C2264" s="3">
        <v>5540246188200</v>
      </c>
      <c r="D2264" s="9">
        <v>44936</v>
      </c>
      <c r="E2264" s="11">
        <v>2228</v>
      </c>
      <c r="F2264" s="23" t="str">
        <f>IFERROR(VLOOKUP(C2264, 'Catégorie des articles'!$A:$D, 4, FALSE), "")</f>
        <v>CREMERIE</v>
      </c>
      <c r="G2264">
        <f t="shared" si="35"/>
        <v>202301</v>
      </c>
    </row>
    <row r="2265" spans="1:7" ht="12" customHeight="1">
      <c r="A2265" s="6">
        <v>44934</v>
      </c>
      <c r="B2265" s="7">
        <v>143521231</v>
      </c>
      <c r="C2265" s="3">
        <v>5540246191598</v>
      </c>
      <c r="D2265" s="6">
        <v>44938</v>
      </c>
      <c r="E2265" s="8">
        <v>1601</v>
      </c>
      <c r="F2265" s="23" t="str">
        <f>IFERROR(VLOOKUP(C2265, 'Catégorie des articles'!$A:$D, 4, FALSE), "")</f>
        <v>CREMERIE</v>
      </c>
      <c r="G2265">
        <f t="shared" si="35"/>
        <v>202301</v>
      </c>
    </row>
    <row r="2266" spans="1:7" ht="12" customHeight="1">
      <c r="A2266" s="9">
        <v>44934</v>
      </c>
      <c r="B2266" s="10">
        <v>143521245</v>
      </c>
      <c r="C2266" s="3">
        <v>5540246175047</v>
      </c>
      <c r="D2266" s="9">
        <v>44942</v>
      </c>
      <c r="E2266" s="11">
        <v>418</v>
      </c>
      <c r="F2266" s="23" t="str">
        <f>IFERROR(VLOOKUP(C2266, 'Catégorie des articles'!$A:$D, 4, FALSE), "")</f>
        <v>CREMERIE</v>
      </c>
      <c r="G2266">
        <f t="shared" si="35"/>
        <v>202301</v>
      </c>
    </row>
    <row r="2267" spans="1:7" ht="12" customHeight="1">
      <c r="A2267" s="6">
        <v>44934</v>
      </c>
      <c r="B2267" s="7">
        <v>143521245</v>
      </c>
      <c r="C2267" s="3">
        <v>5540246175049</v>
      </c>
      <c r="D2267" s="6">
        <v>44942</v>
      </c>
      <c r="E2267" s="8">
        <v>1114</v>
      </c>
      <c r="F2267" s="23" t="str">
        <f>IFERROR(VLOOKUP(C2267, 'Catégorie des articles'!$A:$D, 4, FALSE), "")</f>
        <v>CREMERIE</v>
      </c>
      <c r="G2267">
        <f t="shared" si="35"/>
        <v>202301</v>
      </c>
    </row>
    <row r="2268" spans="1:7" ht="12" customHeight="1">
      <c r="A2268" s="9">
        <v>44934</v>
      </c>
      <c r="B2268" s="10">
        <v>143521245</v>
      </c>
      <c r="C2268" s="3">
        <v>5540246175050</v>
      </c>
      <c r="D2268" s="9">
        <v>44942</v>
      </c>
      <c r="E2268" s="11">
        <v>1114</v>
      </c>
      <c r="F2268" s="23" t="str">
        <f>IFERROR(VLOOKUP(C2268, 'Catégorie des articles'!$A:$D, 4, FALSE), "")</f>
        <v>CREMERIE</v>
      </c>
      <c r="G2268">
        <f t="shared" si="35"/>
        <v>202301</v>
      </c>
    </row>
    <row r="2269" spans="1:7" ht="12" customHeight="1">
      <c r="A2269" s="6">
        <v>44935</v>
      </c>
      <c r="B2269" s="7">
        <v>143521272</v>
      </c>
      <c r="C2269" s="3">
        <v>5540246176699</v>
      </c>
      <c r="D2269" s="6">
        <v>44938</v>
      </c>
      <c r="E2269" s="8">
        <v>6264</v>
      </c>
      <c r="F2269" s="23" t="str">
        <f>IFERROR(VLOOKUP(C2269, 'Catégorie des articles'!$A:$D, 4, FALSE), "")</f>
        <v>CREMERIE</v>
      </c>
      <c r="G2269">
        <f t="shared" si="35"/>
        <v>202301</v>
      </c>
    </row>
    <row r="2270" spans="1:7" ht="12" customHeight="1">
      <c r="A2270" s="6">
        <v>44935</v>
      </c>
      <c r="B2270" s="7">
        <v>143521272</v>
      </c>
      <c r="C2270" s="3">
        <v>5540246188175</v>
      </c>
      <c r="D2270" s="6">
        <v>44938</v>
      </c>
      <c r="E2270" s="8">
        <v>928</v>
      </c>
      <c r="F2270" s="23" t="str">
        <f>IFERROR(VLOOKUP(C2270, 'Catégorie des articles'!$A:$D, 4, FALSE), "")</f>
        <v>CREMERIE</v>
      </c>
      <c r="G2270">
        <f t="shared" si="35"/>
        <v>202301</v>
      </c>
    </row>
    <row r="2271" spans="1:7" ht="12" customHeight="1">
      <c r="A2271" s="9">
        <v>44935</v>
      </c>
      <c r="B2271" s="10">
        <v>143521274</v>
      </c>
      <c r="C2271" s="3">
        <v>5540246176295</v>
      </c>
      <c r="D2271" s="9">
        <v>44938</v>
      </c>
      <c r="E2271" s="11">
        <v>7424</v>
      </c>
      <c r="F2271" s="23" t="str">
        <f>IFERROR(VLOOKUP(C2271, 'Catégorie des articles'!$A:$D, 4, FALSE), "")</f>
        <v>CREMERIE</v>
      </c>
      <c r="G2271">
        <f t="shared" si="35"/>
        <v>202301</v>
      </c>
    </row>
    <row r="2272" spans="1:7" ht="12" customHeight="1">
      <c r="A2272" s="6">
        <v>44935</v>
      </c>
      <c r="B2272" s="7">
        <v>143521274</v>
      </c>
      <c r="C2272" s="3">
        <v>5540246187987</v>
      </c>
      <c r="D2272" s="6">
        <v>44938</v>
      </c>
      <c r="E2272" s="8">
        <v>4455</v>
      </c>
      <c r="F2272" s="23" t="str">
        <f>IFERROR(VLOOKUP(C2272, 'Catégorie des articles'!$A:$D, 4, FALSE), "")</f>
        <v>CREMERIE</v>
      </c>
      <c r="G2272">
        <f t="shared" si="35"/>
        <v>202301</v>
      </c>
    </row>
    <row r="2273" spans="1:7" ht="12" customHeight="1">
      <c r="A2273" s="9">
        <v>44935</v>
      </c>
      <c r="B2273" s="10">
        <v>143521285</v>
      </c>
      <c r="C2273" s="3">
        <v>5540246194632</v>
      </c>
      <c r="D2273" s="9">
        <v>44945</v>
      </c>
      <c r="E2273" s="11">
        <v>1420</v>
      </c>
      <c r="F2273" s="23" t="str">
        <f>IFERROR(VLOOKUP(C2273, 'Catégorie des articles'!$A:$D, 4, FALSE), "")</f>
        <v>BOULANGERIE</v>
      </c>
      <c r="G2273">
        <f t="shared" si="35"/>
        <v>202301</v>
      </c>
    </row>
    <row r="2274" spans="1:7" ht="12" customHeight="1">
      <c r="A2274" s="9">
        <v>44935</v>
      </c>
      <c r="B2274" s="10">
        <v>143521289</v>
      </c>
      <c r="C2274" s="3">
        <v>5540246195250</v>
      </c>
      <c r="D2274" s="9">
        <v>44943</v>
      </c>
      <c r="E2274" s="11">
        <v>84</v>
      </c>
      <c r="F2274" s="23" t="str">
        <f>IFERROR(VLOOKUP(C2274, 'Catégorie des articles'!$A:$D, 4, FALSE), "")</f>
        <v>BOULANGERIE</v>
      </c>
      <c r="G2274">
        <f t="shared" si="35"/>
        <v>202301</v>
      </c>
    </row>
    <row r="2275" spans="1:7" ht="12" customHeight="1">
      <c r="A2275" s="9">
        <v>44936</v>
      </c>
      <c r="B2275" s="10">
        <v>143521300</v>
      </c>
      <c r="C2275" s="3">
        <v>5540246176699</v>
      </c>
      <c r="D2275" s="9">
        <v>44941</v>
      </c>
      <c r="E2275" s="11">
        <v>4176</v>
      </c>
      <c r="F2275" s="23" t="str">
        <f>IFERROR(VLOOKUP(C2275, 'Catégorie des articles'!$A:$D, 4, FALSE), "")</f>
        <v>CREMERIE</v>
      </c>
      <c r="G2275">
        <f t="shared" si="35"/>
        <v>202301</v>
      </c>
    </row>
    <row r="2276" spans="1:7" ht="12" customHeight="1">
      <c r="A2276" s="6">
        <v>44936</v>
      </c>
      <c r="B2276" s="7">
        <v>143521300</v>
      </c>
      <c r="C2276" s="3">
        <v>5540246192102</v>
      </c>
      <c r="D2276" s="6">
        <v>44941</v>
      </c>
      <c r="E2276" s="8">
        <v>4009</v>
      </c>
      <c r="F2276" s="23" t="str">
        <f>IFERROR(VLOOKUP(C2276, 'Catégorie des articles'!$A:$D, 4, FALSE), "")</f>
        <v>CREMERIE</v>
      </c>
      <c r="G2276">
        <f t="shared" si="35"/>
        <v>202301</v>
      </c>
    </row>
    <row r="2277" spans="1:7" ht="12" customHeight="1">
      <c r="A2277" s="6">
        <v>44936</v>
      </c>
      <c r="B2277" s="7">
        <v>143521302</v>
      </c>
      <c r="C2277" s="3">
        <v>5540246187987</v>
      </c>
      <c r="D2277" s="6">
        <v>44941</v>
      </c>
      <c r="E2277" s="8">
        <v>3341</v>
      </c>
      <c r="F2277" s="23" t="str">
        <f>IFERROR(VLOOKUP(C2277, 'Catégorie des articles'!$A:$D, 4, FALSE), "")</f>
        <v>CREMERIE</v>
      </c>
      <c r="G2277">
        <f t="shared" si="35"/>
        <v>202301</v>
      </c>
    </row>
    <row r="2278" spans="1:7" ht="12" customHeight="1">
      <c r="A2278" s="9">
        <v>44938</v>
      </c>
      <c r="B2278" s="10">
        <v>143521324</v>
      </c>
      <c r="C2278" s="3">
        <v>5540246172978</v>
      </c>
      <c r="D2278" s="9">
        <v>44942</v>
      </c>
      <c r="E2278" s="11">
        <v>836</v>
      </c>
      <c r="F2278" s="23" t="str">
        <f>IFERROR(VLOOKUP(C2278, 'Catégorie des articles'!$A:$D, 4, FALSE), "")</f>
        <v>CREMERIE</v>
      </c>
      <c r="G2278">
        <f t="shared" si="35"/>
        <v>202301</v>
      </c>
    </row>
    <row r="2279" spans="1:7" ht="12" customHeight="1">
      <c r="A2279" s="6">
        <v>44938</v>
      </c>
      <c r="B2279" s="7">
        <v>143521324</v>
      </c>
      <c r="C2279" s="3">
        <v>5540246174174</v>
      </c>
      <c r="D2279" s="6">
        <v>44942</v>
      </c>
      <c r="E2279" s="8">
        <v>464</v>
      </c>
      <c r="F2279" s="23" t="str">
        <f>IFERROR(VLOOKUP(C2279, 'Catégorie des articles'!$A:$D, 4, FALSE), "")</f>
        <v>CREMERIE</v>
      </c>
      <c r="G2279">
        <f t="shared" si="35"/>
        <v>202301</v>
      </c>
    </row>
    <row r="2280" spans="1:7" ht="12" customHeight="1">
      <c r="A2280" s="6">
        <v>44938</v>
      </c>
      <c r="B2280" s="7">
        <v>143521324</v>
      </c>
      <c r="C2280" s="3">
        <v>5540246176699</v>
      </c>
      <c r="D2280" s="6">
        <v>44942</v>
      </c>
      <c r="E2280" s="8">
        <v>4176</v>
      </c>
      <c r="F2280" s="23" t="str">
        <f>IFERROR(VLOOKUP(C2280, 'Catégorie des articles'!$A:$D, 4, FALSE), "")</f>
        <v>CREMERIE</v>
      </c>
      <c r="G2280">
        <f t="shared" si="35"/>
        <v>202301</v>
      </c>
    </row>
    <row r="2281" spans="1:7" ht="12" customHeight="1">
      <c r="A2281" s="9">
        <v>44938</v>
      </c>
      <c r="B2281" s="10">
        <v>143521324</v>
      </c>
      <c r="C2281" s="3">
        <v>5540246188175</v>
      </c>
      <c r="D2281" s="9">
        <v>44942</v>
      </c>
      <c r="E2281" s="11">
        <v>464</v>
      </c>
      <c r="F2281" s="23" t="str">
        <f>IFERROR(VLOOKUP(C2281, 'Catégorie des articles'!$A:$D, 4, FALSE), "")</f>
        <v>CREMERIE</v>
      </c>
      <c r="G2281">
        <f t="shared" si="35"/>
        <v>202301</v>
      </c>
    </row>
    <row r="2282" spans="1:7" ht="12" customHeight="1">
      <c r="A2282" s="9">
        <v>44938</v>
      </c>
      <c r="B2282" s="10">
        <v>143521325</v>
      </c>
      <c r="C2282" s="3">
        <v>5540246171933</v>
      </c>
      <c r="D2282" s="9">
        <v>44942</v>
      </c>
      <c r="E2282" s="11">
        <v>1671</v>
      </c>
      <c r="F2282" s="23" t="str">
        <f>IFERROR(VLOOKUP(C2282, 'Catégorie des articles'!$A:$D, 4, FALSE), "")</f>
        <v>CREMERIE</v>
      </c>
      <c r="G2282">
        <f t="shared" si="35"/>
        <v>202301</v>
      </c>
    </row>
    <row r="2283" spans="1:7" ht="12" customHeight="1">
      <c r="A2283" s="6">
        <v>44938</v>
      </c>
      <c r="B2283" s="7">
        <v>143521325</v>
      </c>
      <c r="C2283" s="3">
        <v>5540246188200</v>
      </c>
      <c r="D2283" s="6">
        <v>44942</v>
      </c>
      <c r="E2283" s="8">
        <v>743</v>
      </c>
      <c r="F2283" s="23" t="str">
        <f>IFERROR(VLOOKUP(C2283, 'Catégorie des articles'!$A:$D, 4, FALSE), "")</f>
        <v>CREMERIE</v>
      </c>
      <c r="G2283">
        <f t="shared" si="35"/>
        <v>202301</v>
      </c>
    </row>
    <row r="2284" spans="1:7" ht="12" customHeight="1">
      <c r="A2284" s="6">
        <v>44938</v>
      </c>
      <c r="B2284" s="7">
        <v>143521342</v>
      </c>
      <c r="C2284" s="3">
        <v>5540246185429</v>
      </c>
      <c r="D2284" s="6">
        <v>44943</v>
      </c>
      <c r="E2284" s="8">
        <v>140</v>
      </c>
      <c r="F2284" s="23" t="str">
        <f>IFERROR(VLOOKUP(C2284, 'Catégorie des articles'!$A:$D, 4, FALSE), "")</f>
        <v>CREMERIE</v>
      </c>
      <c r="G2284">
        <f t="shared" si="35"/>
        <v>202301</v>
      </c>
    </row>
    <row r="2285" spans="1:7" ht="12" customHeight="1">
      <c r="A2285" s="9">
        <v>44938</v>
      </c>
      <c r="B2285" s="10">
        <v>143521342</v>
      </c>
      <c r="C2285" s="3">
        <v>5540246185562</v>
      </c>
      <c r="D2285" s="9">
        <v>44943</v>
      </c>
      <c r="E2285" s="11">
        <v>279</v>
      </c>
      <c r="F2285" s="23" t="str">
        <f>IFERROR(VLOOKUP(C2285, 'Catégorie des articles'!$A:$D, 4, FALSE), "")</f>
        <v>CREMERIE</v>
      </c>
      <c r="G2285">
        <f t="shared" si="35"/>
        <v>202301</v>
      </c>
    </row>
    <row r="2286" spans="1:7" ht="12" customHeight="1">
      <c r="A2286" s="6">
        <v>44938</v>
      </c>
      <c r="B2286" s="7">
        <v>143521342</v>
      </c>
      <c r="C2286" s="3">
        <v>5540246186325</v>
      </c>
      <c r="D2286" s="6">
        <v>44943</v>
      </c>
      <c r="E2286" s="8">
        <v>279</v>
      </c>
      <c r="F2286" s="23" t="str">
        <f>IFERROR(VLOOKUP(C2286, 'Catégorie des articles'!$A:$D, 4, FALSE), "")</f>
        <v>CREMERIE</v>
      </c>
      <c r="G2286">
        <f t="shared" si="35"/>
        <v>202301</v>
      </c>
    </row>
    <row r="2287" spans="1:7" ht="12" customHeight="1">
      <c r="A2287" s="6">
        <v>44941</v>
      </c>
      <c r="B2287" s="7">
        <v>143531365</v>
      </c>
      <c r="C2287" s="3">
        <v>5540246174174</v>
      </c>
      <c r="D2287" s="6">
        <v>44943</v>
      </c>
      <c r="E2287" s="8">
        <v>464</v>
      </c>
      <c r="F2287" s="23" t="str">
        <f>IFERROR(VLOOKUP(C2287, 'Catégorie des articles'!$A:$D, 4, FALSE), "")</f>
        <v>CREMERIE</v>
      </c>
      <c r="G2287">
        <f t="shared" si="35"/>
        <v>202301</v>
      </c>
    </row>
    <row r="2288" spans="1:7" ht="12" customHeight="1">
      <c r="A2288" s="9">
        <v>44941</v>
      </c>
      <c r="B2288" s="10">
        <v>143531365</v>
      </c>
      <c r="C2288" s="3">
        <v>5540246188175</v>
      </c>
      <c r="D2288" s="9">
        <v>44943</v>
      </c>
      <c r="E2288" s="11">
        <v>464</v>
      </c>
      <c r="F2288" s="23" t="str">
        <f>IFERROR(VLOOKUP(C2288, 'Catégorie des articles'!$A:$D, 4, FALSE), "")</f>
        <v>CREMERIE</v>
      </c>
      <c r="G2288">
        <f t="shared" si="35"/>
        <v>202301</v>
      </c>
    </row>
    <row r="2289" spans="1:7" ht="12" customHeight="1">
      <c r="A2289" s="9">
        <v>44941</v>
      </c>
      <c r="B2289" s="10">
        <v>143531366</v>
      </c>
      <c r="C2289" s="3">
        <v>5540246176294</v>
      </c>
      <c r="D2289" s="9">
        <v>44943</v>
      </c>
      <c r="E2289" s="11">
        <v>1114</v>
      </c>
      <c r="F2289" s="23" t="str">
        <f>IFERROR(VLOOKUP(C2289, 'Catégorie des articles'!$A:$D, 4, FALSE), "")</f>
        <v>CREMERIE</v>
      </c>
      <c r="G2289">
        <f t="shared" si="35"/>
        <v>202301</v>
      </c>
    </row>
    <row r="2290" spans="1:7" ht="12" customHeight="1">
      <c r="A2290" s="6">
        <v>44941</v>
      </c>
      <c r="B2290" s="7">
        <v>143531366</v>
      </c>
      <c r="C2290" s="3">
        <v>5540246176295</v>
      </c>
      <c r="D2290" s="6">
        <v>44943</v>
      </c>
      <c r="E2290" s="8">
        <v>4455</v>
      </c>
      <c r="F2290" s="23" t="str">
        <f>IFERROR(VLOOKUP(C2290, 'Catégorie des articles'!$A:$D, 4, FALSE), "")</f>
        <v>CREMERIE</v>
      </c>
      <c r="G2290">
        <f t="shared" si="35"/>
        <v>202301</v>
      </c>
    </row>
    <row r="2291" spans="1:7" ht="12" customHeight="1">
      <c r="A2291" s="6">
        <v>44942</v>
      </c>
      <c r="B2291" s="7">
        <v>143531382</v>
      </c>
      <c r="C2291" s="3">
        <v>5540246171933</v>
      </c>
      <c r="D2291" s="6">
        <v>44944</v>
      </c>
      <c r="E2291" s="8">
        <v>557</v>
      </c>
      <c r="F2291" s="23" t="str">
        <f>IFERROR(VLOOKUP(C2291, 'Catégorie des articles'!$A:$D, 4, FALSE), "")</f>
        <v>CREMERIE</v>
      </c>
      <c r="G2291">
        <f t="shared" si="35"/>
        <v>202301</v>
      </c>
    </row>
    <row r="2292" spans="1:7" ht="12" customHeight="1">
      <c r="A2292" s="6">
        <v>44942</v>
      </c>
      <c r="B2292" s="7">
        <v>143531393</v>
      </c>
      <c r="C2292" s="3">
        <v>5540246194632</v>
      </c>
      <c r="D2292" s="6">
        <v>44943</v>
      </c>
      <c r="E2292" s="8">
        <v>251</v>
      </c>
      <c r="F2292" s="23" t="str">
        <f>IFERROR(VLOOKUP(C2292, 'Catégorie des articles'!$A:$D, 4, FALSE), "")</f>
        <v>BOULANGERIE</v>
      </c>
      <c r="G2292">
        <f t="shared" si="35"/>
        <v>202301</v>
      </c>
    </row>
    <row r="2293" spans="1:7" ht="12" customHeight="1">
      <c r="A2293" s="9">
        <v>44944</v>
      </c>
      <c r="B2293" s="10">
        <v>143531423</v>
      </c>
      <c r="C2293" s="3">
        <v>5540246188175</v>
      </c>
      <c r="D2293" s="9">
        <v>44948</v>
      </c>
      <c r="E2293" s="11">
        <v>464</v>
      </c>
      <c r="F2293" s="23" t="str">
        <f>IFERROR(VLOOKUP(C2293, 'Catégorie des articles'!$A:$D, 4, FALSE), "")</f>
        <v>CREMERIE</v>
      </c>
      <c r="G2293">
        <f t="shared" si="35"/>
        <v>202301</v>
      </c>
    </row>
    <row r="2294" spans="1:7" ht="12" customHeight="1">
      <c r="A2294" s="6">
        <v>44944</v>
      </c>
      <c r="B2294" s="7">
        <v>143531425</v>
      </c>
      <c r="C2294" s="3">
        <v>5540246171933</v>
      </c>
      <c r="D2294" s="6">
        <v>44948</v>
      </c>
      <c r="E2294" s="8">
        <v>1114</v>
      </c>
      <c r="F2294" s="23" t="str">
        <f>IFERROR(VLOOKUP(C2294, 'Catégorie des articles'!$A:$D, 4, FALSE), "")</f>
        <v>CREMERIE</v>
      </c>
      <c r="G2294">
        <f t="shared" si="35"/>
        <v>202301</v>
      </c>
    </row>
    <row r="2295" spans="1:7" ht="12" customHeight="1">
      <c r="A2295" s="9">
        <v>44944</v>
      </c>
      <c r="B2295" s="10">
        <v>143531425</v>
      </c>
      <c r="C2295" s="3">
        <v>5540246176294</v>
      </c>
      <c r="D2295" s="9">
        <v>44948</v>
      </c>
      <c r="E2295" s="11">
        <v>743</v>
      </c>
      <c r="F2295" s="23" t="str">
        <f>IFERROR(VLOOKUP(C2295, 'Catégorie des articles'!$A:$D, 4, FALSE), "")</f>
        <v>CREMERIE</v>
      </c>
      <c r="G2295">
        <f t="shared" si="35"/>
        <v>202301</v>
      </c>
    </row>
    <row r="2296" spans="1:7" ht="12" customHeight="1">
      <c r="A2296" s="6">
        <v>44944</v>
      </c>
      <c r="B2296" s="7">
        <v>143531425</v>
      </c>
      <c r="C2296" s="3">
        <v>5540246176295</v>
      </c>
      <c r="D2296" s="6">
        <v>44948</v>
      </c>
      <c r="E2296" s="8">
        <v>7424</v>
      </c>
      <c r="F2296" s="23" t="str">
        <f>IFERROR(VLOOKUP(C2296, 'Catégorie des articles'!$A:$D, 4, FALSE), "")</f>
        <v>CREMERIE</v>
      </c>
      <c r="G2296">
        <f t="shared" si="35"/>
        <v>202301</v>
      </c>
    </row>
    <row r="2297" spans="1:7" ht="12" customHeight="1">
      <c r="A2297" s="6">
        <v>44944</v>
      </c>
      <c r="B2297" s="7">
        <v>143531425</v>
      </c>
      <c r="C2297" s="3">
        <v>5540246187987</v>
      </c>
      <c r="D2297" s="6">
        <v>44948</v>
      </c>
      <c r="E2297" s="8">
        <v>4455</v>
      </c>
      <c r="F2297" s="23" t="str">
        <f>IFERROR(VLOOKUP(C2297, 'Catégorie des articles'!$A:$D, 4, FALSE), "")</f>
        <v>CREMERIE</v>
      </c>
      <c r="G2297">
        <f t="shared" si="35"/>
        <v>202301</v>
      </c>
    </row>
    <row r="2298" spans="1:7" ht="12" customHeight="1">
      <c r="A2298" s="9">
        <v>44944</v>
      </c>
      <c r="B2298" s="10">
        <v>143531430</v>
      </c>
      <c r="C2298" s="3">
        <v>5540246194632</v>
      </c>
      <c r="D2298" s="9">
        <v>44950</v>
      </c>
      <c r="E2298" s="11">
        <v>1504</v>
      </c>
      <c r="F2298" s="23" t="str">
        <f>IFERROR(VLOOKUP(C2298, 'Catégorie des articles'!$A:$D, 4, FALSE), "")</f>
        <v>BOULANGERIE</v>
      </c>
      <c r="G2298">
        <f t="shared" si="35"/>
        <v>202301</v>
      </c>
    </row>
    <row r="2299" spans="1:7" ht="12" customHeight="1">
      <c r="A2299" s="9">
        <v>44944</v>
      </c>
      <c r="B2299" s="10">
        <v>143531432</v>
      </c>
      <c r="C2299" s="3">
        <v>5540246188175</v>
      </c>
      <c r="D2299" s="9">
        <v>44945</v>
      </c>
      <c r="E2299" s="11">
        <v>1392</v>
      </c>
      <c r="F2299" s="23" t="str">
        <f>IFERROR(VLOOKUP(C2299, 'Catégorie des articles'!$A:$D, 4, FALSE), "")</f>
        <v>CREMERIE</v>
      </c>
      <c r="G2299">
        <f t="shared" si="35"/>
        <v>202301</v>
      </c>
    </row>
    <row r="2300" spans="1:7" ht="12" customHeight="1">
      <c r="A2300" s="6">
        <v>44944</v>
      </c>
      <c r="B2300" s="7">
        <v>143531433</v>
      </c>
      <c r="C2300" s="3">
        <v>5540246188175</v>
      </c>
      <c r="D2300" s="6">
        <v>44949</v>
      </c>
      <c r="E2300" s="8">
        <v>2320</v>
      </c>
      <c r="F2300" s="23" t="str">
        <f>IFERROR(VLOOKUP(C2300, 'Catégorie des articles'!$A:$D, 4, FALSE), "")</f>
        <v>CREMERIE</v>
      </c>
      <c r="G2300">
        <f t="shared" si="35"/>
        <v>202301</v>
      </c>
    </row>
    <row r="2301" spans="1:7" ht="12" customHeight="1">
      <c r="A2301" s="6">
        <v>44944</v>
      </c>
      <c r="B2301" s="7">
        <v>143531435</v>
      </c>
      <c r="C2301" s="3">
        <v>5540246183844</v>
      </c>
      <c r="D2301" s="6">
        <v>44949</v>
      </c>
      <c r="E2301" s="8">
        <v>325</v>
      </c>
      <c r="F2301" s="23" t="str">
        <f>IFERROR(VLOOKUP(C2301, 'Catégorie des articles'!$A:$D, 4, FALSE), "")</f>
        <v>BOULANGERIE</v>
      </c>
      <c r="G2301">
        <f t="shared" si="35"/>
        <v>202301</v>
      </c>
    </row>
    <row r="2302" spans="1:7" ht="12" customHeight="1">
      <c r="A2302" s="9">
        <v>44945</v>
      </c>
      <c r="B2302" s="10">
        <v>143531453</v>
      </c>
      <c r="C2302" s="3">
        <v>5540246172978</v>
      </c>
      <c r="D2302" s="9">
        <v>44949</v>
      </c>
      <c r="E2302" s="11">
        <v>1671</v>
      </c>
      <c r="F2302" s="23" t="str">
        <f>IFERROR(VLOOKUP(C2302, 'Catégorie des articles'!$A:$D, 4, FALSE), "")</f>
        <v>CREMERIE</v>
      </c>
      <c r="G2302">
        <f t="shared" si="35"/>
        <v>202301</v>
      </c>
    </row>
    <row r="2303" spans="1:7" ht="12" customHeight="1">
      <c r="A2303" s="9">
        <v>44945</v>
      </c>
      <c r="B2303" s="10">
        <v>143531453</v>
      </c>
      <c r="C2303" s="3">
        <v>5540246174174</v>
      </c>
      <c r="D2303" s="9">
        <v>44949</v>
      </c>
      <c r="E2303" s="11">
        <v>464</v>
      </c>
      <c r="F2303" s="23" t="str">
        <f>IFERROR(VLOOKUP(C2303, 'Catégorie des articles'!$A:$D, 4, FALSE), "")</f>
        <v>CREMERIE</v>
      </c>
      <c r="G2303">
        <f t="shared" si="35"/>
        <v>202301</v>
      </c>
    </row>
    <row r="2304" spans="1:7" ht="12" customHeight="1">
      <c r="A2304" s="6">
        <v>44945</v>
      </c>
      <c r="B2304" s="7">
        <v>143531453</v>
      </c>
      <c r="C2304" s="3">
        <v>5540246176699</v>
      </c>
      <c r="D2304" s="6">
        <v>44949</v>
      </c>
      <c r="E2304" s="8">
        <v>4176</v>
      </c>
      <c r="F2304" s="23" t="str">
        <f>IFERROR(VLOOKUP(C2304, 'Catégorie des articles'!$A:$D, 4, FALSE), "")</f>
        <v>CREMERIE</v>
      </c>
      <c r="G2304">
        <f t="shared" si="35"/>
        <v>202301</v>
      </c>
    </row>
    <row r="2305" spans="1:7" ht="12" customHeight="1">
      <c r="A2305" s="9">
        <v>44945</v>
      </c>
      <c r="B2305" s="10">
        <v>143531453</v>
      </c>
      <c r="C2305" s="3">
        <v>5540246192102</v>
      </c>
      <c r="D2305" s="9">
        <v>44949</v>
      </c>
      <c r="E2305" s="11">
        <v>2005</v>
      </c>
      <c r="F2305" s="23" t="str">
        <f>IFERROR(VLOOKUP(C2305, 'Catégorie des articles'!$A:$D, 4, FALSE), "")</f>
        <v>CREMERIE</v>
      </c>
      <c r="G2305">
        <f t="shared" si="35"/>
        <v>202301</v>
      </c>
    </row>
    <row r="2306" spans="1:7" ht="12" customHeight="1">
      <c r="A2306" s="9">
        <v>44945</v>
      </c>
      <c r="B2306" s="10">
        <v>143531454</v>
      </c>
      <c r="C2306" s="3">
        <v>5540246171933</v>
      </c>
      <c r="D2306" s="9">
        <v>44949</v>
      </c>
      <c r="E2306" s="11">
        <v>557</v>
      </c>
      <c r="F2306" s="23" t="str">
        <f>IFERROR(VLOOKUP(C2306, 'Catégorie des articles'!$A:$D, 4, FALSE), "")</f>
        <v>CREMERIE</v>
      </c>
      <c r="G2306">
        <f t="shared" si="35"/>
        <v>202301</v>
      </c>
    </row>
    <row r="2307" spans="1:7" ht="12" customHeight="1">
      <c r="A2307" s="6">
        <v>44945</v>
      </c>
      <c r="B2307" s="7">
        <v>143531454</v>
      </c>
      <c r="C2307" s="3">
        <v>5540246176294</v>
      </c>
      <c r="D2307" s="6">
        <v>44949</v>
      </c>
      <c r="E2307" s="8">
        <v>743</v>
      </c>
      <c r="F2307" s="23" t="str">
        <f>IFERROR(VLOOKUP(C2307, 'Catégorie des articles'!$A:$D, 4, FALSE), "")</f>
        <v>CREMERIE</v>
      </c>
      <c r="G2307">
        <f t="shared" ref="G2307:G2349" si="36">YEAR(D2307)*100 + MONTH(D2307)</f>
        <v>202301</v>
      </c>
    </row>
    <row r="2308" spans="1:7" ht="12" customHeight="1">
      <c r="A2308" s="9">
        <v>44945</v>
      </c>
      <c r="B2308" s="10">
        <v>143531454</v>
      </c>
      <c r="C2308" s="3">
        <v>5540246176295</v>
      </c>
      <c r="D2308" s="9">
        <v>44949</v>
      </c>
      <c r="E2308" s="11">
        <v>7424</v>
      </c>
      <c r="F2308" s="23" t="str">
        <f>IFERROR(VLOOKUP(C2308, 'Catégorie des articles'!$A:$D, 4, FALSE), "")</f>
        <v>CREMERIE</v>
      </c>
      <c r="G2308">
        <f t="shared" si="36"/>
        <v>202301</v>
      </c>
    </row>
    <row r="2309" spans="1:7" ht="12" customHeight="1">
      <c r="A2309" s="6">
        <v>44945</v>
      </c>
      <c r="B2309" s="7">
        <v>143531454</v>
      </c>
      <c r="C2309" s="3">
        <v>5540246187987</v>
      </c>
      <c r="D2309" s="6">
        <v>44949</v>
      </c>
      <c r="E2309" s="8">
        <v>4455</v>
      </c>
      <c r="F2309" s="23" t="str">
        <f>IFERROR(VLOOKUP(C2309, 'Catégorie des articles'!$A:$D, 4, FALSE), "")</f>
        <v>CREMERIE</v>
      </c>
      <c r="G2309">
        <f t="shared" si="36"/>
        <v>202301</v>
      </c>
    </row>
    <row r="2310" spans="1:7" ht="12" customHeight="1">
      <c r="A2310" s="9">
        <v>44945</v>
      </c>
      <c r="B2310" s="10">
        <v>143531458</v>
      </c>
      <c r="C2310" s="3">
        <v>5540246188175</v>
      </c>
      <c r="D2310" s="9">
        <v>44946</v>
      </c>
      <c r="E2310" s="11">
        <v>1392</v>
      </c>
      <c r="F2310" s="23" t="str">
        <f>IFERROR(VLOOKUP(C2310, 'Catégorie des articles'!$A:$D, 4, FALSE), "")</f>
        <v>CREMERIE</v>
      </c>
      <c r="G2310">
        <f t="shared" si="36"/>
        <v>202301</v>
      </c>
    </row>
    <row r="2311" spans="1:7" ht="12" customHeight="1">
      <c r="A2311" s="9">
        <v>44945</v>
      </c>
      <c r="B2311" s="10">
        <v>143531460</v>
      </c>
      <c r="C2311" s="3">
        <v>5540246191598</v>
      </c>
      <c r="D2311" s="9">
        <v>44950</v>
      </c>
      <c r="E2311" s="11">
        <v>1601</v>
      </c>
      <c r="F2311" s="23" t="str">
        <f>IFERROR(VLOOKUP(C2311, 'Catégorie des articles'!$A:$D, 4, FALSE), "")</f>
        <v>CREMERIE</v>
      </c>
      <c r="G2311">
        <f t="shared" si="36"/>
        <v>202301</v>
      </c>
    </row>
    <row r="2312" spans="1:7" ht="12" customHeight="1">
      <c r="A2312" s="6">
        <v>44948</v>
      </c>
      <c r="B2312" s="7">
        <v>143541475</v>
      </c>
      <c r="C2312" s="3">
        <v>5540246172669</v>
      </c>
      <c r="D2312" s="6">
        <v>44950</v>
      </c>
      <c r="E2312" s="8">
        <v>279</v>
      </c>
      <c r="F2312" s="23" t="str">
        <f>IFERROR(VLOOKUP(C2312, 'Catégorie des articles'!$A:$D, 4, FALSE), "")</f>
        <v>CREMERIE</v>
      </c>
      <c r="G2312">
        <f t="shared" si="36"/>
        <v>202301</v>
      </c>
    </row>
    <row r="2313" spans="1:7" ht="12" customHeight="1">
      <c r="A2313" s="9">
        <v>44948</v>
      </c>
      <c r="B2313" s="10">
        <v>143541475</v>
      </c>
      <c r="C2313" s="3">
        <v>5540246172978</v>
      </c>
      <c r="D2313" s="9">
        <v>44950</v>
      </c>
      <c r="E2313" s="11">
        <v>1253</v>
      </c>
      <c r="F2313" s="23" t="str">
        <f>IFERROR(VLOOKUP(C2313, 'Catégorie des articles'!$A:$D, 4, FALSE), "")</f>
        <v>CREMERIE</v>
      </c>
      <c r="G2313">
        <f t="shared" si="36"/>
        <v>202301</v>
      </c>
    </row>
    <row r="2314" spans="1:7" ht="12" customHeight="1">
      <c r="A2314" s="9">
        <v>44948</v>
      </c>
      <c r="B2314" s="10">
        <v>143541475</v>
      </c>
      <c r="C2314" s="3">
        <v>5540246174174</v>
      </c>
      <c r="D2314" s="9">
        <v>44950</v>
      </c>
      <c r="E2314" s="11">
        <v>464</v>
      </c>
      <c r="F2314" s="23" t="str">
        <f>IFERROR(VLOOKUP(C2314, 'Catégorie des articles'!$A:$D, 4, FALSE), "")</f>
        <v>CREMERIE</v>
      </c>
      <c r="G2314">
        <f t="shared" si="36"/>
        <v>202301</v>
      </c>
    </row>
    <row r="2315" spans="1:7" ht="12" customHeight="1">
      <c r="A2315" s="9">
        <v>44948</v>
      </c>
      <c r="B2315" s="10">
        <v>143541475</v>
      </c>
      <c r="C2315" s="3">
        <v>5540246176699</v>
      </c>
      <c r="D2315" s="9">
        <v>44950</v>
      </c>
      <c r="E2315" s="11">
        <v>4176</v>
      </c>
      <c r="F2315" s="23" t="str">
        <f>IFERROR(VLOOKUP(C2315, 'Catégorie des articles'!$A:$D, 4, FALSE), "")</f>
        <v>CREMERIE</v>
      </c>
      <c r="G2315">
        <f t="shared" si="36"/>
        <v>202301</v>
      </c>
    </row>
    <row r="2316" spans="1:7" ht="12" customHeight="1">
      <c r="A2316" s="9">
        <v>44948</v>
      </c>
      <c r="B2316" s="10">
        <v>143541477</v>
      </c>
      <c r="C2316" s="3">
        <v>5540246176294</v>
      </c>
      <c r="D2316" s="9">
        <v>44950</v>
      </c>
      <c r="E2316" s="11">
        <v>1485</v>
      </c>
      <c r="F2316" s="23" t="str">
        <f>IFERROR(VLOOKUP(C2316, 'Catégorie des articles'!$A:$D, 4, FALSE), "")</f>
        <v>CREMERIE</v>
      </c>
      <c r="G2316">
        <f t="shared" si="36"/>
        <v>202301</v>
      </c>
    </row>
    <row r="2317" spans="1:7" ht="12" customHeight="1">
      <c r="A2317" s="6">
        <v>44948</v>
      </c>
      <c r="B2317" s="7">
        <v>143541477</v>
      </c>
      <c r="C2317" s="3">
        <v>5540246176295</v>
      </c>
      <c r="D2317" s="6">
        <v>44950</v>
      </c>
      <c r="E2317" s="8">
        <v>11136</v>
      </c>
      <c r="F2317" s="23" t="str">
        <f>IFERROR(VLOOKUP(C2317, 'Catégorie des articles'!$A:$D, 4, FALSE), "")</f>
        <v>CREMERIE</v>
      </c>
      <c r="G2317">
        <f t="shared" si="36"/>
        <v>202301</v>
      </c>
    </row>
    <row r="2318" spans="1:7" ht="12" customHeight="1">
      <c r="A2318" s="9">
        <v>44948</v>
      </c>
      <c r="B2318" s="10">
        <v>143541486</v>
      </c>
      <c r="C2318" s="3">
        <v>5540246173472</v>
      </c>
      <c r="D2318" s="9">
        <v>44952</v>
      </c>
      <c r="E2318" s="11">
        <v>140</v>
      </c>
      <c r="F2318" s="23" t="str">
        <f>IFERROR(VLOOKUP(C2318, 'Catégorie des articles'!$A:$D, 4, FALSE), "")</f>
        <v>CREMERIE</v>
      </c>
      <c r="G2318">
        <f t="shared" si="36"/>
        <v>202301</v>
      </c>
    </row>
    <row r="2319" spans="1:7" ht="12" customHeight="1">
      <c r="A2319" s="6">
        <v>44948</v>
      </c>
      <c r="B2319" s="7">
        <v>143541486</v>
      </c>
      <c r="C2319" s="3">
        <v>5540246174095</v>
      </c>
      <c r="D2319" s="6">
        <v>44952</v>
      </c>
      <c r="E2319" s="8">
        <v>140</v>
      </c>
      <c r="F2319" s="23" t="str">
        <f>IFERROR(VLOOKUP(C2319, 'Catégorie des articles'!$A:$D, 4, FALSE), "")</f>
        <v>CREMERIE</v>
      </c>
      <c r="G2319">
        <f t="shared" si="36"/>
        <v>202301</v>
      </c>
    </row>
    <row r="2320" spans="1:7" ht="12" customHeight="1">
      <c r="A2320" s="9">
        <v>44948</v>
      </c>
      <c r="B2320" s="10">
        <v>143541486</v>
      </c>
      <c r="C2320" s="3">
        <v>5540246175049</v>
      </c>
      <c r="D2320" s="9">
        <v>44952</v>
      </c>
      <c r="E2320" s="11">
        <v>836</v>
      </c>
      <c r="F2320" s="23" t="str">
        <f>IFERROR(VLOOKUP(C2320, 'Catégorie des articles'!$A:$D, 4, FALSE), "")</f>
        <v>CREMERIE</v>
      </c>
      <c r="G2320">
        <f t="shared" si="36"/>
        <v>202301</v>
      </c>
    </row>
    <row r="2321" spans="1:7" ht="12" customHeight="1">
      <c r="A2321" s="6">
        <v>44948</v>
      </c>
      <c r="B2321" s="7">
        <v>143541486</v>
      </c>
      <c r="C2321" s="3">
        <v>5540246175050</v>
      </c>
      <c r="D2321" s="6">
        <v>44952</v>
      </c>
      <c r="E2321" s="8">
        <v>836</v>
      </c>
      <c r="F2321" s="23" t="str">
        <f>IFERROR(VLOOKUP(C2321, 'Catégorie des articles'!$A:$D, 4, FALSE), "")</f>
        <v>CREMERIE</v>
      </c>
      <c r="G2321">
        <f t="shared" si="36"/>
        <v>202301</v>
      </c>
    </row>
    <row r="2322" spans="1:7" ht="12" customHeight="1">
      <c r="A2322" s="9">
        <v>44948</v>
      </c>
      <c r="B2322" s="10">
        <v>143541486</v>
      </c>
      <c r="C2322" s="3">
        <v>5540246190743</v>
      </c>
      <c r="D2322" s="9">
        <v>44952</v>
      </c>
      <c r="E2322" s="11">
        <v>140</v>
      </c>
      <c r="F2322" s="23" t="str">
        <f>IFERROR(VLOOKUP(C2322, 'Catégorie des articles'!$A:$D, 4, FALSE), "")</f>
        <v>CREMERIE</v>
      </c>
      <c r="G2322">
        <f t="shared" si="36"/>
        <v>202301</v>
      </c>
    </row>
    <row r="2323" spans="1:7" ht="12" customHeight="1">
      <c r="A2323" s="9">
        <v>44949</v>
      </c>
      <c r="B2323" s="10">
        <v>143541505</v>
      </c>
      <c r="C2323" s="3">
        <v>5540246172539</v>
      </c>
      <c r="D2323" s="9">
        <v>44951</v>
      </c>
      <c r="E2323" s="11">
        <v>70</v>
      </c>
      <c r="F2323" s="23" t="str">
        <f>IFERROR(VLOOKUP(C2323, 'Catégorie des articles'!$A:$D, 4, FALSE), "")</f>
        <v>CREMERIE</v>
      </c>
      <c r="G2323">
        <f t="shared" si="36"/>
        <v>202301</v>
      </c>
    </row>
    <row r="2324" spans="1:7" ht="12" customHeight="1">
      <c r="A2324" s="6">
        <v>44949</v>
      </c>
      <c r="B2324" s="7">
        <v>143541505</v>
      </c>
      <c r="C2324" s="3">
        <v>5540246172669</v>
      </c>
      <c r="D2324" s="6">
        <v>44951</v>
      </c>
      <c r="E2324" s="8">
        <v>279</v>
      </c>
      <c r="F2324" s="23" t="str">
        <f>IFERROR(VLOOKUP(C2324, 'Catégorie des articles'!$A:$D, 4, FALSE), "")</f>
        <v>CREMERIE</v>
      </c>
      <c r="G2324">
        <f t="shared" si="36"/>
        <v>202301</v>
      </c>
    </row>
    <row r="2325" spans="1:7" ht="12" customHeight="1">
      <c r="A2325" s="9">
        <v>44949</v>
      </c>
      <c r="B2325" s="10">
        <v>143541505</v>
      </c>
      <c r="C2325" s="3">
        <v>5540246172978</v>
      </c>
      <c r="D2325" s="9">
        <v>44951</v>
      </c>
      <c r="E2325" s="11">
        <v>1671</v>
      </c>
      <c r="F2325" s="23" t="str">
        <f>IFERROR(VLOOKUP(C2325, 'Catégorie des articles'!$A:$D, 4, FALSE), "")</f>
        <v>CREMERIE</v>
      </c>
      <c r="G2325">
        <f t="shared" si="36"/>
        <v>202301</v>
      </c>
    </row>
    <row r="2326" spans="1:7" ht="12" customHeight="1">
      <c r="A2326" s="9">
        <v>44949</v>
      </c>
      <c r="B2326" s="10">
        <v>143541505</v>
      </c>
      <c r="C2326" s="3">
        <v>5540246174174</v>
      </c>
      <c r="D2326" s="9">
        <v>44951</v>
      </c>
      <c r="E2326" s="11">
        <v>464</v>
      </c>
      <c r="F2326" s="23" t="str">
        <f>IFERROR(VLOOKUP(C2326, 'Catégorie des articles'!$A:$D, 4, FALSE), "")</f>
        <v>CREMERIE</v>
      </c>
      <c r="G2326">
        <f t="shared" si="36"/>
        <v>202301</v>
      </c>
    </row>
    <row r="2327" spans="1:7" ht="12" customHeight="1">
      <c r="A2327" s="6">
        <v>44949</v>
      </c>
      <c r="B2327" s="7">
        <v>143541505</v>
      </c>
      <c r="C2327" s="3">
        <v>5540246176699</v>
      </c>
      <c r="D2327" s="6">
        <v>44951</v>
      </c>
      <c r="E2327" s="8">
        <v>12528</v>
      </c>
      <c r="F2327" s="23" t="str">
        <f>IFERROR(VLOOKUP(C2327, 'Catégorie des articles'!$A:$D, 4, FALSE), "")</f>
        <v>CREMERIE</v>
      </c>
      <c r="G2327">
        <f t="shared" si="36"/>
        <v>202301</v>
      </c>
    </row>
    <row r="2328" spans="1:7" ht="12" customHeight="1">
      <c r="A2328" s="9">
        <v>44949</v>
      </c>
      <c r="B2328" s="10">
        <v>143541506</v>
      </c>
      <c r="C2328" s="3">
        <v>5540246171933</v>
      </c>
      <c r="D2328" s="9">
        <v>44951</v>
      </c>
      <c r="E2328" s="11">
        <v>1114</v>
      </c>
      <c r="F2328" s="23" t="str">
        <f>IFERROR(VLOOKUP(C2328, 'Catégorie des articles'!$A:$D, 4, FALSE), "")</f>
        <v>CREMERIE</v>
      </c>
      <c r="G2328">
        <f t="shared" si="36"/>
        <v>202301</v>
      </c>
    </row>
    <row r="2329" spans="1:7" ht="12" customHeight="1">
      <c r="A2329" s="9">
        <v>44949</v>
      </c>
      <c r="B2329" s="10">
        <v>143541506</v>
      </c>
      <c r="C2329" s="3">
        <v>5540246187987</v>
      </c>
      <c r="D2329" s="9">
        <v>44951</v>
      </c>
      <c r="E2329" s="11">
        <v>4455</v>
      </c>
      <c r="F2329" s="23" t="str">
        <f>IFERROR(VLOOKUP(C2329, 'Catégorie des articles'!$A:$D, 4, FALSE), "")</f>
        <v>CREMERIE</v>
      </c>
      <c r="G2329">
        <f t="shared" si="36"/>
        <v>202301</v>
      </c>
    </row>
    <row r="2330" spans="1:7" ht="12" customHeight="1">
      <c r="A2330" s="6">
        <v>44950</v>
      </c>
      <c r="B2330" s="7">
        <v>143541532</v>
      </c>
      <c r="C2330" s="3">
        <v>5540246172978</v>
      </c>
      <c r="D2330" s="6">
        <v>44952</v>
      </c>
      <c r="E2330" s="8">
        <v>2506</v>
      </c>
      <c r="F2330" s="23" t="str">
        <f>IFERROR(VLOOKUP(C2330, 'Catégorie des articles'!$A:$D, 4, FALSE), "")</f>
        <v>CREMERIE</v>
      </c>
      <c r="G2330">
        <f t="shared" si="36"/>
        <v>202301</v>
      </c>
    </row>
    <row r="2331" spans="1:7" ht="12" customHeight="1">
      <c r="A2331" s="9">
        <v>44950</v>
      </c>
      <c r="B2331" s="10">
        <v>143541535</v>
      </c>
      <c r="C2331" s="3">
        <v>5540246171933</v>
      </c>
      <c r="D2331" s="9">
        <v>44952</v>
      </c>
      <c r="E2331" s="11">
        <v>557</v>
      </c>
      <c r="F2331" s="23" t="str">
        <f>IFERROR(VLOOKUP(C2331, 'Catégorie des articles'!$A:$D, 4, FALSE), "")</f>
        <v>CREMERIE</v>
      </c>
      <c r="G2331">
        <f t="shared" si="36"/>
        <v>202301</v>
      </c>
    </row>
    <row r="2332" spans="1:7" ht="12" customHeight="1">
      <c r="A2332" s="9">
        <v>44950</v>
      </c>
      <c r="B2332" s="10">
        <v>143541535</v>
      </c>
      <c r="C2332" s="3">
        <v>5540246176294</v>
      </c>
      <c r="D2332" s="9">
        <v>44952</v>
      </c>
      <c r="E2332" s="11">
        <v>743</v>
      </c>
      <c r="F2332" s="23" t="str">
        <f>IFERROR(VLOOKUP(C2332, 'Catégorie des articles'!$A:$D, 4, FALSE), "")</f>
        <v>CREMERIE</v>
      </c>
      <c r="G2332">
        <f t="shared" si="36"/>
        <v>202301</v>
      </c>
    </row>
    <row r="2333" spans="1:7" ht="12" customHeight="1">
      <c r="A2333" s="6">
        <v>44950</v>
      </c>
      <c r="B2333" s="7">
        <v>143541535</v>
      </c>
      <c r="C2333" s="3">
        <v>5540246187987</v>
      </c>
      <c r="D2333" s="6">
        <v>44952</v>
      </c>
      <c r="E2333" s="8">
        <v>3341</v>
      </c>
      <c r="F2333" s="23" t="str">
        <f>IFERROR(VLOOKUP(C2333, 'Catégorie des articles'!$A:$D, 4, FALSE), "")</f>
        <v>CREMERIE</v>
      </c>
      <c r="G2333">
        <f t="shared" si="36"/>
        <v>202301</v>
      </c>
    </row>
    <row r="2334" spans="1:7" ht="12" customHeight="1">
      <c r="A2334" s="6">
        <v>44950</v>
      </c>
      <c r="B2334" s="7">
        <v>143541537</v>
      </c>
      <c r="C2334" s="3">
        <v>5540246188175</v>
      </c>
      <c r="D2334" s="6">
        <v>44956</v>
      </c>
      <c r="E2334" s="8">
        <v>4640</v>
      </c>
      <c r="F2334" s="23" t="str">
        <f>IFERROR(VLOOKUP(C2334, 'Catégorie des articles'!$A:$D, 4, FALSE), "")</f>
        <v>CREMERIE</v>
      </c>
      <c r="G2334">
        <f t="shared" si="36"/>
        <v>202301</v>
      </c>
    </row>
    <row r="2335" spans="1:7" ht="12" customHeight="1">
      <c r="A2335" s="6">
        <v>44950</v>
      </c>
      <c r="B2335" s="7">
        <v>143541542</v>
      </c>
      <c r="C2335" s="3">
        <v>5540246186325</v>
      </c>
      <c r="D2335" s="6">
        <v>44956</v>
      </c>
      <c r="E2335" s="8">
        <v>279</v>
      </c>
      <c r="F2335" s="23" t="str">
        <f>IFERROR(VLOOKUP(C2335, 'Catégorie des articles'!$A:$D, 4, FALSE), "")</f>
        <v>CREMERIE</v>
      </c>
      <c r="G2335">
        <f t="shared" si="36"/>
        <v>202301</v>
      </c>
    </row>
    <row r="2336" spans="1:7" ht="12" customHeight="1">
      <c r="A2336" s="9">
        <v>44951</v>
      </c>
      <c r="B2336" s="10">
        <v>143541565</v>
      </c>
      <c r="C2336" s="3">
        <v>5540246172978</v>
      </c>
      <c r="D2336" s="9">
        <v>44955</v>
      </c>
      <c r="E2336" s="11">
        <v>836</v>
      </c>
      <c r="F2336" s="23" t="str">
        <f>IFERROR(VLOOKUP(C2336, 'Catégorie des articles'!$A:$D, 4, FALSE), "")</f>
        <v>CREMERIE</v>
      </c>
      <c r="G2336">
        <f t="shared" si="36"/>
        <v>202301</v>
      </c>
    </row>
    <row r="2337" spans="1:7" ht="12" customHeight="1">
      <c r="A2337" s="9">
        <v>44951</v>
      </c>
      <c r="B2337" s="10">
        <v>143541566</v>
      </c>
      <c r="C2337" s="3">
        <v>5540246171933</v>
      </c>
      <c r="D2337" s="9">
        <v>44955</v>
      </c>
      <c r="E2337" s="11">
        <v>1003</v>
      </c>
      <c r="F2337" s="23" t="str">
        <f>IFERROR(VLOOKUP(C2337, 'Catégorie des articles'!$A:$D, 4, FALSE), "")</f>
        <v>CREMERIE</v>
      </c>
      <c r="G2337">
        <f t="shared" si="36"/>
        <v>202301</v>
      </c>
    </row>
    <row r="2338" spans="1:7" ht="12" customHeight="1">
      <c r="A2338" s="9">
        <v>44951</v>
      </c>
      <c r="B2338" s="10">
        <v>143541566</v>
      </c>
      <c r="C2338" s="3">
        <v>5540246176294</v>
      </c>
      <c r="D2338" s="9">
        <v>44955</v>
      </c>
      <c r="E2338" s="11">
        <v>743</v>
      </c>
      <c r="F2338" s="23" t="str">
        <f>IFERROR(VLOOKUP(C2338, 'Catégorie des articles'!$A:$D, 4, FALSE), "")</f>
        <v>CREMERIE</v>
      </c>
      <c r="G2338">
        <f t="shared" si="36"/>
        <v>202301</v>
      </c>
    </row>
    <row r="2339" spans="1:7" ht="12" customHeight="1">
      <c r="A2339" s="9">
        <v>44951</v>
      </c>
      <c r="B2339" s="10">
        <v>143541573</v>
      </c>
      <c r="C2339" s="3">
        <v>5540246191594</v>
      </c>
      <c r="D2339" s="9">
        <v>44956</v>
      </c>
      <c r="E2339" s="11">
        <v>1504</v>
      </c>
      <c r="F2339" s="23" t="str">
        <f>IFERROR(VLOOKUP(C2339, 'Catégorie des articles'!$A:$D, 4, FALSE), "")</f>
        <v>CREMERIE</v>
      </c>
      <c r="G2339">
        <f t="shared" si="36"/>
        <v>202301</v>
      </c>
    </row>
    <row r="2340" spans="1:7" ht="12" customHeight="1">
      <c r="A2340" s="6">
        <v>44951</v>
      </c>
      <c r="B2340" s="7">
        <v>143541573</v>
      </c>
      <c r="C2340" s="3">
        <v>5540246191598</v>
      </c>
      <c r="D2340" s="6">
        <v>44956</v>
      </c>
      <c r="E2340" s="8">
        <v>1601</v>
      </c>
      <c r="F2340" s="23" t="str">
        <f>IFERROR(VLOOKUP(C2340, 'Catégorie des articles'!$A:$D, 4, FALSE), "")</f>
        <v>CREMERIE</v>
      </c>
      <c r="G2340">
        <f t="shared" si="36"/>
        <v>202301</v>
      </c>
    </row>
    <row r="2341" spans="1:7" ht="12" customHeight="1">
      <c r="A2341" s="9">
        <v>44951</v>
      </c>
      <c r="B2341" s="10">
        <v>143541573</v>
      </c>
      <c r="C2341" s="3">
        <v>5540246192102</v>
      </c>
      <c r="D2341" s="9">
        <v>44956</v>
      </c>
      <c r="E2341" s="11">
        <v>2005</v>
      </c>
      <c r="F2341" s="23" t="str">
        <f>IFERROR(VLOOKUP(C2341, 'Catégorie des articles'!$A:$D, 4, FALSE), "")</f>
        <v>CREMERIE</v>
      </c>
      <c r="G2341">
        <f t="shared" si="36"/>
        <v>202301</v>
      </c>
    </row>
    <row r="2342" spans="1:7" ht="12" customHeight="1">
      <c r="A2342" s="6">
        <v>44951</v>
      </c>
      <c r="B2342" s="7">
        <v>143541581</v>
      </c>
      <c r="C2342" s="3">
        <v>5540246188175</v>
      </c>
      <c r="D2342" s="6">
        <v>44952</v>
      </c>
      <c r="E2342" s="8">
        <v>1276</v>
      </c>
      <c r="F2342" s="23" t="str">
        <f>IFERROR(VLOOKUP(C2342, 'Catégorie des articles'!$A:$D, 4, FALSE), "")</f>
        <v>CREMERIE</v>
      </c>
      <c r="G2342">
        <f t="shared" si="36"/>
        <v>202301</v>
      </c>
    </row>
    <row r="2343" spans="1:7" ht="12" customHeight="1">
      <c r="A2343" s="9">
        <v>44952</v>
      </c>
      <c r="B2343" s="10">
        <v>143541594</v>
      </c>
      <c r="C2343" s="3">
        <v>5540246194632</v>
      </c>
      <c r="D2343" s="9">
        <v>44953</v>
      </c>
      <c r="E2343" s="11">
        <v>335</v>
      </c>
      <c r="F2343" s="23" t="str">
        <f>IFERROR(VLOOKUP(C2343, 'Catégorie des articles'!$A:$D, 4, FALSE), "")</f>
        <v>BOULANGERIE</v>
      </c>
      <c r="G2343">
        <f t="shared" si="36"/>
        <v>202301</v>
      </c>
    </row>
    <row r="2344" spans="1:7" ht="12" customHeight="1">
      <c r="A2344" s="9">
        <v>44952</v>
      </c>
      <c r="B2344" s="10">
        <v>143541595</v>
      </c>
      <c r="C2344" s="3">
        <v>5540246174174</v>
      </c>
      <c r="D2344" s="9">
        <v>44956</v>
      </c>
      <c r="E2344" s="11">
        <v>464</v>
      </c>
      <c r="F2344" s="23" t="str">
        <f>IFERROR(VLOOKUP(C2344, 'Catégorie des articles'!$A:$D, 4, FALSE), "")</f>
        <v>CREMERIE</v>
      </c>
      <c r="G2344">
        <f t="shared" si="36"/>
        <v>202301</v>
      </c>
    </row>
    <row r="2345" spans="1:7" ht="12" customHeight="1">
      <c r="A2345" s="6">
        <v>44952</v>
      </c>
      <c r="B2345" s="7">
        <v>143541595</v>
      </c>
      <c r="C2345" s="3">
        <v>5540246176699</v>
      </c>
      <c r="D2345" s="6">
        <v>44956</v>
      </c>
      <c r="E2345" s="8">
        <v>4176</v>
      </c>
      <c r="F2345" s="23" t="str">
        <f>IFERROR(VLOOKUP(C2345, 'Catégorie des articles'!$A:$D, 4, FALSE), "")</f>
        <v>CREMERIE</v>
      </c>
      <c r="G2345">
        <f t="shared" si="36"/>
        <v>202301</v>
      </c>
    </row>
    <row r="2346" spans="1:7" ht="12" customHeight="1">
      <c r="A2346" s="6">
        <v>44952</v>
      </c>
      <c r="B2346" s="7">
        <v>143541596</v>
      </c>
      <c r="C2346" s="3">
        <v>5540246171933</v>
      </c>
      <c r="D2346" s="6">
        <v>44956</v>
      </c>
      <c r="E2346" s="8">
        <v>557</v>
      </c>
      <c r="F2346" s="23" t="str">
        <f>IFERROR(VLOOKUP(C2346, 'Catégorie des articles'!$A:$D, 4, FALSE), "")</f>
        <v>CREMERIE</v>
      </c>
      <c r="G2346">
        <f t="shared" si="36"/>
        <v>202301</v>
      </c>
    </row>
    <row r="2347" spans="1:7" ht="12" customHeight="1">
      <c r="A2347" s="6">
        <v>44952</v>
      </c>
      <c r="B2347" s="7">
        <v>143541596</v>
      </c>
      <c r="C2347" s="3">
        <v>5540246176295</v>
      </c>
      <c r="D2347" s="6">
        <v>44956</v>
      </c>
      <c r="E2347" s="8">
        <v>4455</v>
      </c>
      <c r="F2347" s="23" t="str">
        <f>IFERROR(VLOOKUP(C2347, 'Catégorie des articles'!$A:$D, 4, FALSE), "")</f>
        <v>CREMERIE</v>
      </c>
      <c r="G2347">
        <f t="shared" si="36"/>
        <v>202301</v>
      </c>
    </row>
    <row r="2348" spans="1:7" ht="12" customHeight="1">
      <c r="A2348" s="6">
        <v>44952</v>
      </c>
      <c r="B2348" s="7">
        <v>143541596</v>
      </c>
      <c r="C2348" s="3">
        <v>5540246187987</v>
      </c>
      <c r="D2348" s="6">
        <v>44956</v>
      </c>
      <c r="E2348" s="8">
        <v>4455</v>
      </c>
      <c r="F2348" s="23" t="str">
        <f>IFERROR(VLOOKUP(C2348, 'Catégorie des articles'!$A:$D, 4, FALSE), "")</f>
        <v>CREMERIE</v>
      </c>
      <c r="G2348">
        <f t="shared" si="36"/>
        <v>202301</v>
      </c>
    </row>
    <row r="2349" spans="1:7" ht="12" customHeight="1">
      <c r="A2349" s="6">
        <v>44952</v>
      </c>
      <c r="B2349" s="7">
        <v>143541616</v>
      </c>
      <c r="C2349" s="3">
        <v>5540246194632</v>
      </c>
      <c r="D2349" s="6">
        <v>44955</v>
      </c>
      <c r="E2349" s="8">
        <v>919</v>
      </c>
      <c r="F2349" s="23" t="str">
        <f>IFERROR(VLOOKUP(C2349, 'Catégorie des articles'!$A:$D, 4, FALSE), "")</f>
        <v>BOULANGERIE</v>
      </c>
      <c r="G2349">
        <f t="shared" si="36"/>
        <v>202301</v>
      </c>
    </row>
  </sheetData>
  <autoFilter ref="A1:E234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W2160"/>
  <sheetViews>
    <sheetView zoomScale="99" zoomScaleNormal="150" workbookViewId="0">
      <selection activeCell="F12" sqref="F12"/>
    </sheetView>
  </sheetViews>
  <sheetFormatPr baseColWidth="10" defaultColWidth="12.6640625" defaultRowHeight="15.75" customHeight="1"/>
  <cols>
    <col min="1" max="1" width="10.6640625" customWidth="1"/>
    <col min="2" max="2" width="16.6640625" customWidth="1"/>
    <col min="3" max="3" width="16.33203125" style="33" customWidth="1"/>
    <col min="4" max="4" width="20.1640625" customWidth="1"/>
    <col min="5" max="5" width="16.6640625" customWidth="1"/>
    <col min="6" max="6" width="25.33203125" customWidth="1"/>
    <col min="7" max="7" width="28.5" customWidth="1"/>
    <col min="8" max="8" width="13.1640625" customWidth="1"/>
    <col min="9" max="23" width="8.6640625" customWidth="1"/>
  </cols>
  <sheetData>
    <row r="1" spans="1:21" ht="36" customHeight="1">
      <c r="A1" s="1" t="s">
        <v>154</v>
      </c>
      <c r="B1" s="2" t="s">
        <v>155</v>
      </c>
      <c r="C1" s="30" t="s">
        <v>158</v>
      </c>
      <c r="D1" s="1" t="s">
        <v>159</v>
      </c>
      <c r="E1" s="34" t="s">
        <v>3</v>
      </c>
      <c r="F1" s="20" t="s">
        <v>160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2.75" customHeight="1">
      <c r="A2" s="7">
        <v>142634985</v>
      </c>
      <c r="B2" s="13">
        <v>5540246188047</v>
      </c>
      <c r="C2" s="31">
        <v>44693</v>
      </c>
      <c r="D2" s="8">
        <v>116</v>
      </c>
      <c r="E2" s="14" t="str">
        <f>VLOOKUP(B2, 'Catégorie des articles'!A:E, 4, FALSE)</f>
        <v>EMBALLAGES</v>
      </c>
      <c r="F2" s="14">
        <f t="shared" ref="F2:F65" si="0">YEAR(C2)*100 + MONTH(C2)</f>
        <v>202205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12.75" customHeight="1">
      <c r="A3" s="10">
        <v>142635040</v>
      </c>
      <c r="B3" s="15">
        <v>5540246187995</v>
      </c>
      <c r="C3" s="32">
        <v>44786</v>
      </c>
      <c r="D3" s="11">
        <v>2320</v>
      </c>
      <c r="E3" s="14" t="str">
        <f>VLOOKUP(B3, 'Catégorie des articles'!A:E, 4, FALSE)</f>
        <v>EMBALLAGES</v>
      </c>
      <c r="F3" s="14">
        <f t="shared" si="0"/>
        <v>202208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ht="12.75" customHeight="1">
      <c r="A4" s="10">
        <v>142645084</v>
      </c>
      <c r="B4" s="15">
        <v>5540246188047</v>
      </c>
      <c r="C4" s="32">
        <v>44693</v>
      </c>
      <c r="D4" s="11">
        <v>116</v>
      </c>
      <c r="E4" s="14" t="str">
        <f>VLOOKUP(B4, 'Catégorie des articles'!A:E, 4, FALSE)</f>
        <v>EMBALLAGES</v>
      </c>
      <c r="F4" s="14">
        <f t="shared" si="0"/>
        <v>202205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ht="12.75" customHeight="1">
      <c r="A5" s="7">
        <v>142645188</v>
      </c>
      <c r="B5" s="13">
        <v>5540246190727</v>
      </c>
      <c r="C5" s="31">
        <v>44687</v>
      </c>
      <c r="D5" s="8">
        <v>877</v>
      </c>
      <c r="E5" s="14" t="str">
        <f>VLOOKUP(B5, 'Catégorie des articles'!A:E, 4, FALSE)</f>
        <v>BOULANGERIE</v>
      </c>
      <c r="F5" s="14">
        <f t="shared" si="0"/>
        <v>202205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12.75" customHeight="1">
      <c r="A6" s="10">
        <v>142645192</v>
      </c>
      <c r="B6" s="15">
        <v>5540246192264</v>
      </c>
      <c r="C6" s="32">
        <v>44684</v>
      </c>
      <c r="D6" s="11">
        <v>1300</v>
      </c>
      <c r="E6" s="14" t="str">
        <f>VLOOKUP(B6, 'Catégorie des articles'!A:E, 4, FALSE)</f>
        <v>CREMERIE</v>
      </c>
      <c r="F6" s="14">
        <f t="shared" si="0"/>
        <v>202205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12.75" customHeight="1">
      <c r="A7" s="7">
        <v>142645192</v>
      </c>
      <c r="B7" s="13">
        <v>5540246192265</v>
      </c>
      <c r="C7" s="31">
        <v>44684</v>
      </c>
      <c r="D7" s="8">
        <v>483</v>
      </c>
      <c r="E7" s="14" t="str">
        <f>VLOOKUP(B7, 'Catégorie des articles'!A:E, 4, FALSE)</f>
        <v>CREMERIE</v>
      </c>
      <c r="F7" s="14">
        <f t="shared" si="0"/>
        <v>202205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12.75" customHeight="1">
      <c r="A8" s="7">
        <v>142655345</v>
      </c>
      <c r="B8" s="13">
        <v>5540246181061</v>
      </c>
      <c r="C8" s="31">
        <v>44684</v>
      </c>
      <c r="D8" s="8">
        <v>5099</v>
      </c>
      <c r="E8" s="14" t="str">
        <f>VLOOKUP(B8, 'Catégorie des articles'!A:E, 4, FALSE)</f>
        <v>VOLAILLE</v>
      </c>
      <c r="F8" s="14">
        <f t="shared" si="0"/>
        <v>202205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ht="12.75" customHeight="1">
      <c r="A9" s="7">
        <v>142655350</v>
      </c>
      <c r="B9" s="13">
        <v>5540246193505</v>
      </c>
      <c r="C9" s="31">
        <v>44683</v>
      </c>
      <c r="D9" s="8">
        <v>14848</v>
      </c>
      <c r="E9" s="14" t="str">
        <f>VLOOKUP(B9, 'Catégorie des articles'!A:E, 4, FALSE)</f>
        <v>BOULANGERIE</v>
      </c>
      <c r="F9" s="14">
        <f t="shared" si="0"/>
        <v>202205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12.75" customHeight="1">
      <c r="A10" s="10">
        <v>142655351</v>
      </c>
      <c r="B10" s="15">
        <v>5540246193505</v>
      </c>
      <c r="C10" s="32">
        <v>44694</v>
      </c>
      <c r="D10" s="11">
        <v>17818</v>
      </c>
      <c r="E10" s="14" t="str">
        <f>VLOOKUP(B10, 'Catégorie des articles'!A:E, 4, FALSE)</f>
        <v>BOULANGERIE</v>
      </c>
      <c r="F10" s="14">
        <f t="shared" si="0"/>
        <v>202205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ht="12.75" customHeight="1">
      <c r="A11" s="10">
        <v>142665370</v>
      </c>
      <c r="B11" s="15">
        <v>5540246188224</v>
      </c>
      <c r="C11" s="32">
        <v>44683</v>
      </c>
      <c r="D11" s="11">
        <v>1207</v>
      </c>
      <c r="E11" s="14" t="str">
        <f>VLOOKUP(B11, 'Catégorie des articles'!A:E, 4, FALSE)</f>
        <v>VOLAILLE</v>
      </c>
      <c r="F11" s="14">
        <f t="shared" si="0"/>
        <v>202205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2.75" customHeight="1">
      <c r="A12" s="10">
        <v>142665379</v>
      </c>
      <c r="B12" s="15">
        <v>5540246180522</v>
      </c>
      <c r="C12" s="32">
        <v>44682</v>
      </c>
      <c r="D12" s="11">
        <v>1337</v>
      </c>
      <c r="E12" s="14" t="str">
        <f>VLOOKUP(B12, 'Catégorie des articles'!A:E, 4, FALSE)</f>
        <v>BOULANGERIE</v>
      </c>
      <c r="F12" s="14">
        <f t="shared" si="0"/>
        <v>202205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12.75" customHeight="1">
      <c r="A13" s="10">
        <v>142665420</v>
      </c>
      <c r="B13" s="15">
        <v>5540246192264</v>
      </c>
      <c r="C13" s="32">
        <v>44705</v>
      </c>
      <c r="D13" s="11">
        <v>1485</v>
      </c>
      <c r="E13" s="14" t="str">
        <f>VLOOKUP(B13, 'Catégorie des articles'!A:E, 4, FALSE)</f>
        <v>CREMERIE</v>
      </c>
      <c r="F13" s="14">
        <f t="shared" si="0"/>
        <v>202205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12.75" customHeight="1">
      <c r="A14" s="7">
        <v>142665420</v>
      </c>
      <c r="B14" s="13">
        <v>5540246192265</v>
      </c>
      <c r="C14" s="31">
        <v>44705</v>
      </c>
      <c r="D14" s="8">
        <v>297</v>
      </c>
      <c r="E14" s="14" t="str">
        <f>VLOOKUP(B14, 'Catégorie des articles'!A:E, 4, FALSE)</f>
        <v>CREMERIE</v>
      </c>
      <c r="F14" s="14">
        <f t="shared" si="0"/>
        <v>202205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12.75" customHeight="1">
      <c r="A15" s="10">
        <v>142665441</v>
      </c>
      <c r="B15" s="15">
        <v>5540246173472</v>
      </c>
      <c r="C15" s="32">
        <v>44682</v>
      </c>
      <c r="D15" s="11">
        <v>307</v>
      </c>
      <c r="E15" s="14" t="str">
        <f>VLOOKUP(B15, 'Catégorie des articles'!A:E, 4, FALSE)</f>
        <v>CREMERIE</v>
      </c>
      <c r="F15" s="14">
        <f t="shared" si="0"/>
        <v>202205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ht="12.75" customHeight="1">
      <c r="A16" s="7">
        <v>142665441</v>
      </c>
      <c r="B16" s="13">
        <v>5540246175050</v>
      </c>
      <c r="C16" s="31">
        <v>44682</v>
      </c>
      <c r="D16" s="8">
        <v>279</v>
      </c>
      <c r="E16" s="14" t="str">
        <f>VLOOKUP(B16, 'Catégorie des articles'!A:E, 4, FALSE)</f>
        <v>CREMERIE</v>
      </c>
      <c r="F16" s="14">
        <f t="shared" si="0"/>
        <v>202205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 ht="12.75" customHeight="1">
      <c r="A17" s="10">
        <v>142665458</v>
      </c>
      <c r="B17" s="15">
        <v>5540246182684</v>
      </c>
      <c r="C17" s="32">
        <v>44682</v>
      </c>
      <c r="D17" s="11">
        <v>186</v>
      </c>
      <c r="E17" s="14" t="str">
        <f>VLOOKUP(B17, 'Catégorie des articles'!A:E, 4, FALSE)</f>
        <v>BOULANGERIE</v>
      </c>
      <c r="F17" s="14">
        <f t="shared" si="0"/>
        <v>202205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12.75" customHeight="1">
      <c r="A18" s="7">
        <v>142665458</v>
      </c>
      <c r="B18" s="13">
        <v>5540246183844</v>
      </c>
      <c r="C18" s="31">
        <v>44682</v>
      </c>
      <c r="D18" s="8">
        <v>140</v>
      </c>
      <c r="E18" s="14" t="str">
        <f>VLOOKUP(B18, 'Catégorie des articles'!A:E, 4, FALSE)</f>
        <v>BOULANGERIE</v>
      </c>
      <c r="F18" s="14">
        <f t="shared" si="0"/>
        <v>202205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ht="12.75" customHeight="1">
      <c r="A19" s="7">
        <v>142665488</v>
      </c>
      <c r="B19" s="13">
        <v>5540246170256</v>
      </c>
      <c r="C19" s="31">
        <v>44687</v>
      </c>
      <c r="D19" s="8">
        <v>2645</v>
      </c>
      <c r="E19" s="14" t="str">
        <f>VLOOKUP(B19, 'Catégorie des articles'!A:E, 4, FALSE)</f>
        <v>BOULANGERIE</v>
      </c>
      <c r="F19" s="14">
        <f t="shared" si="0"/>
        <v>202205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12.75" customHeight="1">
      <c r="A20" s="10">
        <v>142665488</v>
      </c>
      <c r="B20" s="15">
        <v>5540246171888</v>
      </c>
      <c r="C20" s="32">
        <v>44687</v>
      </c>
      <c r="D20" s="11">
        <v>910</v>
      </c>
      <c r="E20" s="14" t="str">
        <f>VLOOKUP(B20, 'Catégorie des articles'!A:E, 4, FALSE)</f>
        <v>BOULANGERIE</v>
      </c>
      <c r="F20" s="14">
        <f t="shared" si="0"/>
        <v>202205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12.75" customHeight="1">
      <c r="A21" s="7">
        <v>142665490</v>
      </c>
      <c r="B21" s="13">
        <v>5540246177376</v>
      </c>
      <c r="C21" s="31">
        <v>44693</v>
      </c>
      <c r="D21" s="8">
        <v>1244</v>
      </c>
      <c r="E21" s="14" t="str">
        <f>VLOOKUP(B21, 'Catégorie des articles'!A:E, 4, FALSE)</f>
        <v>BOULANGERIE</v>
      </c>
      <c r="F21" s="14">
        <f t="shared" si="0"/>
        <v>202205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 ht="12.75" customHeight="1">
      <c r="A22" s="10">
        <v>142665515</v>
      </c>
      <c r="B22" s="15">
        <v>5540246174095</v>
      </c>
      <c r="C22" s="32">
        <v>44686</v>
      </c>
      <c r="D22" s="11">
        <v>84</v>
      </c>
      <c r="E22" s="14" t="str">
        <f>VLOOKUP(B22, 'Catégorie des articles'!A:E, 4, FALSE)</f>
        <v>CREMERIE</v>
      </c>
      <c r="F22" s="14">
        <f t="shared" si="0"/>
        <v>202205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ht="12.75" customHeight="1">
      <c r="A23" s="7">
        <v>142665515</v>
      </c>
      <c r="B23" s="13">
        <v>5540246190743</v>
      </c>
      <c r="C23" s="31">
        <v>44686</v>
      </c>
      <c r="D23" s="8">
        <v>279</v>
      </c>
      <c r="E23" s="14" t="str">
        <f>VLOOKUP(B23, 'Catégorie des articles'!A:E, 4, FALSE)</f>
        <v>CREMERIE</v>
      </c>
      <c r="F23" s="14">
        <f t="shared" si="0"/>
        <v>202205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 ht="12.75" customHeight="1">
      <c r="A24" s="7">
        <v>142665520</v>
      </c>
      <c r="B24" s="13">
        <v>5540246173906</v>
      </c>
      <c r="C24" s="31">
        <v>44687</v>
      </c>
      <c r="D24" s="8">
        <v>1634</v>
      </c>
      <c r="E24" s="14" t="str">
        <f>VLOOKUP(B24, 'Catégorie des articles'!A:E, 4, FALSE)</f>
        <v>VOLAILLE</v>
      </c>
      <c r="F24" s="14">
        <f t="shared" si="0"/>
        <v>202205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ht="12.75" customHeight="1">
      <c r="A25" s="10">
        <v>142665520</v>
      </c>
      <c r="B25" s="15">
        <v>5540246181016</v>
      </c>
      <c r="C25" s="32">
        <v>44687</v>
      </c>
      <c r="D25" s="11">
        <v>8909</v>
      </c>
      <c r="E25" s="14" t="str">
        <f>VLOOKUP(B25, 'Catégorie des articles'!A:E, 4, FALSE)</f>
        <v>VOLAILLE</v>
      </c>
      <c r="F25" s="14">
        <f t="shared" si="0"/>
        <v>202205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 ht="12.75" customHeight="1">
      <c r="A26" s="10">
        <v>142675550</v>
      </c>
      <c r="B26" s="15">
        <v>5540246188583</v>
      </c>
      <c r="C26" s="32">
        <v>44682</v>
      </c>
      <c r="D26" s="11">
        <v>2784</v>
      </c>
      <c r="E26" s="14" t="str">
        <f>VLOOKUP(B26, 'Catégorie des articles'!A:E, 4, FALSE)</f>
        <v>BOULANGERIE</v>
      </c>
      <c r="F26" s="14">
        <f t="shared" si="0"/>
        <v>202205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 ht="12.75" customHeight="1">
      <c r="A27" s="7">
        <v>142675553</v>
      </c>
      <c r="B27" s="13">
        <v>5540246175047</v>
      </c>
      <c r="C27" s="31">
        <v>44686</v>
      </c>
      <c r="D27" s="8">
        <v>418</v>
      </c>
      <c r="E27" s="14" t="str">
        <f>VLOOKUP(B27, 'Catégorie des articles'!A:E, 4, FALSE)</f>
        <v>CREMERIE</v>
      </c>
      <c r="F27" s="14">
        <f t="shared" si="0"/>
        <v>202205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 ht="12.75" customHeight="1">
      <c r="A28" s="10">
        <v>142675554</v>
      </c>
      <c r="B28" s="15">
        <v>5540246174095</v>
      </c>
      <c r="C28" s="32">
        <v>44690</v>
      </c>
      <c r="D28" s="11">
        <v>140</v>
      </c>
      <c r="E28" s="14" t="str">
        <f>VLOOKUP(B28, 'Catégorie des articles'!A:E, 4, FALSE)</f>
        <v>CREMERIE</v>
      </c>
      <c r="F28" s="14">
        <f t="shared" si="0"/>
        <v>202205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 ht="12.75" customHeight="1">
      <c r="A29" s="7">
        <v>142675554</v>
      </c>
      <c r="B29" s="13">
        <v>5540246175049</v>
      </c>
      <c r="C29" s="31">
        <v>44690</v>
      </c>
      <c r="D29" s="8">
        <v>223</v>
      </c>
      <c r="E29" s="14" t="str">
        <f>VLOOKUP(B29, 'Catégorie des articles'!A:E, 4, FALSE)</f>
        <v>CREMERIE</v>
      </c>
      <c r="F29" s="14">
        <f t="shared" si="0"/>
        <v>202205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 ht="12.75" customHeight="1">
      <c r="A30" s="10">
        <v>142675554</v>
      </c>
      <c r="B30" s="15">
        <v>5540246175050</v>
      </c>
      <c r="C30" s="32">
        <v>44690</v>
      </c>
      <c r="D30" s="11">
        <v>836</v>
      </c>
      <c r="E30" s="14" t="str">
        <f>VLOOKUP(B30, 'Catégorie des articles'!A:E, 4, FALSE)</f>
        <v>CREMERIE</v>
      </c>
      <c r="F30" s="14">
        <f t="shared" si="0"/>
        <v>202205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ht="12.75" customHeight="1">
      <c r="A31" s="10">
        <v>142675555</v>
      </c>
      <c r="B31" s="15">
        <v>5540246173472</v>
      </c>
      <c r="C31" s="32">
        <v>44696</v>
      </c>
      <c r="D31" s="11">
        <v>557</v>
      </c>
      <c r="E31" s="14" t="str">
        <f>VLOOKUP(B31, 'Catégorie des articles'!A:E, 4, FALSE)</f>
        <v>CREMERIE</v>
      </c>
      <c r="F31" s="14">
        <f t="shared" si="0"/>
        <v>202205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 ht="12.75" customHeight="1">
      <c r="A32" s="7">
        <v>142675562</v>
      </c>
      <c r="B32" s="13">
        <v>5540246184617</v>
      </c>
      <c r="C32" s="31">
        <v>44686</v>
      </c>
      <c r="D32" s="8">
        <v>18338</v>
      </c>
      <c r="E32" s="14" t="str">
        <f>VLOOKUP(B32, 'Catégorie des articles'!A:E, 4, FALSE)</f>
        <v>MIX LEGUMES</v>
      </c>
      <c r="F32" s="14">
        <f t="shared" si="0"/>
        <v>202205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12.75" customHeight="1">
      <c r="A33" s="10">
        <v>142675565</v>
      </c>
      <c r="B33" s="15">
        <v>5540246170256</v>
      </c>
      <c r="C33" s="32">
        <v>44686</v>
      </c>
      <c r="D33" s="11">
        <v>1764</v>
      </c>
      <c r="E33" s="14" t="str">
        <f>VLOOKUP(B33, 'Catégorie des articles'!A:E, 4, FALSE)</f>
        <v>BOULANGERIE</v>
      </c>
      <c r="F33" s="14">
        <f t="shared" si="0"/>
        <v>202205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ht="12.75" customHeight="1">
      <c r="A34" s="7">
        <v>142675565</v>
      </c>
      <c r="B34" s="13">
        <v>5540246171888</v>
      </c>
      <c r="C34" s="31">
        <v>44686</v>
      </c>
      <c r="D34" s="8">
        <v>1560</v>
      </c>
      <c r="E34" s="14" t="str">
        <f>VLOOKUP(B34, 'Catégorie des articles'!A:E, 4, FALSE)</f>
        <v>BOULANGERIE</v>
      </c>
      <c r="F34" s="14">
        <f t="shared" si="0"/>
        <v>202205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 ht="12.75" customHeight="1">
      <c r="A35" s="7">
        <v>142675576</v>
      </c>
      <c r="B35" s="13">
        <v>5540246172978</v>
      </c>
      <c r="C35" s="31">
        <v>44682</v>
      </c>
      <c r="D35" s="8">
        <v>836</v>
      </c>
      <c r="E35" s="14" t="str">
        <f>VLOOKUP(B35, 'Catégorie des articles'!A:E, 4, FALSE)</f>
        <v>CREMERIE</v>
      </c>
      <c r="F35" s="14">
        <f t="shared" si="0"/>
        <v>202205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12.75" customHeight="1">
      <c r="A36" s="10">
        <v>142675576</v>
      </c>
      <c r="B36" s="15">
        <v>5540246174174</v>
      </c>
      <c r="C36" s="32">
        <v>44682</v>
      </c>
      <c r="D36" s="11">
        <v>232</v>
      </c>
      <c r="E36" s="14" t="str">
        <f>VLOOKUP(B36, 'Catégorie des articles'!A:E, 4, FALSE)</f>
        <v>CREMERIE</v>
      </c>
      <c r="F36" s="14">
        <f t="shared" si="0"/>
        <v>202205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ht="12.75" customHeight="1">
      <c r="A37" s="7">
        <v>142675576</v>
      </c>
      <c r="B37" s="13">
        <v>5540246176295</v>
      </c>
      <c r="C37" s="31">
        <v>44682</v>
      </c>
      <c r="D37" s="8">
        <v>7424</v>
      </c>
      <c r="E37" s="14" t="str">
        <f>VLOOKUP(B37, 'Catégorie des articles'!A:E, 4, FALSE)</f>
        <v>CREMERIE</v>
      </c>
      <c r="F37" s="14">
        <f t="shared" si="0"/>
        <v>202205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 ht="12.75" customHeight="1">
      <c r="A38" s="10">
        <v>142675576</v>
      </c>
      <c r="B38" s="15">
        <v>5540246184808</v>
      </c>
      <c r="C38" s="32">
        <v>44682</v>
      </c>
      <c r="D38" s="11">
        <v>2088</v>
      </c>
      <c r="E38" s="14" t="str">
        <f>VLOOKUP(B38, 'Catégorie des articles'!A:E, 4, FALSE)</f>
        <v>CREMERIE</v>
      </c>
      <c r="F38" s="14">
        <f t="shared" si="0"/>
        <v>202205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ht="12.75" customHeight="1">
      <c r="A39" s="7">
        <v>142675576</v>
      </c>
      <c r="B39" s="13">
        <v>5540246187987</v>
      </c>
      <c r="C39" s="31">
        <v>44682</v>
      </c>
      <c r="D39" s="8">
        <v>4455</v>
      </c>
      <c r="E39" s="14" t="str">
        <f>VLOOKUP(B39, 'Catégorie des articles'!A:E, 4, FALSE)</f>
        <v>CREMERIE</v>
      </c>
      <c r="F39" s="14">
        <f t="shared" si="0"/>
        <v>202205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t="12.75" customHeight="1">
      <c r="A40" s="10">
        <v>142675581</v>
      </c>
      <c r="B40" s="15">
        <v>5540246177132</v>
      </c>
      <c r="C40" s="32">
        <v>44682</v>
      </c>
      <c r="D40" s="11">
        <v>9280</v>
      </c>
      <c r="E40" s="14" t="str">
        <f>VLOOKUP(B40, 'Catégorie des articles'!A:E, 4, FALSE)</f>
        <v>MIX LEGUMES</v>
      </c>
      <c r="F40" s="14">
        <f t="shared" si="0"/>
        <v>202205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ht="12.75" customHeight="1">
      <c r="A41" s="7">
        <v>142675581</v>
      </c>
      <c r="B41" s="13">
        <v>5540246177133</v>
      </c>
      <c r="C41" s="31">
        <v>44682</v>
      </c>
      <c r="D41" s="8">
        <v>5012</v>
      </c>
      <c r="E41" s="14" t="str">
        <f>VLOOKUP(B41, 'Catégorie des articles'!A:E, 4, FALSE)</f>
        <v>MIX LEGUMES</v>
      </c>
      <c r="F41" s="14">
        <f t="shared" si="0"/>
        <v>202205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 ht="12.75" customHeight="1">
      <c r="A42" s="10">
        <v>142675581</v>
      </c>
      <c r="B42" s="15">
        <v>5540246183562</v>
      </c>
      <c r="C42" s="32">
        <v>44682</v>
      </c>
      <c r="D42" s="11">
        <v>1021</v>
      </c>
      <c r="E42" s="14" t="str">
        <f>VLOOKUP(B42, 'Catégorie des articles'!A:E, 4, FALSE)</f>
        <v>MIX LEGUMES</v>
      </c>
      <c r="F42" s="14">
        <f t="shared" si="0"/>
        <v>202205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2.75" customHeight="1">
      <c r="A43" s="10">
        <v>142675582</v>
      </c>
      <c r="B43" s="15">
        <v>5540246174095</v>
      </c>
      <c r="C43" s="32">
        <v>44694</v>
      </c>
      <c r="D43" s="11">
        <v>70</v>
      </c>
      <c r="E43" s="14" t="str">
        <f>VLOOKUP(B43, 'Catégorie des articles'!A:E, 4, FALSE)</f>
        <v>CREMERIE</v>
      </c>
      <c r="F43" s="14">
        <f t="shared" si="0"/>
        <v>202205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 ht="12.75" customHeight="1">
      <c r="A44" s="7">
        <v>142675582</v>
      </c>
      <c r="B44" s="13">
        <v>5540246175047</v>
      </c>
      <c r="C44" s="31">
        <v>44694</v>
      </c>
      <c r="D44" s="8">
        <v>140</v>
      </c>
      <c r="E44" s="14" t="str">
        <f>VLOOKUP(B44, 'Catégorie des articles'!A:E, 4, FALSE)</f>
        <v>CREMERIE</v>
      </c>
      <c r="F44" s="14">
        <f t="shared" si="0"/>
        <v>202205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 ht="12.75" customHeight="1">
      <c r="A45" s="10">
        <v>142675582</v>
      </c>
      <c r="B45" s="15">
        <v>5540246175049</v>
      </c>
      <c r="C45" s="32">
        <v>44694</v>
      </c>
      <c r="D45" s="11">
        <v>418</v>
      </c>
      <c r="E45" s="14" t="str">
        <f>VLOOKUP(B45, 'Catégorie des articles'!A:E, 4, FALSE)</f>
        <v>CREMERIE</v>
      </c>
      <c r="F45" s="14">
        <f t="shared" si="0"/>
        <v>202205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12.75" customHeight="1">
      <c r="A46" s="7">
        <v>142675582</v>
      </c>
      <c r="B46" s="13">
        <v>5540246175050</v>
      </c>
      <c r="C46" s="31">
        <v>44694</v>
      </c>
      <c r="D46" s="8">
        <v>696</v>
      </c>
      <c r="E46" s="14" t="str">
        <f>VLOOKUP(B46, 'Catégorie des articles'!A:E, 4, FALSE)</f>
        <v>CREMERIE</v>
      </c>
      <c r="F46" s="14">
        <f t="shared" si="0"/>
        <v>202205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 ht="12.75" customHeight="1">
      <c r="A47" s="10">
        <v>142675582</v>
      </c>
      <c r="B47" s="15">
        <v>5540246190743</v>
      </c>
      <c r="C47" s="32">
        <v>44694</v>
      </c>
      <c r="D47" s="11">
        <v>140</v>
      </c>
      <c r="E47" s="14" t="str">
        <f>VLOOKUP(B47, 'Catégorie des articles'!A:E, 4, FALSE)</f>
        <v>CREMERIE</v>
      </c>
      <c r="F47" s="14">
        <f t="shared" si="0"/>
        <v>202205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 ht="12.75" customHeight="1">
      <c r="A48" s="7">
        <v>142675583</v>
      </c>
      <c r="B48" s="13">
        <v>5540246188224</v>
      </c>
      <c r="C48" s="31">
        <v>44693</v>
      </c>
      <c r="D48" s="8">
        <v>986</v>
      </c>
      <c r="E48" s="14" t="str">
        <f>VLOOKUP(B48, 'Catégorie des articles'!A:E, 4, FALSE)</f>
        <v>VOLAILLE</v>
      </c>
      <c r="F48" s="14">
        <f t="shared" si="0"/>
        <v>202205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 ht="12.75" customHeight="1">
      <c r="A49" s="7">
        <v>142675585</v>
      </c>
      <c r="B49" s="13">
        <v>5540246183130</v>
      </c>
      <c r="C49" s="31">
        <v>44687</v>
      </c>
      <c r="D49" s="8">
        <v>2256</v>
      </c>
      <c r="E49" s="14" t="str">
        <f>VLOOKUP(B49, 'Catégorie des articles'!A:E, 4, FALSE)</f>
        <v>MIX LEGUMES</v>
      </c>
      <c r="F49" s="14">
        <f t="shared" si="0"/>
        <v>202205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 ht="12.75" customHeight="1">
      <c r="A50" s="10">
        <v>142675585</v>
      </c>
      <c r="B50" s="15">
        <v>5540246183537</v>
      </c>
      <c r="C50" s="32">
        <v>44687</v>
      </c>
      <c r="D50" s="11">
        <v>961</v>
      </c>
      <c r="E50" s="14" t="str">
        <f>VLOOKUP(B50, 'Catégorie des articles'!A:E, 4, FALSE)</f>
        <v>MIX LEGUMES</v>
      </c>
      <c r="F50" s="14">
        <f t="shared" si="0"/>
        <v>202205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ht="12.75" customHeight="1">
      <c r="A51" s="7">
        <v>142675585</v>
      </c>
      <c r="B51" s="13">
        <v>5540246183538</v>
      </c>
      <c r="C51" s="31">
        <v>44687</v>
      </c>
      <c r="D51" s="8">
        <v>919</v>
      </c>
      <c r="E51" s="14" t="str">
        <f>VLOOKUP(B51, 'Catégorie des articles'!A:E, 4, FALSE)</f>
        <v>MIX LEGUMES</v>
      </c>
      <c r="F51" s="14">
        <f t="shared" si="0"/>
        <v>202205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 ht="12.75" customHeight="1">
      <c r="A52" s="10">
        <v>142675587</v>
      </c>
      <c r="B52" s="15">
        <v>5540246183558</v>
      </c>
      <c r="C52" s="32">
        <v>44686</v>
      </c>
      <c r="D52" s="11">
        <v>1300</v>
      </c>
      <c r="E52" s="14" t="str">
        <f>VLOOKUP(B52, 'Catégorie des articles'!A:E, 4, FALSE)</f>
        <v>MIX LEGUMES</v>
      </c>
      <c r="F52" s="14">
        <f t="shared" si="0"/>
        <v>202205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ht="12.75" customHeight="1">
      <c r="A53" s="7">
        <v>142675587</v>
      </c>
      <c r="B53" s="13">
        <v>5540246183560</v>
      </c>
      <c r="C53" s="31">
        <v>44686</v>
      </c>
      <c r="D53" s="8">
        <v>223</v>
      </c>
      <c r="E53" s="14" t="str">
        <f>VLOOKUP(B53, 'Catégorie des articles'!A:E, 4, FALSE)</f>
        <v>MIX LEGUMES</v>
      </c>
      <c r="F53" s="14">
        <f t="shared" si="0"/>
        <v>202205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 ht="12.75" customHeight="1">
      <c r="A54" s="10">
        <v>142675589</v>
      </c>
      <c r="B54" s="15">
        <v>5540246183589</v>
      </c>
      <c r="C54" s="32">
        <v>44694</v>
      </c>
      <c r="D54" s="11">
        <v>1300</v>
      </c>
      <c r="E54" s="14" t="str">
        <f>VLOOKUP(B54, 'Catégorie des articles'!A:E, 4, FALSE)</f>
        <v>MIX LEGUMES</v>
      </c>
      <c r="F54" s="14">
        <f t="shared" si="0"/>
        <v>202205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 ht="12.75" customHeight="1">
      <c r="A55" s="10">
        <v>142675596</v>
      </c>
      <c r="B55" s="15">
        <v>5540246184617</v>
      </c>
      <c r="C55" s="32">
        <v>44683</v>
      </c>
      <c r="D55" s="11">
        <v>4585</v>
      </c>
      <c r="E55" s="14" t="str">
        <f>VLOOKUP(B55, 'Catégorie des articles'!A:E, 4, FALSE)</f>
        <v>MIX LEGUMES</v>
      </c>
      <c r="F55" s="14">
        <f t="shared" si="0"/>
        <v>202205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 ht="12.75" customHeight="1">
      <c r="A56" s="10">
        <v>142675607</v>
      </c>
      <c r="B56" s="15">
        <v>5540246173685</v>
      </c>
      <c r="C56" s="32">
        <v>44693</v>
      </c>
      <c r="D56" s="11">
        <v>891</v>
      </c>
      <c r="E56" s="14" t="str">
        <f>VLOOKUP(B56, 'Catégorie des articles'!A:E, 4, FALSE)</f>
        <v>EMBALLAGES</v>
      </c>
      <c r="F56" s="14">
        <f t="shared" si="0"/>
        <v>202205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 ht="12.75" customHeight="1">
      <c r="A57" s="7">
        <v>142675618</v>
      </c>
      <c r="B57" s="13">
        <v>5540246171933</v>
      </c>
      <c r="C57" s="31">
        <v>44683</v>
      </c>
      <c r="D57" s="8">
        <v>279</v>
      </c>
      <c r="E57" s="14" t="str">
        <f>VLOOKUP(B57, 'Catégorie des articles'!A:E, 4, FALSE)</f>
        <v>CREMERIE</v>
      </c>
      <c r="F57" s="14">
        <f t="shared" si="0"/>
        <v>202205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 ht="12.75" customHeight="1">
      <c r="A58" s="10">
        <v>142675618</v>
      </c>
      <c r="B58" s="15">
        <v>5540246176295</v>
      </c>
      <c r="C58" s="32">
        <v>44683</v>
      </c>
      <c r="D58" s="11">
        <v>7424</v>
      </c>
      <c r="E58" s="14" t="str">
        <f>VLOOKUP(B58, 'Catégorie des articles'!A:E, 4, FALSE)</f>
        <v>CREMERIE</v>
      </c>
      <c r="F58" s="14">
        <f t="shared" si="0"/>
        <v>202205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 ht="12.75" customHeight="1">
      <c r="A59" s="10">
        <v>142675618</v>
      </c>
      <c r="B59" s="15">
        <v>5540246187987</v>
      </c>
      <c r="C59" s="32">
        <v>44683</v>
      </c>
      <c r="D59" s="11">
        <v>1782</v>
      </c>
      <c r="E59" s="14" t="str">
        <f>VLOOKUP(B59, 'Catégorie des articles'!A:E, 4, FALSE)</f>
        <v>CREMERIE</v>
      </c>
      <c r="F59" s="14">
        <f t="shared" si="0"/>
        <v>202205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 ht="12.75" customHeight="1">
      <c r="A60" s="7">
        <v>142675618</v>
      </c>
      <c r="B60" s="13">
        <v>5540246188200</v>
      </c>
      <c r="C60" s="31">
        <v>44683</v>
      </c>
      <c r="D60" s="8">
        <v>372</v>
      </c>
      <c r="E60" s="14" t="str">
        <f>VLOOKUP(B60, 'Catégorie des articles'!A:E, 4, FALSE)</f>
        <v>CREMERIE</v>
      </c>
      <c r="F60" s="14">
        <f t="shared" si="0"/>
        <v>202205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 ht="12.75" customHeight="1">
      <c r="A61" s="10">
        <v>142675619</v>
      </c>
      <c r="B61" s="15">
        <v>5540246172539</v>
      </c>
      <c r="C61" s="32">
        <v>44683</v>
      </c>
      <c r="D61" s="11">
        <v>70</v>
      </c>
      <c r="E61" s="14" t="str">
        <f>VLOOKUP(B61, 'Catégorie des articles'!A:E, 4, FALSE)</f>
        <v>CREMERIE</v>
      </c>
      <c r="F61" s="14">
        <f t="shared" si="0"/>
        <v>202205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 ht="12.75" customHeight="1">
      <c r="A62" s="7">
        <v>142675619</v>
      </c>
      <c r="B62" s="13">
        <v>5540246172978</v>
      </c>
      <c r="C62" s="31">
        <v>44683</v>
      </c>
      <c r="D62" s="8">
        <v>836</v>
      </c>
      <c r="E62" s="14" t="str">
        <f>VLOOKUP(B62, 'Catégorie des articles'!A:E, 4, FALSE)</f>
        <v>CREMERIE</v>
      </c>
      <c r="F62" s="14">
        <f t="shared" si="0"/>
        <v>202205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12.75" customHeight="1">
      <c r="A63" s="7">
        <v>142675619</v>
      </c>
      <c r="B63" s="13">
        <v>5540246184808</v>
      </c>
      <c r="C63" s="31">
        <v>44683</v>
      </c>
      <c r="D63" s="8">
        <v>2088</v>
      </c>
      <c r="E63" s="14" t="str">
        <f>VLOOKUP(B63, 'Catégorie des articles'!A:E, 4, FALSE)</f>
        <v>CREMERIE</v>
      </c>
      <c r="F63" s="14">
        <f t="shared" si="0"/>
        <v>202205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12.75" customHeight="1">
      <c r="A64" s="10">
        <v>142675638</v>
      </c>
      <c r="B64" s="15">
        <v>5540246184617</v>
      </c>
      <c r="C64" s="32">
        <v>44687</v>
      </c>
      <c r="D64" s="11">
        <v>27506</v>
      </c>
      <c r="E64" s="14" t="str">
        <f>VLOOKUP(B64, 'Catégorie des articles'!A:E, 4, FALSE)</f>
        <v>MIX LEGUMES</v>
      </c>
      <c r="F64" s="14">
        <f t="shared" si="0"/>
        <v>202205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12.75" customHeight="1">
      <c r="A65" s="10">
        <v>142675650</v>
      </c>
      <c r="B65" s="15">
        <v>5540246191598</v>
      </c>
      <c r="C65" s="32">
        <v>44683</v>
      </c>
      <c r="D65" s="11">
        <v>1935</v>
      </c>
      <c r="E65" s="14" t="str">
        <f>VLOOKUP(B65, 'Catégorie des articles'!A:E, 4, FALSE)</f>
        <v>CREMERIE</v>
      </c>
      <c r="F65" s="14">
        <f t="shared" si="0"/>
        <v>202205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12.75" customHeight="1">
      <c r="A66" s="7">
        <v>142675652</v>
      </c>
      <c r="B66" s="13">
        <v>5540246172978</v>
      </c>
      <c r="C66" s="31">
        <v>44686</v>
      </c>
      <c r="D66" s="8">
        <v>836</v>
      </c>
      <c r="E66" s="14" t="str">
        <f>VLOOKUP(B66, 'Catégorie des articles'!A:E, 4, FALSE)</f>
        <v>CREMERIE</v>
      </c>
      <c r="F66" s="14">
        <f t="shared" ref="F66:F129" si="1">YEAR(C66)*100 + MONTH(C66)</f>
        <v>202205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2.75" customHeight="1">
      <c r="A67" s="10">
        <v>142675652</v>
      </c>
      <c r="B67" s="15">
        <v>5540246174174</v>
      </c>
      <c r="C67" s="32">
        <v>44686</v>
      </c>
      <c r="D67" s="11">
        <v>348</v>
      </c>
      <c r="E67" s="14" t="str">
        <f>VLOOKUP(B67, 'Catégorie des articles'!A:E, 4, FALSE)</f>
        <v>CREMERIE</v>
      </c>
      <c r="F67" s="14">
        <f t="shared" si="1"/>
        <v>202205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2.75" customHeight="1">
      <c r="A68" s="7">
        <v>142675652</v>
      </c>
      <c r="B68" s="13">
        <v>5540246184808</v>
      </c>
      <c r="C68" s="31">
        <v>44686</v>
      </c>
      <c r="D68" s="8">
        <v>4176</v>
      </c>
      <c r="E68" s="14" t="str">
        <f>VLOOKUP(B68, 'Catégorie des articles'!A:E, 4, FALSE)</f>
        <v>CREMERIE</v>
      </c>
      <c r="F68" s="14">
        <f t="shared" si="1"/>
        <v>202205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2.75" customHeight="1">
      <c r="A69" s="7">
        <v>142675653</v>
      </c>
      <c r="B69" s="13">
        <v>5540246171933</v>
      </c>
      <c r="C69" s="31">
        <v>44686</v>
      </c>
      <c r="D69" s="8">
        <v>557</v>
      </c>
      <c r="E69" s="14" t="str">
        <f>VLOOKUP(B69, 'Catégorie des articles'!A:E, 4, FALSE)</f>
        <v>CREMERIE</v>
      </c>
      <c r="F69" s="14">
        <f t="shared" si="1"/>
        <v>202205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2.75" customHeight="1">
      <c r="A70" s="10">
        <v>142675653</v>
      </c>
      <c r="B70" s="15">
        <v>5540246187987</v>
      </c>
      <c r="C70" s="32">
        <v>44686</v>
      </c>
      <c r="D70" s="11">
        <v>4455</v>
      </c>
      <c r="E70" s="14" t="str">
        <f>VLOOKUP(B70, 'Catégorie des articles'!A:E, 4, FALSE)</f>
        <v>CREMERIE</v>
      </c>
      <c r="F70" s="14">
        <f t="shared" si="1"/>
        <v>202205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2.75" customHeight="1">
      <c r="A71" s="10">
        <v>142675668</v>
      </c>
      <c r="B71" s="15">
        <v>5540246192907</v>
      </c>
      <c r="C71" s="32">
        <v>44704</v>
      </c>
      <c r="D71" s="11">
        <v>5568</v>
      </c>
      <c r="E71" s="14" t="str">
        <f>VLOOKUP(B71, 'Catégorie des articles'!A:E, 4, FALSE)</f>
        <v>VOLAILLE</v>
      </c>
      <c r="F71" s="14">
        <f t="shared" si="1"/>
        <v>202205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2.75" customHeight="1">
      <c r="A72" s="10">
        <v>142675671</v>
      </c>
      <c r="B72" s="15">
        <v>5540246171759</v>
      </c>
      <c r="C72" s="32">
        <v>44687</v>
      </c>
      <c r="D72" s="11">
        <v>2506</v>
      </c>
      <c r="E72" s="14" t="str">
        <f>VLOOKUP(B72, 'Catégorie des articles'!A:E, 4, FALSE)</f>
        <v>MIX LEGUMES</v>
      </c>
      <c r="F72" s="14">
        <f t="shared" si="1"/>
        <v>202205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2.75" customHeight="1">
      <c r="A73" s="7">
        <v>142675671</v>
      </c>
      <c r="B73" s="13">
        <v>5540246177132</v>
      </c>
      <c r="C73" s="31">
        <v>44687</v>
      </c>
      <c r="D73" s="8">
        <v>7888</v>
      </c>
      <c r="E73" s="14" t="str">
        <f>VLOOKUP(B73, 'Catégorie des articles'!A:E, 4, FALSE)</f>
        <v>MIX LEGUMES</v>
      </c>
      <c r="F73" s="14">
        <f t="shared" si="1"/>
        <v>202205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2.75" customHeight="1">
      <c r="A74" s="10">
        <v>142675671</v>
      </c>
      <c r="B74" s="15">
        <v>5540246177133</v>
      </c>
      <c r="C74" s="32">
        <v>44687</v>
      </c>
      <c r="D74" s="11">
        <v>5012</v>
      </c>
      <c r="E74" s="14" t="str">
        <f>VLOOKUP(B74, 'Catégorie des articles'!A:E, 4, FALSE)</f>
        <v>MIX LEGUMES</v>
      </c>
      <c r="F74" s="14">
        <f t="shared" si="1"/>
        <v>202205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2.75" customHeight="1">
      <c r="A75" s="7">
        <v>142675671</v>
      </c>
      <c r="B75" s="13">
        <v>5540246183562</v>
      </c>
      <c r="C75" s="31">
        <v>44687</v>
      </c>
      <c r="D75" s="8">
        <v>3132</v>
      </c>
      <c r="E75" s="14" t="str">
        <f>VLOOKUP(B75, 'Catégorie des articles'!A:E, 4, FALSE)</f>
        <v>MIX LEGUMES</v>
      </c>
      <c r="F75" s="14">
        <f t="shared" si="1"/>
        <v>202205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12.75" customHeight="1">
      <c r="A76" s="7">
        <v>142675679</v>
      </c>
      <c r="B76" s="13">
        <v>5540246183844</v>
      </c>
      <c r="C76" s="31">
        <v>44686</v>
      </c>
      <c r="D76" s="8">
        <v>93</v>
      </c>
      <c r="E76" s="14" t="str">
        <f>VLOOKUP(B76, 'Catégorie des articles'!A:E, 4, FALSE)</f>
        <v>BOULANGERIE</v>
      </c>
      <c r="F76" s="14">
        <f t="shared" si="1"/>
        <v>202205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12.75" customHeight="1">
      <c r="A77" s="10">
        <v>142685687</v>
      </c>
      <c r="B77" s="15">
        <v>5540246172978</v>
      </c>
      <c r="C77" s="32">
        <v>44687</v>
      </c>
      <c r="D77" s="11">
        <v>836</v>
      </c>
      <c r="E77" s="14" t="str">
        <f>VLOOKUP(B77, 'Catégorie des articles'!A:E, 4, FALSE)</f>
        <v>CREMERIE</v>
      </c>
      <c r="F77" s="14">
        <f t="shared" si="1"/>
        <v>202205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12.75" customHeight="1">
      <c r="A78" s="7">
        <v>142685687</v>
      </c>
      <c r="B78" s="13">
        <v>5540246174174</v>
      </c>
      <c r="C78" s="31">
        <v>44687</v>
      </c>
      <c r="D78" s="8">
        <v>232</v>
      </c>
      <c r="E78" s="14" t="str">
        <f>VLOOKUP(B78, 'Catégorie des articles'!A:E, 4, FALSE)</f>
        <v>CREMERIE</v>
      </c>
      <c r="F78" s="14">
        <f t="shared" si="1"/>
        <v>202205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12.75" customHeight="1">
      <c r="A79" s="10">
        <v>142685687</v>
      </c>
      <c r="B79" s="15">
        <v>5540246184808</v>
      </c>
      <c r="C79" s="32">
        <v>44687</v>
      </c>
      <c r="D79" s="11">
        <v>2088</v>
      </c>
      <c r="E79" s="14" t="str">
        <f>VLOOKUP(B79, 'Catégorie des articles'!A:E, 4, FALSE)</f>
        <v>CREMERIE</v>
      </c>
      <c r="F79" s="14">
        <f t="shared" si="1"/>
        <v>202205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12.75" customHeight="1">
      <c r="A80" s="10">
        <v>142685688</v>
      </c>
      <c r="B80" s="15">
        <v>5540246176294</v>
      </c>
      <c r="C80" s="32">
        <v>44687</v>
      </c>
      <c r="D80" s="11">
        <v>2970</v>
      </c>
      <c r="E80" s="14" t="str">
        <f>VLOOKUP(B80, 'Catégorie des articles'!A:E, 4, FALSE)</f>
        <v>CREMERIE</v>
      </c>
      <c r="F80" s="14">
        <f t="shared" si="1"/>
        <v>202205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12.75" customHeight="1">
      <c r="A81" s="7">
        <v>142685688</v>
      </c>
      <c r="B81" s="13">
        <v>5540246176295</v>
      </c>
      <c r="C81" s="31">
        <v>44687</v>
      </c>
      <c r="D81" s="8">
        <v>7424</v>
      </c>
      <c r="E81" s="14" t="str">
        <f>VLOOKUP(B81, 'Catégorie des articles'!A:E, 4, FALSE)</f>
        <v>CREMERIE</v>
      </c>
      <c r="F81" s="14">
        <f t="shared" si="1"/>
        <v>202205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12.75" customHeight="1">
      <c r="A82" s="7">
        <v>142685688</v>
      </c>
      <c r="B82" s="13">
        <v>5540246187987</v>
      </c>
      <c r="C82" s="31">
        <v>44687</v>
      </c>
      <c r="D82" s="8">
        <v>4455</v>
      </c>
      <c r="E82" s="14" t="str">
        <f>VLOOKUP(B82, 'Catégorie des articles'!A:E, 4, FALSE)</f>
        <v>CREMERIE</v>
      </c>
      <c r="F82" s="14">
        <f t="shared" si="1"/>
        <v>202205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12.75" customHeight="1">
      <c r="A83" s="10">
        <v>142685691</v>
      </c>
      <c r="B83" s="15">
        <v>5540246181061</v>
      </c>
      <c r="C83" s="32">
        <v>44700</v>
      </c>
      <c r="D83" s="11">
        <v>4410</v>
      </c>
      <c r="E83" s="14" t="str">
        <f>VLOOKUP(B83, 'Catégorie des articles'!A:E, 4, FALSE)</f>
        <v>VOLAILLE</v>
      </c>
      <c r="F83" s="14">
        <f t="shared" si="1"/>
        <v>202205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12.75" customHeight="1">
      <c r="A84" s="7">
        <v>142685691</v>
      </c>
      <c r="B84" s="13">
        <v>5540246185278</v>
      </c>
      <c r="C84" s="31">
        <v>44700</v>
      </c>
      <c r="D84" s="8">
        <v>1120</v>
      </c>
      <c r="E84" s="14" t="str">
        <f>VLOOKUP(B84, 'Catégorie des articles'!A:E, 4, FALSE)</f>
        <v>VOLAILLE</v>
      </c>
      <c r="F84" s="14">
        <f t="shared" si="1"/>
        <v>202205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12.75" customHeight="1">
      <c r="A85" s="10">
        <v>142685692</v>
      </c>
      <c r="B85" s="15">
        <v>5540246187987</v>
      </c>
      <c r="C85" s="32">
        <v>44683</v>
      </c>
      <c r="D85" s="11">
        <v>446</v>
      </c>
      <c r="E85" s="14" t="str">
        <f>VLOOKUP(B85, 'Catégorie des articles'!A:E, 4, FALSE)</f>
        <v>CREMERIE</v>
      </c>
      <c r="F85" s="14">
        <f t="shared" si="1"/>
        <v>202205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12.75" customHeight="1">
      <c r="A86" s="7">
        <v>142685693</v>
      </c>
      <c r="B86" s="13">
        <v>5540246190097</v>
      </c>
      <c r="C86" s="31">
        <v>44693</v>
      </c>
      <c r="D86" s="8">
        <v>6483</v>
      </c>
      <c r="E86" s="14" t="str">
        <f>VLOOKUP(B86, 'Catégorie des articles'!A:E, 4, FALSE)</f>
        <v>VOLAILLE</v>
      </c>
      <c r="F86" s="14">
        <f t="shared" si="1"/>
        <v>202205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12.75" customHeight="1">
      <c r="A87" s="7">
        <v>142685694</v>
      </c>
      <c r="B87" s="13">
        <v>5540246185429</v>
      </c>
      <c r="C87" s="31">
        <v>44687</v>
      </c>
      <c r="D87" s="8">
        <v>209</v>
      </c>
      <c r="E87" s="14" t="str">
        <f>VLOOKUP(B87, 'Catégorie des articles'!A:E, 4, FALSE)</f>
        <v>CREMERIE</v>
      </c>
      <c r="F87" s="14">
        <f t="shared" si="1"/>
        <v>202205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12.75" customHeight="1">
      <c r="A88" s="10">
        <v>142685694</v>
      </c>
      <c r="B88" s="15">
        <v>5540246186325</v>
      </c>
      <c r="C88" s="32">
        <v>44687</v>
      </c>
      <c r="D88" s="11">
        <v>140</v>
      </c>
      <c r="E88" s="14" t="str">
        <f>VLOOKUP(B88, 'Catégorie des articles'!A:E, 4, FALSE)</f>
        <v>CREMERIE</v>
      </c>
      <c r="F88" s="14">
        <f t="shared" si="1"/>
        <v>202205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12.75" customHeight="1">
      <c r="A89" s="10">
        <v>142685699</v>
      </c>
      <c r="B89" s="15">
        <v>5540246184036</v>
      </c>
      <c r="C89" s="32">
        <v>44694</v>
      </c>
      <c r="D89" s="11">
        <v>260</v>
      </c>
      <c r="E89" s="14" t="str">
        <f>VLOOKUP(B89, 'Catégorie des articles'!A:E, 4, FALSE)</f>
        <v>BOULANGERIE</v>
      </c>
      <c r="F89" s="14">
        <f t="shared" si="1"/>
        <v>202205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12.75" customHeight="1">
      <c r="A90" s="7">
        <v>142685699</v>
      </c>
      <c r="B90" s="13">
        <v>5540246191596</v>
      </c>
      <c r="C90" s="31">
        <v>44694</v>
      </c>
      <c r="D90" s="8">
        <v>75</v>
      </c>
      <c r="E90" s="14" t="str">
        <f>VLOOKUP(B90, 'Catégorie des articles'!A:E, 4, FALSE)</f>
        <v>BOULANGERIE</v>
      </c>
      <c r="F90" s="14">
        <f t="shared" si="1"/>
        <v>202205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2.75" customHeight="1">
      <c r="A91" s="10">
        <v>142685700</v>
      </c>
      <c r="B91" s="15">
        <v>5540246190835</v>
      </c>
      <c r="C91" s="32">
        <v>44697</v>
      </c>
      <c r="D91" s="11">
        <v>47</v>
      </c>
      <c r="E91" s="14" t="str">
        <f>VLOOKUP(B91, 'Catégorie des articles'!A:E, 4, FALSE)</f>
        <v>BOULANGERIE</v>
      </c>
      <c r="F91" s="14">
        <f t="shared" si="1"/>
        <v>202205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12.75" customHeight="1">
      <c r="A92" s="7">
        <v>142685701</v>
      </c>
      <c r="B92" s="13">
        <v>5540246190835</v>
      </c>
      <c r="C92" s="31">
        <v>44704</v>
      </c>
      <c r="D92" s="8">
        <v>47</v>
      </c>
      <c r="E92" s="14" t="str">
        <f>VLOOKUP(B92, 'Catégorie des articles'!A:E, 4, FALSE)</f>
        <v>BOULANGERIE</v>
      </c>
      <c r="F92" s="14">
        <f t="shared" si="1"/>
        <v>202205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12.75" customHeight="1">
      <c r="A93" s="10">
        <v>142685702</v>
      </c>
      <c r="B93" s="15">
        <v>5540246190727</v>
      </c>
      <c r="C93" s="32">
        <v>44707</v>
      </c>
      <c r="D93" s="11">
        <v>877</v>
      </c>
      <c r="E93" s="14" t="str">
        <f>VLOOKUP(B93, 'Catégorie des articles'!A:E, 4, FALSE)</f>
        <v>BOULANGERIE</v>
      </c>
      <c r="F93" s="14">
        <f t="shared" si="1"/>
        <v>202205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12.75" customHeight="1">
      <c r="A94" s="7">
        <v>142685705</v>
      </c>
      <c r="B94" s="13">
        <v>5540246187995</v>
      </c>
      <c r="C94" s="31">
        <v>44688</v>
      </c>
      <c r="D94" s="8">
        <v>1253</v>
      </c>
      <c r="E94" s="14" t="str">
        <f>VLOOKUP(B94, 'Catégorie des articles'!A:E, 4, FALSE)</f>
        <v>EMBALLAGES</v>
      </c>
      <c r="F94" s="14">
        <f t="shared" si="1"/>
        <v>202205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12.75" customHeight="1">
      <c r="A95" s="10">
        <v>142685710</v>
      </c>
      <c r="B95" s="15">
        <v>5540246171796</v>
      </c>
      <c r="C95" s="32">
        <v>44687</v>
      </c>
      <c r="D95" s="11">
        <v>1123</v>
      </c>
      <c r="E95" s="14" t="str">
        <f>VLOOKUP(B95, 'Catégorie des articles'!A:E, 4, FALSE)</f>
        <v>CREMERIE</v>
      </c>
      <c r="F95" s="14">
        <f t="shared" si="1"/>
        <v>202205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12.75" customHeight="1">
      <c r="A96" s="10">
        <v>142685712</v>
      </c>
      <c r="B96" s="15">
        <v>5540246182684</v>
      </c>
      <c r="C96" s="32">
        <v>44702</v>
      </c>
      <c r="D96" s="11">
        <v>209</v>
      </c>
      <c r="E96" s="14" t="str">
        <f>VLOOKUP(B96, 'Catégorie des articles'!A:E, 4, FALSE)</f>
        <v>BOULANGERIE</v>
      </c>
      <c r="F96" s="14">
        <f t="shared" si="1"/>
        <v>202205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12.75" customHeight="1">
      <c r="A97" s="7">
        <v>142685712</v>
      </c>
      <c r="B97" s="13">
        <v>5540246183844</v>
      </c>
      <c r="C97" s="31">
        <v>44702</v>
      </c>
      <c r="D97" s="8">
        <v>75</v>
      </c>
      <c r="E97" s="14" t="str">
        <f>VLOOKUP(B97, 'Catégorie des articles'!A:E, 4, FALSE)</f>
        <v>BOULANGERIE</v>
      </c>
      <c r="F97" s="14">
        <f t="shared" si="1"/>
        <v>202205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2.75" customHeight="1">
      <c r="A98" s="7">
        <v>142685714</v>
      </c>
      <c r="B98" s="13">
        <v>5540246192505</v>
      </c>
      <c r="C98" s="31">
        <v>44693</v>
      </c>
      <c r="D98" s="8">
        <v>18375</v>
      </c>
      <c r="E98" s="14" t="str">
        <f>VLOOKUP(B98, 'Catégorie des articles'!A:E, 4, FALSE)</f>
        <v>MIX LEGUMES</v>
      </c>
      <c r="F98" s="14">
        <f t="shared" si="1"/>
        <v>202205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12.75" customHeight="1">
      <c r="A99" s="10">
        <v>142685722</v>
      </c>
      <c r="B99" s="15">
        <v>5540246173686</v>
      </c>
      <c r="C99" s="32">
        <v>44723</v>
      </c>
      <c r="D99" s="11">
        <v>279</v>
      </c>
      <c r="E99" s="14" t="str">
        <f>VLOOKUP(B99, 'Catégorie des articles'!A:E, 4, FALSE)</f>
        <v>EMBALLAGES</v>
      </c>
      <c r="F99" s="14">
        <f t="shared" si="1"/>
        <v>202206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12.75" customHeight="1">
      <c r="A100" s="7">
        <v>142685732</v>
      </c>
      <c r="B100" s="13">
        <v>5540246172539</v>
      </c>
      <c r="C100" s="31">
        <v>44688</v>
      </c>
      <c r="D100" s="8">
        <v>47</v>
      </c>
      <c r="E100" s="14" t="str">
        <f>VLOOKUP(B100, 'Catégorie des articles'!A:E, 4, FALSE)</f>
        <v>CREMERIE</v>
      </c>
      <c r="F100" s="14">
        <f t="shared" si="1"/>
        <v>202205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2.75" customHeight="1">
      <c r="A101" s="10">
        <v>142685732</v>
      </c>
      <c r="B101" s="15">
        <v>5540246172978</v>
      </c>
      <c r="C101" s="32">
        <v>44688</v>
      </c>
      <c r="D101" s="11">
        <v>585</v>
      </c>
      <c r="E101" s="14" t="str">
        <f>VLOOKUP(B101, 'Catégorie des articles'!A:E, 4, FALSE)</f>
        <v>CREMERIE</v>
      </c>
      <c r="F101" s="14">
        <f t="shared" si="1"/>
        <v>202205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12.75" customHeight="1">
      <c r="A102" s="10">
        <v>142685732</v>
      </c>
      <c r="B102" s="15">
        <v>5540246174174</v>
      </c>
      <c r="C102" s="32">
        <v>44688</v>
      </c>
      <c r="D102" s="11">
        <v>464</v>
      </c>
      <c r="E102" s="14" t="str">
        <f>VLOOKUP(B102, 'Catégorie des articles'!A:E, 4, FALSE)</f>
        <v>CREMERIE</v>
      </c>
      <c r="F102" s="14">
        <f t="shared" si="1"/>
        <v>202205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12.75" customHeight="1">
      <c r="A103" s="10">
        <v>142685733</v>
      </c>
      <c r="B103" s="15">
        <v>5540246171933</v>
      </c>
      <c r="C103" s="32">
        <v>44688</v>
      </c>
      <c r="D103" s="11">
        <v>669</v>
      </c>
      <c r="E103" s="14" t="str">
        <f>VLOOKUP(B103, 'Catégorie des articles'!A:E, 4, FALSE)</f>
        <v>CREMERIE</v>
      </c>
      <c r="F103" s="14">
        <f t="shared" si="1"/>
        <v>202205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12.75" customHeight="1">
      <c r="A104" s="7">
        <v>142685733</v>
      </c>
      <c r="B104" s="13">
        <v>5540246176294</v>
      </c>
      <c r="C104" s="31">
        <v>44688</v>
      </c>
      <c r="D104" s="8">
        <v>1485</v>
      </c>
      <c r="E104" s="14" t="str">
        <f>VLOOKUP(B104, 'Catégorie des articles'!A:E, 4, FALSE)</f>
        <v>CREMERIE</v>
      </c>
      <c r="F104" s="14">
        <f t="shared" si="1"/>
        <v>202205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12.75" customHeight="1">
      <c r="A105" s="10">
        <v>142685733</v>
      </c>
      <c r="B105" s="15">
        <v>5540246176295</v>
      </c>
      <c r="C105" s="32">
        <v>44688</v>
      </c>
      <c r="D105" s="11">
        <v>5940</v>
      </c>
      <c r="E105" s="14" t="str">
        <f>VLOOKUP(B105, 'Catégorie des articles'!A:E, 4, FALSE)</f>
        <v>CREMERIE</v>
      </c>
      <c r="F105" s="14">
        <f t="shared" si="1"/>
        <v>202205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12.75" customHeight="1">
      <c r="A106" s="7">
        <v>142685733</v>
      </c>
      <c r="B106" s="13">
        <v>5540246187987</v>
      </c>
      <c r="C106" s="31">
        <v>44688</v>
      </c>
      <c r="D106" s="8">
        <v>3341</v>
      </c>
      <c r="E106" s="14" t="str">
        <f>VLOOKUP(B106, 'Catégorie des articles'!A:E, 4, FALSE)</f>
        <v>CREMERIE</v>
      </c>
      <c r="F106" s="14">
        <f t="shared" si="1"/>
        <v>202205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t="12.75" customHeight="1">
      <c r="A107" s="10">
        <v>142685736</v>
      </c>
      <c r="B107" s="15">
        <v>5540246188200</v>
      </c>
      <c r="C107" s="32">
        <v>44687</v>
      </c>
      <c r="D107" s="11">
        <v>1856</v>
      </c>
      <c r="E107" s="14" t="str">
        <f>VLOOKUP(B107, 'Catégorie des articles'!A:E, 4, FALSE)</f>
        <v>CREMERIE</v>
      </c>
      <c r="F107" s="14">
        <f t="shared" si="1"/>
        <v>202205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12.75" customHeight="1">
      <c r="A108" s="10">
        <v>142685739</v>
      </c>
      <c r="B108" s="15">
        <v>5540246175047</v>
      </c>
      <c r="C108" s="32">
        <v>44696</v>
      </c>
      <c r="D108" s="11">
        <v>279</v>
      </c>
      <c r="E108" s="14" t="str">
        <f>VLOOKUP(B108, 'Catégorie des articles'!A:E, 4, FALSE)</f>
        <v>CREMERIE</v>
      </c>
      <c r="F108" s="14">
        <f t="shared" si="1"/>
        <v>202205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t="12.75" customHeight="1">
      <c r="A109" s="7">
        <v>142685739</v>
      </c>
      <c r="B109" s="13">
        <v>5540246175049</v>
      </c>
      <c r="C109" s="31">
        <v>44696</v>
      </c>
      <c r="D109" s="8">
        <v>557</v>
      </c>
      <c r="E109" s="14" t="str">
        <f>VLOOKUP(B109, 'Catégorie des articles'!A:E, 4, FALSE)</f>
        <v>CREMERIE</v>
      </c>
      <c r="F109" s="14">
        <f t="shared" si="1"/>
        <v>202205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t="12.75" customHeight="1">
      <c r="A110" s="10">
        <v>142685739</v>
      </c>
      <c r="B110" s="15">
        <v>5540246175050</v>
      </c>
      <c r="C110" s="32">
        <v>44696</v>
      </c>
      <c r="D110" s="11">
        <v>557</v>
      </c>
      <c r="E110" s="14" t="str">
        <f>VLOOKUP(B110, 'Catégorie des articles'!A:E, 4, FALSE)</f>
        <v>CREMERIE</v>
      </c>
      <c r="F110" s="14">
        <f t="shared" si="1"/>
        <v>202205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t="12.75" customHeight="1">
      <c r="A111" s="7">
        <v>142685739</v>
      </c>
      <c r="B111" s="13">
        <v>5540246190743</v>
      </c>
      <c r="C111" s="31">
        <v>44696</v>
      </c>
      <c r="D111" s="8">
        <v>251</v>
      </c>
      <c r="E111" s="14" t="str">
        <f>VLOOKUP(B111, 'Catégorie des articles'!A:E, 4, FALSE)</f>
        <v>CREMERIE</v>
      </c>
      <c r="F111" s="14">
        <f t="shared" si="1"/>
        <v>202205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t="12.75" customHeight="1">
      <c r="A112" s="10">
        <v>142685740</v>
      </c>
      <c r="B112" s="15">
        <v>5540246171796</v>
      </c>
      <c r="C112" s="32">
        <v>44690</v>
      </c>
      <c r="D112" s="11">
        <v>1123</v>
      </c>
      <c r="E112" s="14" t="str">
        <f>VLOOKUP(B112, 'Catégorie des articles'!A:E, 4, FALSE)</f>
        <v>CREMERIE</v>
      </c>
      <c r="F112" s="14">
        <f t="shared" si="1"/>
        <v>202205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12.75" customHeight="1">
      <c r="A113" s="7">
        <v>142685759</v>
      </c>
      <c r="B113" s="13">
        <v>5540246171933</v>
      </c>
      <c r="C113" s="31">
        <v>44690</v>
      </c>
      <c r="D113" s="8">
        <v>223</v>
      </c>
      <c r="E113" s="14" t="str">
        <f>VLOOKUP(B113, 'Catégorie des articles'!A:E, 4, FALSE)</f>
        <v>CREMERIE</v>
      </c>
      <c r="F113" s="14">
        <f t="shared" si="1"/>
        <v>202205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2.75" customHeight="1">
      <c r="A114" s="7">
        <v>142685759</v>
      </c>
      <c r="B114" s="13">
        <v>5540246188200</v>
      </c>
      <c r="C114" s="31">
        <v>44690</v>
      </c>
      <c r="D114" s="8">
        <v>1485</v>
      </c>
      <c r="E114" s="14" t="str">
        <f>VLOOKUP(B114, 'Catégorie des articles'!A:E, 4, FALSE)</f>
        <v>CREMERIE</v>
      </c>
      <c r="F114" s="14">
        <f t="shared" si="1"/>
        <v>202205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t="12.75" customHeight="1">
      <c r="A115" s="7">
        <v>142685777</v>
      </c>
      <c r="B115" s="13">
        <v>5540246184617</v>
      </c>
      <c r="C115" s="31">
        <v>44688</v>
      </c>
      <c r="D115" s="8">
        <v>22922</v>
      </c>
      <c r="E115" s="14" t="str">
        <f>VLOOKUP(B115, 'Catégorie des articles'!A:E, 4, FALSE)</f>
        <v>MIX LEGUMES</v>
      </c>
      <c r="F115" s="14">
        <f t="shared" si="1"/>
        <v>202205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t="12.75" customHeight="1">
      <c r="A116" s="10">
        <v>142685780</v>
      </c>
      <c r="B116" s="15">
        <v>5540246186351</v>
      </c>
      <c r="C116" s="32">
        <v>44700</v>
      </c>
      <c r="D116" s="11">
        <v>564</v>
      </c>
      <c r="E116" s="14" t="str">
        <f>VLOOKUP(B116, 'Catégorie des articles'!A:E, 4, FALSE)</f>
        <v>MIX LEGUMES</v>
      </c>
      <c r="F116" s="14">
        <f t="shared" si="1"/>
        <v>202205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t="12.75" customHeight="1">
      <c r="A117" s="7">
        <v>142685780</v>
      </c>
      <c r="B117" s="13">
        <v>5540246186352</v>
      </c>
      <c r="C117" s="31">
        <v>44700</v>
      </c>
      <c r="D117" s="8">
        <v>1880</v>
      </c>
      <c r="E117" s="14" t="str">
        <f>VLOOKUP(B117, 'Catégorie des articles'!A:E, 4, FALSE)</f>
        <v>MIX LEGUMES</v>
      </c>
      <c r="F117" s="14">
        <f t="shared" si="1"/>
        <v>202205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 ht="12.75" customHeight="1">
      <c r="A118" s="10">
        <v>142685783</v>
      </c>
      <c r="B118" s="15">
        <v>5540246170256</v>
      </c>
      <c r="C118" s="32">
        <v>44702</v>
      </c>
      <c r="D118" s="11">
        <v>3527</v>
      </c>
      <c r="E118" s="14" t="str">
        <f>VLOOKUP(B118, 'Catégorie des articles'!A:E, 4, FALSE)</f>
        <v>BOULANGERIE</v>
      </c>
      <c r="F118" s="14">
        <f t="shared" si="1"/>
        <v>202205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 ht="12.75" customHeight="1">
      <c r="A119" s="7">
        <v>142685783</v>
      </c>
      <c r="B119" s="13">
        <v>5540246171888</v>
      </c>
      <c r="C119" s="31">
        <v>44702</v>
      </c>
      <c r="D119" s="8">
        <v>221</v>
      </c>
      <c r="E119" s="14" t="str">
        <f>VLOOKUP(B119, 'Catégorie des articles'!A:E, 4, FALSE)</f>
        <v>BOULANGERIE</v>
      </c>
      <c r="F119" s="14">
        <f t="shared" si="1"/>
        <v>202205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 ht="12.75" customHeight="1">
      <c r="A120" s="10">
        <v>142685793</v>
      </c>
      <c r="B120" s="15">
        <v>5540246190092</v>
      </c>
      <c r="C120" s="32">
        <v>44730</v>
      </c>
      <c r="D120" s="11">
        <v>116</v>
      </c>
      <c r="E120" s="14" t="str">
        <f>VLOOKUP(B120, 'Catégorie des articles'!A:E, 4, FALSE)</f>
        <v>EMBALLAGES</v>
      </c>
      <c r="F120" s="14">
        <f t="shared" si="1"/>
        <v>202206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 ht="12.75" customHeight="1">
      <c r="A121" s="10">
        <v>142685797</v>
      </c>
      <c r="B121" s="15">
        <v>5540246171933</v>
      </c>
      <c r="C121" s="32">
        <v>44693</v>
      </c>
      <c r="D121" s="11">
        <v>836</v>
      </c>
      <c r="E121" s="14" t="str">
        <f>VLOOKUP(B121, 'Catégorie des articles'!A:E, 4, FALSE)</f>
        <v>CREMERIE</v>
      </c>
      <c r="F121" s="14">
        <f t="shared" si="1"/>
        <v>202205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 ht="12.75" customHeight="1">
      <c r="A122" s="10">
        <v>142685798</v>
      </c>
      <c r="B122" s="15">
        <v>5540246188175</v>
      </c>
      <c r="C122" s="32">
        <v>44693</v>
      </c>
      <c r="D122" s="11">
        <v>93</v>
      </c>
      <c r="E122" s="14" t="str">
        <f>VLOOKUP(B122, 'Catégorie des articles'!A:E, 4, FALSE)</f>
        <v>CREMERIE</v>
      </c>
      <c r="F122" s="14">
        <f t="shared" si="1"/>
        <v>202205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ht="12.75" customHeight="1">
      <c r="A123" s="7">
        <v>142685798</v>
      </c>
      <c r="B123" s="13">
        <v>5540246192102</v>
      </c>
      <c r="C123" s="31">
        <v>44693</v>
      </c>
      <c r="D123" s="8">
        <v>4009</v>
      </c>
      <c r="E123" s="14" t="str">
        <f>VLOOKUP(B123, 'Catégorie des articles'!A:E, 4, FALSE)</f>
        <v>CREMERIE</v>
      </c>
      <c r="F123" s="14">
        <f t="shared" si="1"/>
        <v>202205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ht="12.75" customHeight="1">
      <c r="A124" s="7">
        <v>142685802</v>
      </c>
      <c r="B124" s="13">
        <v>5540246171759</v>
      </c>
      <c r="C124" s="31">
        <v>44694</v>
      </c>
      <c r="D124" s="8">
        <v>6264</v>
      </c>
      <c r="E124" s="14" t="str">
        <f>VLOOKUP(B124, 'Catégorie des articles'!A:E, 4, FALSE)</f>
        <v>MIX LEGUMES</v>
      </c>
      <c r="F124" s="14">
        <f t="shared" si="1"/>
        <v>202205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t="12.75" customHeight="1">
      <c r="A125" s="10">
        <v>142685802</v>
      </c>
      <c r="B125" s="15">
        <v>5540246177132</v>
      </c>
      <c r="C125" s="32">
        <v>44694</v>
      </c>
      <c r="D125" s="11">
        <v>7888</v>
      </c>
      <c r="E125" s="14" t="str">
        <f>VLOOKUP(B125, 'Catégorie des articles'!A:E, 4, FALSE)</f>
        <v>MIX LEGUMES</v>
      </c>
      <c r="F125" s="14">
        <f t="shared" si="1"/>
        <v>202205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t="12.75" customHeight="1">
      <c r="A126" s="7">
        <v>142685802</v>
      </c>
      <c r="B126" s="13">
        <v>5540246177133</v>
      </c>
      <c r="C126" s="31">
        <v>44694</v>
      </c>
      <c r="D126" s="8">
        <v>6125</v>
      </c>
      <c r="E126" s="14" t="str">
        <f>VLOOKUP(B126, 'Catégorie des articles'!A:E, 4, FALSE)</f>
        <v>MIX LEGUMES</v>
      </c>
      <c r="F126" s="14">
        <f t="shared" si="1"/>
        <v>202205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t="12.75" customHeight="1">
      <c r="A127" s="7">
        <v>142685807</v>
      </c>
      <c r="B127" s="13">
        <v>5540246188583</v>
      </c>
      <c r="C127" s="31">
        <v>44696</v>
      </c>
      <c r="D127" s="8">
        <v>2784</v>
      </c>
      <c r="E127" s="14" t="str">
        <f>VLOOKUP(B127, 'Catégorie des articles'!A:E, 4, FALSE)</f>
        <v>BOULANGERIE</v>
      </c>
      <c r="F127" s="14">
        <f t="shared" si="1"/>
        <v>202205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t="12.75" customHeight="1">
      <c r="A128" s="7">
        <v>142685811</v>
      </c>
      <c r="B128" s="13">
        <v>5540246192264</v>
      </c>
      <c r="C128" s="31">
        <v>44721</v>
      </c>
      <c r="D128" s="8">
        <v>483</v>
      </c>
      <c r="E128" s="14" t="str">
        <f>VLOOKUP(B128, 'Catégorie des articles'!A:E, 4, FALSE)</f>
        <v>CREMERIE</v>
      </c>
      <c r="F128" s="14">
        <f t="shared" si="1"/>
        <v>202206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t="12.75" customHeight="1">
      <c r="A129" s="10">
        <v>142685811</v>
      </c>
      <c r="B129" s="15">
        <v>5540246192265</v>
      </c>
      <c r="C129" s="32">
        <v>44721</v>
      </c>
      <c r="D129" s="11">
        <v>1300</v>
      </c>
      <c r="E129" s="14" t="str">
        <f>VLOOKUP(B129, 'Catégorie des articles'!A:E, 4, FALSE)</f>
        <v>CREMERIE</v>
      </c>
      <c r="F129" s="14">
        <f t="shared" si="1"/>
        <v>202206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t="12.75" customHeight="1">
      <c r="A130" s="7">
        <v>142685812</v>
      </c>
      <c r="B130" s="13">
        <v>5540246192264</v>
      </c>
      <c r="C130" s="31">
        <v>44728</v>
      </c>
      <c r="D130" s="8">
        <v>928</v>
      </c>
      <c r="E130" s="14" t="str">
        <f>VLOOKUP(B130, 'Catégorie des articles'!A:E, 4, FALSE)</f>
        <v>CREMERIE</v>
      </c>
      <c r="F130" s="14">
        <f t="shared" ref="F130:F193" si="2">YEAR(C130)*100 + MONTH(C130)</f>
        <v>202206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t="12.75" customHeight="1">
      <c r="A131" s="10">
        <v>142685812</v>
      </c>
      <c r="B131" s="15">
        <v>5540246192265</v>
      </c>
      <c r="C131" s="32">
        <v>44728</v>
      </c>
      <c r="D131" s="11">
        <v>854</v>
      </c>
      <c r="E131" s="14" t="str">
        <f>VLOOKUP(B131, 'Catégorie des articles'!A:E, 4, FALSE)</f>
        <v>CREMERIE</v>
      </c>
      <c r="F131" s="14">
        <f t="shared" si="2"/>
        <v>202206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12.75" customHeight="1">
      <c r="A132" s="7">
        <v>142685814</v>
      </c>
      <c r="B132" s="13">
        <v>5540246186011</v>
      </c>
      <c r="C132" s="31">
        <v>44690</v>
      </c>
      <c r="D132" s="8">
        <v>47</v>
      </c>
      <c r="E132" s="14" t="str">
        <f>VLOOKUP(B132, 'Catégorie des articles'!A:E, 4, FALSE)</f>
        <v>EMBALLAGES</v>
      </c>
      <c r="F132" s="14">
        <f t="shared" si="2"/>
        <v>202205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t="12.75" customHeight="1">
      <c r="A133" s="7">
        <v>142685817</v>
      </c>
      <c r="B133" s="13">
        <v>5540246192264</v>
      </c>
      <c r="C133" s="31">
        <v>44704</v>
      </c>
      <c r="D133" s="8">
        <v>297</v>
      </c>
      <c r="E133" s="14" t="str">
        <f>VLOOKUP(B133, 'Catégorie des articles'!A:E, 4, FALSE)</f>
        <v>CREMERIE</v>
      </c>
      <c r="F133" s="14">
        <f t="shared" si="2"/>
        <v>202205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12.75" customHeight="1">
      <c r="A134" s="10">
        <v>142685817</v>
      </c>
      <c r="B134" s="15">
        <v>5540246192265</v>
      </c>
      <c r="C134" s="32">
        <v>44704</v>
      </c>
      <c r="D134" s="11">
        <v>1485</v>
      </c>
      <c r="E134" s="14" t="str">
        <f>VLOOKUP(B134, 'Catégorie des articles'!A:E, 4, FALSE)</f>
        <v>CREMERIE</v>
      </c>
      <c r="F134" s="14">
        <f t="shared" si="2"/>
        <v>202205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 ht="12.75" customHeight="1">
      <c r="A135" s="7">
        <v>142695834</v>
      </c>
      <c r="B135" s="13">
        <v>5540246172669</v>
      </c>
      <c r="C135" s="31">
        <v>44694</v>
      </c>
      <c r="D135" s="8">
        <v>279</v>
      </c>
      <c r="E135" s="14" t="str">
        <f>VLOOKUP(B135, 'Catégorie des articles'!A:E, 4, FALSE)</f>
        <v>CREMERIE</v>
      </c>
      <c r="F135" s="14">
        <f t="shared" si="2"/>
        <v>202205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 ht="12.75" customHeight="1">
      <c r="A136" s="10">
        <v>142695834</v>
      </c>
      <c r="B136" s="15">
        <v>5540246172978</v>
      </c>
      <c r="C136" s="32">
        <v>44694</v>
      </c>
      <c r="D136" s="11">
        <v>1253</v>
      </c>
      <c r="E136" s="14" t="str">
        <f>VLOOKUP(B136, 'Catégorie des articles'!A:E, 4, FALSE)</f>
        <v>CREMERIE</v>
      </c>
      <c r="F136" s="14">
        <f t="shared" si="2"/>
        <v>202205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ht="12.75" customHeight="1">
      <c r="A137" s="10">
        <v>142695834</v>
      </c>
      <c r="B137" s="15">
        <v>5540246188175</v>
      </c>
      <c r="C137" s="32">
        <v>44694</v>
      </c>
      <c r="D137" s="11">
        <v>93</v>
      </c>
      <c r="E137" s="14" t="str">
        <f>VLOOKUP(B137, 'Catégorie des articles'!A:E, 4, FALSE)</f>
        <v>CREMERIE</v>
      </c>
      <c r="F137" s="14">
        <f t="shared" si="2"/>
        <v>202205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ht="12.75" customHeight="1">
      <c r="A138" s="10">
        <v>142695835</v>
      </c>
      <c r="B138" s="15">
        <v>5540246171933</v>
      </c>
      <c r="C138" s="32">
        <v>44694</v>
      </c>
      <c r="D138" s="11">
        <v>557</v>
      </c>
      <c r="E138" s="14" t="str">
        <f>VLOOKUP(B138, 'Catégorie des articles'!A:E, 4, FALSE)</f>
        <v>CREMERIE</v>
      </c>
      <c r="F138" s="14">
        <f t="shared" si="2"/>
        <v>202205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ht="12.75" customHeight="1">
      <c r="A139" s="7">
        <v>142695835</v>
      </c>
      <c r="B139" s="13">
        <v>5540246176295</v>
      </c>
      <c r="C139" s="31">
        <v>44694</v>
      </c>
      <c r="D139" s="8">
        <v>4455</v>
      </c>
      <c r="E139" s="14" t="str">
        <f>VLOOKUP(B139, 'Catégorie des articles'!A:E, 4, FALSE)</f>
        <v>CREMERIE</v>
      </c>
      <c r="F139" s="14">
        <f t="shared" si="2"/>
        <v>202205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ht="12.75" customHeight="1">
      <c r="A140" s="10">
        <v>142695835</v>
      </c>
      <c r="B140" s="15">
        <v>5540246188200</v>
      </c>
      <c r="C140" s="32">
        <v>44694</v>
      </c>
      <c r="D140" s="11">
        <v>1263</v>
      </c>
      <c r="E140" s="14" t="str">
        <f>VLOOKUP(B140, 'Catégorie des articles'!A:E, 4, FALSE)</f>
        <v>CREMERIE</v>
      </c>
      <c r="F140" s="14">
        <f t="shared" si="2"/>
        <v>202205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2.75" customHeight="1">
      <c r="A141" s="7">
        <v>142695837</v>
      </c>
      <c r="B141" s="13">
        <v>5540246183589</v>
      </c>
      <c r="C141" s="31">
        <v>44700</v>
      </c>
      <c r="D141" s="8">
        <v>1300</v>
      </c>
      <c r="E141" s="14" t="str">
        <f>VLOOKUP(B141, 'Catégorie des articles'!A:E, 4, FALSE)</f>
        <v>MIX LEGUMES</v>
      </c>
      <c r="F141" s="14">
        <f t="shared" si="2"/>
        <v>202205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ht="12.75" customHeight="1">
      <c r="A142" s="10">
        <v>142695837</v>
      </c>
      <c r="B142" s="15">
        <v>5540246186351</v>
      </c>
      <c r="C142" s="32">
        <v>44700</v>
      </c>
      <c r="D142" s="11">
        <v>1128</v>
      </c>
      <c r="E142" s="14" t="str">
        <f>VLOOKUP(B142, 'Catégorie des articles'!A:E, 4, FALSE)</f>
        <v>MIX LEGUMES</v>
      </c>
      <c r="F142" s="14">
        <f t="shared" si="2"/>
        <v>202205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12.75" customHeight="1">
      <c r="A143" s="7">
        <v>142695837</v>
      </c>
      <c r="B143" s="13">
        <v>5540246186352</v>
      </c>
      <c r="C143" s="31">
        <v>44700</v>
      </c>
      <c r="D143" s="8">
        <v>1880</v>
      </c>
      <c r="E143" s="14" t="str">
        <f>VLOOKUP(B143, 'Catégorie des articles'!A:E, 4, FALSE)</f>
        <v>MIX LEGUMES</v>
      </c>
      <c r="F143" s="14">
        <f t="shared" si="2"/>
        <v>202205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ht="12.75" customHeight="1">
      <c r="A144" s="7">
        <v>142695839</v>
      </c>
      <c r="B144" s="13">
        <v>5540246183554</v>
      </c>
      <c r="C144" s="31">
        <v>44703</v>
      </c>
      <c r="D144" s="8">
        <v>891</v>
      </c>
      <c r="E144" s="14" t="str">
        <f>VLOOKUP(B144, 'Catégorie des articles'!A:E, 4, FALSE)</f>
        <v>MIX LEGUMES</v>
      </c>
      <c r="F144" s="14">
        <f t="shared" si="2"/>
        <v>202205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ht="12.75" customHeight="1">
      <c r="A145" s="10">
        <v>142695839</v>
      </c>
      <c r="B145" s="15">
        <v>5540246183556</v>
      </c>
      <c r="C145" s="32">
        <v>44703</v>
      </c>
      <c r="D145" s="11">
        <v>1782</v>
      </c>
      <c r="E145" s="14" t="str">
        <f>VLOOKUP(B145, 'Catégorie des articles'!A:E, 4, FALSE)</f>
        <v>MIX LEGUMES</v>
      </c>
      <c r="F145" s="14">
        <f t="shared" si="2"/>
        <v>202205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ht="12.75" customHeight="1">
      <c r="A146" s="7">
        <v>142695839</v>
      </c>
      <c r="B146" s="13">
        <v>5540246183558</v>
      </c>
      <c r="C146" s="31">
        <v>44703</v>
      </c>
      <c r="D146" s="8">
        <v>2599</v>
      </c>
      <c r="E146" s="14" t="str">
        <f>VLOOKUP(B146, 'Catégorie des articles'!A:E, 4, FALSE)</f>
        <v>MIX LEGUMES</v>
      </c>
      <c r="F146" s="14">
        <f t="shared" si="2"/>
        <v>202205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ht="12.75" customHeight="1">
      <c r="A147" s="10">
        <v>142695839</v>
      </c>
      <c r="B147" s="15">
        <v>5540246192209</v>
      </c>
      <c r="C147" s="32">
        <v>44703</v>
      </c>
      <c r="D147" s="11">
        <v>2228</v>
      </c>
      <c r="E147" s="14" t="str">
        <f>VLOOKUP(B147, 'Catégorie des articles'!A:E, 4, FALSE)</f>
        <v>MIX LEGUMES</v>
      </c>
      <c r="F147" s="14">
        <f t="shared" si="2"/>
        <v>202205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2.75" customHeight="1">
      <c r="A148" s="7">
        <v>142695839</v>
      </c>
      <c r="B148" s="13">
        <v>5540246192462</v>
      </c>
      <c r="C148" s="31">
        <v>44703</v>
      </c>
      <c r="D148" s="8">
        <v>2228</v>
      </c>
      <c r="E148" s="14" t="str">
        <f>VLOOKUP(B148, 'Catégorie des articles'!A:E, 4, FALSE)</f>
        <v>MIX LEGUMES</v>
      </c>
      <c r="F148" s="14">
        <f t="shared" si="2"/>
        <v>202205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12.75" customHeight="1">
      <c r="A149" s="10">
        <v>142695839</v>
      </c>
      <c r="B149" s="15">
        <v>5540246192594</v>
      </c>
      <c r="C149" s="32">
        <v>44703</v>
      </c>
      <c r="D149" s="11">
        <v>743</v>
      </c>
      <c r="E149" s="14" t="str">
        <f>VLOOKUP(B149, 'Catégorie des articles'!A:E, 4, FALSE)</f>
        <v>MIX LEGUMES</v>
      </c>
      <c r="F149" s="14">
        <f t="shared" si="2"/>
        <v>202205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ht="12.75" customHeight="1">
      <c r="A150" s="7">
        <v>142695839</v>
      </c>
      <c r="B150" s="13">
        <v>5540246192831</v>
      </c>
      <c r="C150" s="31">
        <v>44703</v>
      </c>
      <c r="D150" s="8">
        <v>1300</v>
      </c>
      <c r="E150" s="14" t="str">
        <f>VLOOKUP(B150, 'Catégorie des articles'!A:E, 4, FALSE)</f>
        <v>MIX LEGUMES</v>
      </c>
      <c r="F150" s="14">
        <f t="shared" si="2"/>
        <v>202205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ht="12.75" customHeight="1">
      <c r="A151" s="7">
        <v>142695842</v>
      </c>
      <c r="B151" s="13">
        <v>5540246185429</v>
      </c>
      <c r="C151" s="31">
        <v>44695</v>
      </c>
      <c r="D151" s="8">
        <v>140</v>
      </c>
      <c r="E151" s="14" t="str">
        <f>VLOOKUP(B151, 'Catégorie des articles'!A:E, 4, FALSE)</f>
        <v>CREMERIE</v>
      </c>
      <c r="F151" s="14">
        <f t="shared" si="2"/>
        <v>202205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ht="12.75" customHeight="1">
      <c r="A152" s="10">
        <v>142695845</v>
      </c>
      <c r="B152" s="15">
        <v>5540246183130</v>
      </c>
      <c r="C152" s="32">
        <v>44702</v>
      </c>
      <c r="D152" s="11">
        <v>2819</v>
      </c>
      <c r="E152" s="14" t="str">
        <f>VLOOKUP(B152, 'Catégorie des articles'!A:E, 4, FALSE)</f>
        <v>MIX LEGUMES</v>
      </c>
      <c r="F152" s="14">
        <f t="shared" si="2"/>
        <v>202205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ht="12.75" customHeight="1">
      <c r="A153" s="7">
        <v>142695845</v>
      </c>
      <c r="B153" s="13">
        <v>5540246183537</v>
      </c>
      <c r="C153" s="31">
        <v>44702</v>
      </c>
      <c r="D153" s="8">
        <v>961</v>
      </c>
      <c r="E153" s="14" t="str">
        <f>VLOOKUP(B153, 'Catégorie des articles'!A:E, 4, FALSE)</f>
        <v>MIX LEGUMES</v>
      </c>
      <c r="F153" s="14">
        <f t="shared" si="2"/>
        <v>202205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ht="12.75" customHeight="1">
      <c r="A154" s="10">
        <v>142695845</v>
      </c>
      <c r="B154" s="15">
        <v>5540246183541</v>
      </c>
      <c r="C154" s="32">
        <v>44702</v>
      </c>
      <c r="D154" s="11">
        <v>1114</v>
      </c>
      <c r="E154" s="14" t="str">
        <f>VLOOKUP(B154, 'Catégorie des articles'!A:E, 4, FALSE)</f>
        <v>MIX LEGUMES</v>
      </c>
      <c r="F154" s="14">
        <f t="shared" si="2"/>
        <v>202205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ht="12.75" customHeight="1">
      <c r="A155" s="7">
        <v>142695845</v>
      </c>
      <c r="B155" s="13">
        <v>5540246183555</v>
      </c>
      <c r="C155" s="31">
        <v>44702</v>
      </c>
      <c r="D155" s="8">
        <v>543</v>
      </c>
      <c r="E155" s="14" t="str">
        <f>VLOOKUP(B155, 'Catégorie des articles'!A:E, 4, FALSE)</f>
        <v>MIX LEGUMES</v>
      </c>
      <c r="F155" s="14">
        <f t="shared" si="2"/>
        <v>202205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ht="12.75" customHeight="1">
      <c r="A156" s="7">
        <v>142695848</v>
      </c>
      <c r="B156" s="13">
        <v>5540246180522</v>
      </c>
      <c r="C156" s="31">
        <v>44716</v>
      </c>
      <c r="D156" s="8">
        <v>891</v>
      </c>
      <c r="E156" s="14" t="str">
        <f>VLOOKUP(B156, 'Catégorie des articles'!A:E, 4, FALSE)</f>
        <v>BOULANGERIE</v>
      </c>
      <c r="F156" s="14">
        <f t="shared" si="2"/>
        <v>202206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ht="12.75" customHeight="1">
      <c r="A157" s="10">
        <v>142695856</v>
      </c>
      <c r="B157" s="15">
        <v>5540246170256</v>
      </c>
      <c r="C157" s="32">
        <v>44710</v>
      </c>
      <c r="D157" s="11">
        <v>2822</v>
      </c>
      <c r="E157" s="14" t="str">
        <f>VLOOKUP(B157, 'Catégorie des articles'!A:E, 4, FALSE)</f>
        <v>BOULANGERIE</v>
      </c>
      <c r="F157" s="14">
        <f t="shared" si="2"/>
        <v>202205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12.75" customHeight="1">
      <c r="A158" s="7">
        <v>142695856</v>
      </c>
      <c r="B158" s="13">
        <v>5540246171888</v>
      </c>
      <c r="C158" s="31">
        <v>44710</v>
      </c>
      <c r="D158" s="8">
        <v>130</v>
      </c>
      <c r="E158" s="14" t="str">
        <f>VLOOKUP(B158, 'Catégorie des articles'!A:E, 4, FALSE)</f>
        <v>BOULANGERIE</v>
      </c>
      <c r="F158" s="14">
        <f t="shared" si="2"/>
        <v>202205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ht="12.75" customHeight="1">
      <c r="A159" s="10">
        <v>142695857</v>
      </c>
      <c r="B159" s="15">
        <v>5540246170256</v>
      </c>
      <c r="C159" s="32">
        <v>44722</v>
      </c>
      <c r="D159" s="11">
        <v>2822</v>
      </c>
      <c r="E159" s="14" t="str">
        <f>VLOOKUP(B159, 'Catégorie des articles'!A:E, 4, FALSE)</f>
        <v>BOULANGERIE</v>
      </c>
      <c r="F159" s="14">
        <f t="shared" si="2"/>
        <v>202206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ht="12.75" customHeight="1">
      <c r="A160" s="7">
        <v>142695857</v>
      </c>
      <c r="B160" s="13">
        <v>5540246171888</v>
      </c>
      <c r="C160" s="31">
        <v>44722</v>
      </c>
      <c r="D160" s="8">
        <v>780</v>
      </c>
      <c r="E160" s="14" t="str">
        <f>VLOOKUP(B160, 'Catégorie des articles'!A:E, 4, FALSE)</f>
        <v>BOULANGERIE</v>
      </c>
      <c r="F160" s="14">
        <f t="shared" si="2"/>
        <v>202206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ht="12.75" customHeight="1">
      <c r="A161" s="10">
        <v>142695858</v>
      </c>
      <c r="B161" s="15">
        <v>5540246170256</v>
      </c>
      <c r="C161" s="32">
        <v>44730</v>
      </c>
      <c r="D161" s="11">
        <v>1940</v>
      </c>
      <c r="E161" s="14" t="str">
        <f>VLOOKUP(B161, 'Catégorie des articles'!A:E, 4, FALSE)</f>
        <v>BOULANGERIE</v>
      </c>
      <c r="F161" s="14">
        <f t="shared" si="2"/>
        <v>202206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ht="12.75" customHeight="1">
      <c r="A162" s="7">
        <v>142695858</v>
      </c>
      <c r="B162" s="13">
        <v>5540246171888</v>
      </c>
      <c r="C162" s="31">
        <v>44730</v>
      </c>
      <c r="D162" s="8">
        <v>520</v>
      </c>
      <c r="E162" s="14" t="str">
        <f>VLOOKUP(B162, 'Catégorie des articles'!A:E, 4, FALSE)</f>
        <v>BOULANGERIE</v>
      </c>
      <c r="F162" s="14">
        <f t="shared" si="2"/>
        <v>202206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ht="12.75" customHeight="1">
      <c r="A163" s="7">
        <v>142695865</v>
      </c>
      <c r="B163" s="13">
        <v>5540246184808</v>
      </c>
      <c r="C163" s="31">
        <v>44695</v>
      </c>
      <c r="D163" s="8">
        <v>836</v>
      </c>
      <c r="E163" s="14" t="str">
        <f>VLOOKUP(B163, 'Catégorie des articles'!A:E, 4, FALSE)</f>
        <v>CREMERIE</v>
      </c>
      <c r="F163" s="14">
        <f t="shared" si="2"/>
        <v>202205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ht="12.75" customHeight="1">
      <c r="A164" s="7">
        <v>142695866</v>
      </c>
      <c r="B164" s="13">
        <v>5540246171933</v>
      </c>
      <c r="C164" s="31">
        <v>44695</v>
      </c>
      <c r="D164" s="8">
        <v>1114</v>
      </c>
      <c r="E164" s="14" t="str">
        <f>VLOOKUP(B164, 'Catégorie des articles'!A:E, 4, FALSE)</f>
        <v>CREMERIE</v>
      </c>
      <c r="F164" s="14">
        <f t="shared" si="2"/>
        <v>202205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ht="12.75" customHeight="1">
      <c r="A165" s="10">
        <v>142695866</v>
      </c>
      <c r="B165" s="15">
        <v>5540246187987</v>
      </c>
      <c r="C165" s="32">
        <v>44695</v>
      </c>
      <c r="D165" s="11">
        <v>2228</v>
      </c>
      <c r="E165" s="14" t="str">
        <f>VLOOKUP(B165, 'Catégorie des articles'!A:E, 4, FALSE)</f>
        <v>CREMERIE</v>
      </c>
      <c r="F165" s="14">
        <f t="shared" si="2"/>
        <v>202205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ht="12.75" customHeight="1">
      <c r="A166" s="7">
        <v>142695866</v>
      </c>
      <c r="B166" s="13">
        <v>5540246188200</v>
      </c>
      <c r="C166" s="31">
        <v>44695</v>
      </c>
      <c r="D166" s="8">
        <v>1485</v>
      </c>
      <c r="E166" s="14" t="str">
        <f>VLOOKUP(B166, 'Catégorie des articles'!A:E, 4, FALSE)</f>
        <v>CREMERIE</v>
      </c>
      <c r="F166" s="14">
        <f t="shared" si="2"/>
        <v>202205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ht="12.75" customHeight="1">
      <c r="A167" s="10">
        <v>142695867</v>
      </c>
      <c r="B167" s="15">
        <v>5540246175372</v>
      </c>
      <c r="C167" s="32">
        <v>44702</v>
      </c>
      <c r="D167" s="11">
        <v>3341</v>
      </c>
      <c r="E167" s="14" t="str">
        <f>VLOOKUP(B167, 'Catégorie des articles'!A:E, 4, FALSE)</f>
        <v>BOULANGERIE</v>
      </c>
      <c r="F167" s="14">
        <f t="shared" si="2"/>
        <v>202205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ht="12.75" customHeight="1">
      <c r="A168" s="7">
        <v>142695874</v>
      </c>
      <c r="B168" s="13">
        <v>5540246193505</v>
      </c>
      <c r="C168" s="31">
        <v>44696</v>
      </c>
      <c r="D168" s="8">
        <v>35636</v>
      </c>
      <c r="E168" s="14" t="str">
        <f>VLOOKUP(B168, 'Catégorie des articles'!A:E, 4, FALSE)</f>
        <v>BOULANGERIE</v>
      </c>
      <c r="F168" s="14">
        <f t="shared" si="2"/>
        <v>202205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ht="12.75" customHeight="1">
      <c r="A169" s="7">
        <v>142695906</v>
      </c>
      <c r="B169" s="13">
        <v>5540246188175</v>
      </c>
      <c r="C169" s="31">
        <v>44696</v>
      </c>
      <c r="D169" s="8">
        <v>93</v>
      </c>
      <c r="E169" s="14" t="str">
        <f>VLOOKUP(B169, 'Catégorie des articles'!A:E, 4, FALSE)</f>
        <v>CREMERIE</v>
      </c>
      <c r="F169" s="14">
        <f t="shared" si="2"/>
        <v>202205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ht="12.75" customHeight="1">
      <c r="A170" s="7">
        <v>142695907</v>
      </c>
      <c r="B170" s="13">
        <v>5540246171933</v>
      </c>
      <c r="C170" s="31">
        <v>44696</v>
      </c>
      <c r="D170" s="8">
        <v>1114</v>
      </c>
      <c r="E170" s="14" t="str">
        <f>VLOOKUP(B170, 'Catégorie des articles'!A:E, 4, FALSE)</f>
        <v>CREMERIE</v>
      </c>
      <c r="F170" s="14">
        <f t="shared" si="2"/>
        <v>202205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ht="12.75" customHeight="1">
      <c r="A171" s="10">
        <v>142695907</v>
      </c>
      <c r="B171" s="15">
        <v>5540246187987</v>
      </c>
      <c r="C171" s="32">
        <v>44696</v>
      </c>
      <c r="D171" s="11">
        <v>1671</v>
      </c>
      <c r="E171" s="14" t="str">
        <f>VLOOKUP(B171, 'Catégorie des articles'!A:E, 4, FALSE)</f>
        <v>CREMERIE</v>
      </c>
      <c r="F171" s="14">
        <f t="shared" si="2"/>
        <v>202205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ht="12.75" customHeight="1">
      <c r="A172" s="7">
        <v>142695907</v>
      </c>
      <c r="B172" s="13">
        <v>5540246188200</v>
      </c>
      <c r="C172" s="31">
        <v>44696</v>
      </c>
      <c r="D172" s="8">
        <v>1114</v>
      </c>
      <c r="E172" s="14" t="str">
        <f>VLOOKUP(B172, 'Catégorie des articles'!A:E, 4, FALSE)</f>
        <v>CREMERIE</v>
      </c>
      <c r="F172" s="14">
        <f t="shared" si="2"/>
        <v>202205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ht="12.75" customHeight="1">
      <c r="A173" s="7">
        <v>142695909</v>
      </c>
      <c r="B173" s="13">
        <v>5540246175461</v>
      </c>
      <c r="C173" s="31">
        <v>44700</v>
      </c>
      <c r="D173" s="8">
        <v>15034</v>
      </c>
      <c r="E173" s="14" t="str">
        <f>VLOOKUP(B173, 'Catégorie des articles'!A:E, 4, FALSE)</f>
        <v>MIX LEGUMES</v>
      </c>
      <c r="F173" s="14">
        <f t="shared" si="2"/>
        <v>202205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ht="12.75" customHeight="1">
      <c r="A174" s="10">
        <v>142695909</v>
      </c>
      <c r="B174" s="15">
        <v>5540246177132</v>
      </c>
      <c r="C174" s="32">
        <v>44700</v>
      </c>
      <c r="D174" s="11">
        <v>8816</v>
      </c>
      <c r="E174" s="14" t="str">
        <f>VLOOKUP(B174, 'Catégorie des articles'!A:E, 4, FALSE)</f>
        <v>MIX LEGUMES</v>
      </c>
      <c r="F174" s="14">
        <f t="shared" si="2"/>
        <v>202205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ht="12.75" customHeight="1">
      <c r="A175" s="7">
        <v>142695909</v>
      </c>
      <c r="B175" s="13">
        <v>5540246177133</v>
      </c>
      <c r="C175" s="31">
        <v>44700</v>
      </c>
      <c r="D175" s="8">
        <v>546</v>
      </c>
      <c r="E175" s="14" t="str">
        <f>VLOOKUP(B175, 'Catégorie des articles'!A:E, 4, FALSE)</f>
        <v>MIX LEGUMES</v>
      </c>
      <c r="F175" s="14">
        <f t="shared" si="2"/>
        <v>202205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12.75" customHeight="1">
      <c r="A176" s="10">
        <v>142695909</v>
      </c>
      <c r="B176" s="15">
        <v>5540246183562</v>
      </c>
      <c r="C176" s="32">
        <v>44700</v>
      </c>
      <c r="D176" s="11">
        <v>1044</v>
      </c>
      <c r="E176" s="14" t="str">
        <f>VLOOKUP(B176, 'Catégorie des articles'!A:E, 4, FALSE)</f>
        <v>MIX LEGUMES</v>
      </c>
      <c r="F176" s="14">
        <f t="shared" si="2"/>
        <v>202205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12.75" customHeight="1">
      <c r="A177" s="7">
        <v>142695914</v>
      </c>
      <c r="B177" s="13">
        <v>5540246188512</v>
      </c>
      <c r="C177" s="31">
        <v>44722</v>
      </c>
      <c r="D177" s="8">
        <v>232</v>
      </c>
      <c r="E177" s="14" t="str">
        <f>VLOOKUP(B177, 'Catégorie des articles'!A:E, 4, FALSE)</f>
        <v>EMBALLAGES</v>
      </c>
      <c r="F177" s="14">
        <f t="shared" si="2"/>
        <v>202206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ht="12.75" customHeight="1">
      <c r="A178" s="10">
        <v>142695914</v>
      </c>
      <c r="B178" s="15">
        <v>5540246190092</v>
      </c>
      <c r="C178" s="32">
        <v>44722</v>
      </c>
      <c r="D178" s="11">
        <v>116</v>
      </c>
      <c r="E178" s="14" t="str">
        <f>VLOOKUP(B178, 'Catégorie des articles'!A:E, 4, FALSE)</f>
        <v>EMBALLAGES</v>
      </c>
      <c r="F178" s="14">
        <f t="shared" si="2"/>
        <v>202206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2.75" customHeight="1">
      <c r="A179" s="7">
        <v>142695921</v>
      </c>
      <c r="B179" s="13">
        <v>5540246172669</v>
      </c>
      <c r="C179" s="31">
        <v>44697</v>
      </c>
      <c r="D179" s="8">
        <v>140</v>
      </c>
      <c r="E179" s="14" t="str">
        <f>VLOOKUP(B179, 'Catégorie des articles'!A:E, 4, FALSE)</f>
        <v>CREMERIE</v>
      </c>
      <c r="F179" s="14">
        <f t="shared" si="2"/>
        <v>202205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ht="12.75" customHeight="1">
      <c r="A180" s="7">
        <v>142695921</v>
      </c>
      <c r="B180" s="13">
        <v>5540246174174</v>
      </c>
      <c r="C180" s="31">
        <v>44697</v>
      </c>
      <c r="D180" s="8">
        <v>348</v>
      </c>
      <c r="E180" s="14" t="str">
        <f>VLOOKUP(B180, 'Catégorie des articles'!A:E, 4, FALSE)</f>
        <v>CREMERIE</v>
      </c>
      <c r="F180" s="14">
        <f t="shared" si="2"/>
        <v>202205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ht="12.75" customHeight="1">
      <c r="A181" s="10">
        <v>142695922</v>
      </c>
      <c r="B181" s="15">
        <v>5540246171933</v>
      </c>
      <c r="C181" s="32">
        <v>44697</v>
      </c>
      <c r="D181" s="11">
        <v>557</v>
      </c>
      <c r="E181" s="14" t="str">
        <f>VLOOKUP(B181, 'Catégorie des articles'!A:E, 4, FALSE)</f>
        <v>CREMERIE</v>
      </c>
      <c r="F181" s="14">
        <f t="shared" si="2"/>
        <v>202205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ht="12.75" customHeight="1">
      <c r="A182" s="7">
        <v>142695922</v>
      </c>
      <c r="B182" s="13">
        <v>5540246176294</v>
      </c>
      <c r="C182" s="31">
        <v>44697</v>
      </c>
      <c r="D182" s="8">
        <v>2970</v>
      </c>
      <c r="E182" s="14" t="str">
        <f>VLOOKUP(B182, 'Catégorie des articles'!A:E, 4, FALSE)</f>
        <v>CREMERIE</v>
      </c>
      <c r="F182" s="14">
        <f t="shared" si="2"/>
        <v>202205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ht="12.75" customHeight="1">
      <c r="A183" s="10">
        <v>142695922</v>
      </c>
      <c r="B183" s="15">
        <v>5540246176295</v>
      </c>
      <c r="C183" s="32">
        <v>44697</v>
      </c>
      <c r="D183" s="11">
        <v>7424</v>
      </c>
      <c r="E183" s="14" t="str">
        <f>VLOOKUP(B183, 'Catégorie des articles'!A:E, 4, FALSE)</f>
        <v>CREMERIE</v>
      </c>
      <c r="F183" s="14">
        <f t="shared" si="2"/>
        <v>202205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ht="12.75" customHeight="1">
      <c r="A184" s="7">
        <v>142695922</v>
      </c>
      <c r="B184" s="13">
        <v>5540246187987</v>
      </c>
      <c r="C184" s="31">
        <v>44697</v>
      </c>
      <c r="D184" s="8">
        <v>4455</v>
      </c>
      <c r="E184" s="14" t="str">
        <f>VLOOKUP(B184, 'Catégorie des articles'!A:E, 4, FALSE)</f>
        <v>CREMERIE</v>
      </c>
      <c r="F184" s="14">
        <f t="shared" si="2"/>
        <v>202205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ht="12.75" customHeight="1">
      <c r="A185" s="10">
        <v>142695922</v>
      </c>
      <c r="B185" s="15">
        <v>5540246188200</v>
      </c>
      <c r="C185" s="32">
        <v>44697</v>
      </c>
      <c r="D185" s="11">
        <v>1485</v>
      </c>
      <c r="E185" s="14" t="str">
        <f>VLOOKUP(B185, 'Catégorie des articles'!A:E, 4, FALSE)</f>
        <v>CREMERIE</v>
      </c>
      <c r="F185" s="14">
        <f t="shared" si="2"/>
        <v>202205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ht="12.75" customHeight="1">
      <c r="A186" s="7">
        <v>142695931</v>
      </c>
      <c r="B186" s="13">
        <v>5540246181061</v>
      </c>
      <c r="C186" s="31">
        <v>44718</v>
      </c>
      <c r="D186" s="8">
        <v>2068</v>
      </c>
      <c r="E186" s="14" t="str">
        <f>VLOOKUP(B186, 'Catégorie des articles'!A:E, 4, FALSE)</f>
        <v>VOLAILLE</v>
      </c>
      <c r="F186" s="14">
        <f t="shared" si="2"/>
        <v>202206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ht="12.75" customHeight="1">
      <c r="A187" s="10">
        <v>142695931</v>
      </c>
      <c r="B187" s="15">
        <v>5540246183547</v>
      </c>
      <c r="C187" s="32">
        <v>44718</v>
      </c>
      <c r="D187" s="11">
        <v>15591</v>
      </c>
      <c r="E187" s="14" t="str">
        <f>VLOOKUP(B187, 'Catégorie des articles'!A:E, 4, FALSE)</f>
        <v>VOLAILLE</v>
      </c>
      <c r="F187" s="14">
        <f t="shared" si="2"/>
        <v>202206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12.75" customHeight="1">
      <c r="A188" s="7">
        <v>142695931</v>
      </c>
      <c r="B188" s="13">
        <v>5540246185278</v>
      </c>
      <c r="C188" s="31">
        <v>44718</v>
      </c>
      <c r="D188" s="8">
        <v>1120</v>
      </c>
      <c r="E188" s="14" t="str">
        <f>VLOOKUP(B188, 'Catégorie des articles'!A:E, 4, FALSE)</f>
        <v>VOLAILLE</v>
      </c>
      <c r="F188" s="14">
        <f t="shared" si="2"/>
        <v>202206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ht="12.75" customHeight="1">
      <c r="A189" s="10">
        <v>142695940</v>
      </c>
      <c r="B189" s="15">
        <v>5540246173906</v>
      </c>
      <c r="C189" s="32">
        <v>44717</v>
      </c>
      <c r="D189" s="11">
        <v>2311</v>
      </c>
      <c r="E189" s="14" t="str">
        <f>VLOOKUP(B189, 'Catégorie des articles'!A:E, 4, FALSE)</f>
        <v>VOLAILLE</v>
      </c>
      <c r="F189" s="14">
        <f t="shared" si="2"/>
        <v>202206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ht="12.75" customHeight="1">
      <c r="A190" s="7">
        <v>142695940</v>
      </c>
      <c r="B190" s="13">
        <v>5540246181016</v>
      </c>
      <c r="C190" s="31">
        <v>44717</v>
      </c>
      <c r="D190" s="8">
        <v>13364</v>
      </c>
      <c r="E190" s="14" t="str">
        <f>VLOOKUP(B190, 'Catégorie des articles'!A:E, 4, FALSE)</f>
        <v>VOLAILLE</v>
      </c>
      <c r="F190" s="14">
        <f t="shared" si="2"/>
        <v>202206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12.75" customHeight="1">
      <c r="A191" s="10">
        <v>142695948</v>
      </c>
      <c r="B191" s="15">
        <v>5540246176294</v>
      </c>
      <c r="C191" s="32">
        <v>44700</v>
      </c>
      <c r="D191" s="11">
        <v>2970</v>
      </c>
      <c r="E191" s="14" t="str">
        <f>VLOOKUP(B191, 'Catégorie des articles'!A:E, 4, FALSE)</f>
        <v>CREMERIE</v>
      </c>
      <c r="F191" s="14">
        <f t="shared" si="2"/>
        <v>202205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ht="12.75" customHeight="1">
      <c r="A192" s="7">
        <v>142695948</v>
      </c>
      <c r="B192" s="13">
        <v>5540246176295</v>
      </c>
      <c r="C192" s="31">
        <v>44700</v>
      </c>
      <c r="D192" s="8">
        <v>4455</v>
      </c>
      <c r="E192" s="14" t="str">
        <f>VLOOKUP(B192, 'Catégorie des articles'!A:E, 4, FALSE)</f>
        <v>CREMERIE</v>
      </c>
      <c r="F192" s="14">
        <f t="shared" si="2"/>
        <v>202205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ht="12.75" customHeight="1">
      <c r="A193" s="10">
        <v>142695949</v>
      </c>
      <c r="B193" s="15">
        <v>5540246174174</v>
      </c>
      <c r="C193" s="32">
        <v>44700</v>
      </c>
      <c r="D193" s="11">
        <v>696</v>
      </c>
      <c r="E193" s="14" t="str">
        <f>VLOOKUP(B193, 'Catégorie des articles'!A:E, 4, FALSE)</f>
        <v>CREMERIE</v>
      </c>
      <c r="F193" s="14">
        <f t="shared" si="2"/>
        <v>202205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ht="12.75" customHeight="1">
      <c r="A194" s="7">
        <v>142695949</v>
      </c>
      <c r="B194" s="13">
        <v>5540246188175</v>
      </c>
      <c r="C194" s="31">
        <v>44700</v>
      </c>
      <c r="D194" s="8">
        <v>232</v>
      </c>
      <c r="E194" s="14" t="str">
        <f>VLOOKUP(B194, 'Catégorie des articles'!A:E, 4, FALSE)</f>
        <v>CREMERIE</v>
      </c>
      <c r="F194" s="14">
        <f t="shared" ref="F194:F257" si="3">YEAR(C194)*100 + MONTH(C194)</f>
        <v>202205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ht="12.75" customHeight="1">
      <c r="A195" s="7">
        <v>142695952</v>
      </c>
      <c r="B195" s="13">
        <v>5540246193878</v>
      </c>
      <c r="C195" s="31">
        <v>44716</v>
      </c>
      <c r="D195" s="8">
        <v>11136</v>
      </c>
      <c r="E195" s="14" t="str">
        <f>VLOOKUP(B195, 'Catégorie des articles'!A:E, 4, FALSE)</f>
        <v>VOLAILLE</v>
      </c>
      <c r="F195" s="14">
        <f t="shared" si="3"/>
        <v>202206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ht="12.75" customHeight="1">
      <c r="A196" s="10">
        <v>142695956</v>
      </c>
      <c r="B196" s="15">
        <v>5540246175047</v>
      </c>
      <c r="C196" s="32">
        <v>44704</v>
      </c>
      <c r="D196" s="11">
        <v>279</v>
      </c>
      <c r="E196" s="14" t="str">
        <f>VLOOKUP(B196, 'Catégorie des articles'!A:E, 4, FALSE)</f>
        <v>CREMERIE</v>
      </c>
      <c r="F196" s="14">
        <f t="shared" si="3"/>
        <v>202205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ht="12.75" customHeight="1">
      <c r="A197" s="7">
        <v>142695956</v>
      </c>
      <c r="B197" s="13">
        <v>5540246175049</v>
      </c>
      <c r="C197" s="31">
        <v>44704</v>
      </c>
      <c r="D197" s="8">
        <v>557</v>
      </c>
      <c r="E197" s="14" t="str">
        <f>VLOOKUP(B197, 'Catégorie des articles'!A:E, 4, FALSE)</f>
        <v>CREMERIE</v>
      </c>
      <c r="F197" s="14">
        <f t="shared" si="3"/>
        <v>202205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ht="12.75" customHeight="1">
      <c r="A198" s="10">
        <v>142695956</v>
      </c>
      <c r="B198" s="15">
        <v>5540246175050</v>
      </c>
      <c r="C198" s="32">
        <v>44704</v>
      </c>
      <c r="D198" s="11">
        <v>418</v>
      </c>
      <c r="E198" s="14" t="str">
        <f>VLOOKUP(B198, 'Catégorie des articles'!A:E, 4, FALSE)</f>
        <v>CREMERIE</v>
      </c>
      <c r="F198" s="14">
        <f t="shared" si="3"/>
        <v>202205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ht="12.75" customHeight="1">
      <c r="A199" s="7">
        <v>142695956</v>
      </c>
      <c r="B199" s="13">
        <v>5540246190743</v>
      </c>
      <c r="C199" s="31">
        <v>44704</v>
      </c>
      <c r="D199" s="8">
        <v>279</v>
      </c>
      <c r="E199" s="14" t="str">
        <f>VLOOKUP(B199, 'Catégorie des articles'!A:E, 4, FALSE)</f>
        <v>CREMERIE</v>
      </c>
      <c r="F199" s="14">
        <f t="shared" si="3"/>
        <v>202205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ht="12.75" customHeight="1">
      <c r="A200" s="10">
        <v>142695962</v>
      </c>
      <c r="B200" s="15">
        <v>5540246186010</v>
      </c>
      <c r="C200" s="32">
        <v>44731</v>
      </c>
      <c r="D200" s="11">
        <v>84</v>
      </c>
      <c r="E200" s="14" t="str">
        <f>VLOOKUP(B200, 'Catégorie des articles'!A:E, 4, FALSE)</f>
        <v>EMBALLAGES</v>
      </c>
      <c r="F200" s="14">
        <f t="shared" si="3"/>
        <v>202206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ht="12.75" customHeight="1">
      <c r="A201" s="7">
        <v>142695962</v>
      </c>
      <c r="B201" s="13">
        <v>5540246186011</v>
      </c>
      <c r="C201" s="31">
        <v>44731</v>
      </c>
      <c r="D201" s="8">
        <v>3</v>
      </c>
      <c r="E201" s="14" t="str">
        <f>VLOOKUP(B201, 'Catégorie des articles'!A:E, 4, FALSE)</f>
        <v>EMBALLAGES</v>
      </c>
      <c r="F201" s="14">
        <f t="shared" si="3"/>
        <v>202206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ht="12.75" customHeight="1">
      <c r="A202" s="10">
        <v>142695962</v>
      </c>
      <c r="B202" s="15">
        <v>5540246186017</v>
      </c>
      <c r="C202" s="32">
        <v>44731</v>
      </c>
      <c r="D202" s="11">
        <v>63</v>
      </c>
      <c r="E202" s="14" t="str">
        <f>VLOOKUP(B202, 'Catégorie des articles'!A:E, 4, FALSE)</f>
        <v>EMBALLAGES</v>
      </c>
      <c r="F202" s="14">
        <f t="shared" si="3"/>
        <v>202206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ht="12.75" customHeight="1">
      <c r="A203" s="10">
        <v>142695970</v>
      </c>
      <c r="B203" s="15">
        <v>5540246186325</v>
      </c>
      <c r="C203" s="32">
        <v>44702</v>
      </c>
      <c r="D203" s="11">
        <v>140</v>
      </c>
      <c r="E203" s="14" t="str">
        <f>VLOOKUP(B203, 'Catégorie des articles'!A:E, 4, FALSE)</f>
        <v>CREMERIE</v>
      </c>
      <c r="F203" s="14">
        <f t="shared" si="3"/>
        <v>202205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ht="12.75" customHeight="1">
      <c r="A204" s="7">
        <v>142695978</v>
      </c>
      <c r="B204" s="13">
        <v>5540246182684</v>
      </c>
      <c r="C204" s="31">
        <v>44710</v>
      </c>
      <c r="D204" s="8">
        <v>174</v>
      </c>
      <c r="E204" s="14" t="str">
        <f>VLOOKUP(B204, 'Catégorie des articles'!A:E, 4, FALSE)</f>
        <v>BOULANGERIE</v>
      </c>
      <c r="F204" s="14">
        <f t="shared" si="3"/>
        <v>202205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ht="12.75" customHeight="1">
      <c r="A205" s="10">
        <v>142695978</v>
      </c>
      <c r="B205" s="15">
        <v>5540246183844</v>
      </c>
      <c r="C205" s="32">
        <v>44710</v>
      </c>
      <c r="D205" s="11">
        <v>140</v>
      </c>
      <c r="E205" s="14" t="str">
        <f>VLOOKUP(B205, 'Catégorie des articles'!A:E, 4, FALSE)</f>
        <v>BOULANGERIE</v>
      </c>
      <c r="F205" s="14">
        <f t="shared" si="3"/>
        <v>202205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ht="12.75" customHeight="1">
      <c r="A206" s="7">
        <v>142695981</v>
      </c>
      <c r="B206" s="13">
        <v>5540246184036</v>
      </c>
      <c r="C206" s="31">
        <v>44711</v>
      </c>
      <c r="D206" s="8">
        <v>130</v>
      </c>
      <c r="E206" s="14" t="str">
        <f>VLOOKUP(B206, 'Catégorie des articles'!A:E, 4, FALSE)</f>
        <v>BOULANGERIE</v>
      </c>
      <c r="F206" s="14">
        <f t="shared" si="3"/>
        <v>202205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ht="12.75" customHeight="1">
      <c r="A207" s="10">
        <v>142695981</v>
      </c>
      <c r="B207" s="15">
        <v>5540246191596</v>
      </c>
      <c r="C207" s="32">
        <v>44711</v>
      </c>
      <c r="D207" s="11">
        <v>223</v>
      </c>
      <c r="E207" s="14" t="str">
        <f>VLOOKUP(B207, 'Catégorie des articles'!A:E, 4, FALSE)</f>
        <v>BOULANGERIE</v>
      </c>
      <c r="F207" s="14">
        <f t="shared" si="3"/>
        <v>202205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ht="12.75" customHeight="1">
      <c r="A208" s="7">
        <v>142695981</v>
      </c>
      <c r="B208" s="13">
        <v>5540246193505</v>
      </c>
      <c r="C208" s="31">
        <v>44711</v>
      </c>
      <c r="D208" s="8">
        <v>29696</v>
      </c>
      <c r="E208" s="14" t="str">
        <f>VLOOKUP(B208, 'Catégorie des articles'!A:E, 4, FALSE)</f>
        <v>BOULANGERIE</v>
      </c>
      <c r="F208" s="14">
        <f t="shared" si="3"/>
        <v>202205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ht="12.75" customHeight="1">
      <c r="A209" s="7">
        <v>142706009</v>
      </c>
      <c r="B209" s="13">
        <v>5540246187998</v>
      </c>
      <c r="C209" s="31">
        <v>44786</v>
      </c>
      <c r="D209" s="8">
        <v>1392</v>
      </c>
      <c r="E209" s="14" t="str">
        <f>VLOOKUP(B209, 'Catégorie des articles'!A:E, 4, FALSE)</f>
        <v>EMBALLAGES</v>
      </c>
      <c r="F209" s="14">
        <f t="shared" si="3"/>
        <v>202208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ht="12.75" customHeight="1">
      <c r="A210" s="10">
        <v>142706012</v>
      </c>
      <c r="B210" s="15">
        <v>5540246187995</v>
      </c>
      <c r="C210" s="32">
        <v>44730</v>
      </c>
      <c r="D210" s="11">
        <v>928</v>
      </c>
      <c r="E210" s="14" t="str">
        <f>VLOOKUP(B210, 'Catégorie des articles'!A:E, 4, FALSE)</f>
        <v>EMBALLAGES</v>
      </c>
      <c r="F210" s="14">
        <f t="shared" si="3"/>
        <v>202206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ht="12.75" customHeight="1">
      <c r="A211" s="10">
        <v>142706018</v>
      </c>
      <c r="B211" s="15">
        <v>5540246176294</v>
      </c>
      <c r="C211" s="32">
        <v>44702</v>
      </c>
      <c r="D211" s="11">
        <v>2228</v>
      </c>
      <c r="E211" s="14" t="str">
        <f>VLOOKUP(B211, 'Catégorie des articles'!A:E, 4, FALSE)</f>
        <v>CREMERIE</v>
      </c>
      <c r="F211" s="14">
        <f t="shared" si="3"/>
        <v>202205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ht="12.75" customHeight="1">
      <c r="A212" s="7">
        <v>142706018</v>
      </c>
      <c r="B212" s="13">
        <v>5540246176295</v>
      </c>
      <c r="C212" s="31">
        <v>44702</v>
      </c>
      <c r="D212" s="8">
        <v>7424</v>
      </c>
      <c r="E212" s="14" t="str">
        <f>VLOOKUP(B212, 'Catégorie des articles'!A:E, 4, FALSE)</f>
        <v>CREMERIE</v>
      </c>
      <c r="F212" s="14">
        <f t="shared" si="3"/>
        <v>202205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ht="12.75" customHeight="1">
      <c r="A213" s="10">
        <v>142706018</v>
      </c>
      <c r="B213" s="15">
        <v>5540246187987</v>
      </c>
      <c r="C213" s="32">
        <v>44702</v>
      </c>
      <c r="D213" s="11">
        <v>2228</v>
      </c>
      <c r="E213" s="14" t="str">
        <f>VLOOKUP(B213, 'Catégorie des articles'!A:E, 4, FALSE)</f>
        <v>CREMERIE</v>
      </c>
      <c r="F213" s="14">
        <f t="shared" si="3"/>
        <v>202205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ht="12.75" customHeight="1">
      <c r="A214" s="7">
        <v>142706018</v>
      </c>
      <c r="B214" s="13">
        <v>5540246188200</v>
      </c>
      <c r="C214" s="31">
        <v>44702</v>
      </c>
      <c r="D214" s="8">
        <v>1485</v>
      </c>
      <c r="E214" s="14" t="str">
        <f>VLOOKUP(B214, 'Catégorie des articles'!A:E, 4, FALSE)</f>
        <v>CREMERIE</v>
      </c>
      <c r="F214" s="14">
        <f t="shared" si="3"/>
        <v>202205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ht="12.75" customHeight="1">
      <c r="A215" s="10">
        <v>142706019</v>
      </c>
      <c r="B215" s="15">
        <v>5540246172669</v>
      </c>
      <c r="C215" s="32">
        <v>44702</v>
      </c>
      <c r="D215" s="11">
        <v>209</v>
      </c>
      <c r="E215" s="14" t="str">
        <f>VLOOKUP(B215, 'Catégorie des articles'!A:E, 4, FALSE)</f>
        <v>CREMERIE</v>
      </c>
      <c r="F215" s="14">
        <f t="shared" si="3"/>
        <v>202205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 ht="12.75" customHeight="1">
      <c r="A216" s="7">
        <v>142706019</v>
      </c>
      <c r="B216" s="13">
        <v>5540246174174</v>
      </c>
      <c r="C216" s="31">
        <v>44702</v>
      </c>
      <c r="D216" s="8">
        <v>464</v>
      </c>
      <c r="E216" s="14" t="str">
        <f>VLOOKUP(B216, 'Catégorie des articles'!A:E, 4, FALSE)</f>
        <v>CREMERIE</v>
      </c>
      <c r="F216" s="14">
        <f t="shared" si="3"/>
        <v>202205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 ht="12.75" customHeight="1">
      <c r="A217" s="10">
        <v>142706024</v>
      </c>
      <c r="B217" s="15">
        <v>5540246175049</v>
      </c>
      <c r="C217" s="32">
        <v>44709</v>
      </c>
      <c r="D217" s="11">
        <v>557</v>
      </c>
      <c r="E217" s="14" t="str">
        <f>VLOOKUP(B217, 'Catégorie des articles'!A:E, 4, FALSE)</f>
        <v>CREMERIE</v>
      </c>
      <c r="F217" s="14">
        <f t="shared" si="3"/>
        <v>202205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 ht="12.75" customHeight="1">
      <c r="A218" s="7">
        <v>142706024</v>
      </c>
      <c r="B218" s="13">
        <v>5540246175050</v>
      </c>
      <c r="C218" s="31">
        <v>44709</v>
      </c>
      <c r="D218" s="8">
        <v>557</v>
      </c>
      <c r="E218" s="14" t="str">
        <f>VLOOKUP(B218, 'Catégorie des articles'!A:E, 4, FALSE)</f>
        <v>CREMERIE</v>
      </c>
      <c r="F218" s="14">
        <f t="shared" si="3"/>
        <v>202205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 ht="12.75" customHeight="1">
      <c r="A219" s="10">
        <v>142706024</v>
      </c>
      <c r="B219" s="15">
        <v>5540246190743</v>
      </c>
      <c r="C219" s="32">
        <v>44709</v>
      </c>
      <c r="D219" s="11">
        <v>557</v>
      </c>
      <c r="E219" s="14" t="str">
        <f>VLOOKUP(B219, 'Catégorie des articles'!A:E, 4, FALSE)</f>
        <v>CREMERIE</v>
      </c>
      <c r="F219" s="14">
        <f t="shared" si="3"/>
        <v>202205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ht="12.75" customHeight="1">
      <c r="A220" s="7">
        <v>142706040</v>
      </c>
      <c r="B220" s="13">
        <v>5540246192518</v>
      </c>
      <c r="C220" s="31">
        <v>44704</v>
      </c>
      <c r="D220" s="8">
        <v>20463</v>
      </c>
      <c r="E220" s="14" t="str">
        <f>VLOOKUP(B220, 'Catégorie des articles'!A:E, 4, FALSE)</f>
        <v>MIX LEGUMES</v>
      </c>
      <c r="F220" s="14">
        <f t="shared" si="3"/>
        <v>202205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ht="12.75" customHeight="1">
      <c r="A221" s="7">
        <v>142706041</v>
      </c>
      <c r="B221" s="13">
        <v>5540246176699</v>
      </c>
      <c r="C221" s="31">
        <v>44702</v>
      </c>
      <c r="D221" s="8">
        <v>4176</v>
      </c>
      <c r="E221" s="14" t="str">
        <f>VLOOKUP(B221, 'Catégorie des articles'!A:E, 4, FALSE)</f>
        <v>CREMERIE</v>
      </c>
      <c r="F221" s="14">
        <f t="shared" si="3"/>
        <v>202205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ht="12.75" customHeight="1">
      <c r="A222" s="10">
        <v>142706048</v>
      </c>
      <c r="B222" s="15">
        <v>5540246190097</v>
      </c>
      <c r="C222" s="32">
        <v>44710</v>
      </c>
      <c r="D222" s="11">
        <v>2909</v>
      </c>
      <c r="E222" s="14" t="str">
        <f>VLOOKUP(B222, 'Catégorie des articles'!A:E, 4, FALSE)</f>
        <v>VOLAILLE</v>
      </c>
      <c r="F222" s="14">
        <f t="shared" si="3"/>
        <v>202205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ht="12.75" customHeight="1">
      <c r="A223" s="10">
        <v>142706053</v>
      </c>
      <c r="B223" s="15">
        <v>5540246176295</v>
      </c>
      <c r="C223" s="32">
        <v>44703</v>
      </c>
      <c r="D223" s="11">
        <v>4455</v>
      </c>
      <c r="E223" s="14" t="str">
        <f>VLOOKUP(B223, 'Catégorie des articles'!A:E, 4, FALSE)</f>
        <v>CREMERIE</v>
      </c>
      <c r="F223" s="14">
        <f t="shared" si="3"/>
        <v>202205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ht="12.75" customHeight="1">
      <c r="A224" s="10">
        <v>142706056</v>
      </c>
      <c r="B224" s="15">
        <v>5540246183589</v>
      </c>
      <c r="C224" s="32">
        <v>44711</v>
      </c>
      <c r="D224" s="11">
        <v>1300</v>
      </c>
      <c r="E224" s="14" t="str">
        <f>VLOOKUP(B224, 'Catégorie des articles'!A:E, 4, FALSE)</f>
        <v>MIX LEGUMES</v>
      </c>
      <c r="F224" s="14">
        <f t="shared" si="3"/>
        <v>202205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ht="12.75" customHeight="1">
      <c r="A225" s="7">
        <v>142706056</v>
      </c>
      <c r="B225" s="13">
        <v>5540246186351</v>
      </c>
      <c r="C225" s="31">
        <v>44711</v>
      </c>
      <c r="D225" s="8">
        <v>564</v>
      </c>
      <c r="E225" s="14" t="str">
        <f>VLOOKUP(B225, 'Catégorie des articles'!A:E, 4, FALSE)</f>
        <v>MIX LEGUMES</v>
      </c>
      <c r="F225" s="14">
        <f t="shared" si="3"/>
        <v>202205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ht="12.75" customHeight="1">
      <c r="A226" s="10">
        <v>142706056</v>
      </c>
      <c r="B226" s="15">
        <v>5540246186352</v>
      </c>
      <c r="C226" s="32">
        <v>44711</v>
      </c>
      <c r="D226" s="11">
        <v>2819</v>
      </c>
      <c r="E226" s="14" t="str">
        <f>VLOOKUP(B226, 'Catégorie des articles'!A:E, 4, FALSE)</f>
        <v>MIX LEGUMES</v>
      </c>
      <c r="F226" s="14">
        <f t="shared" si="3"/>
        <v>202205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ht="12.75" customHeight="1">
      <c r="A227" s="10">
        <v>142706058</v>
      </c>
      <c r="B227" s="15">
        <v>5540246171759</v>
      </c>
      <c r="C227" s="32">
        <v>44708</v>
      </c>
      <c r="D227" s="11">
        <v>5012</v>
      </c>
      <c r="E227" s="14" t="str">
        <f>VLOOKUP(B227, 'Catégorie des articles'!A:E, 4, FALSE)</f>
        <v>MIX LEGUMES</v>
      </c>
      <c r="F227" s="14">
        <f t="shared" si="3"/>
        <v>202205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ht="12.75" customHeight="1">
      <c r="A228" s="7">
        <v>142706058</v>
      </c>
      <c r="B228" s="13">
        <v>5540246177132</v>
      </c>
      <c r="C228" s="31">
        <v>44708</v>
      </c>
      <c r="D228" s="8">
        <v>7424</v>
      </c>
      <c r="E228" s="14" t="str">
        <f>VLOOKUP(B228, 'Catégorie des articles'!A:E, 4, FALSE)</f>
        <v>MIX LEGUMES</v>
      </c>
      <c r="F228" s="14">
        <f t="shared" si="3"/>
        <v>202205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ht="12.75" customHeight="1">
      <c r="A229" s="10">
        <v>142706058</v>
      </c>
      <c r="B229" s="15">
        <v>5540246177133</v>
      </c>
      <c r="C229" s="32">
        <v>44708</v>
      </c>
      <c r="D229" s="11">
        <v>8445</v>
      </c>
      <c r="E229" s="14" t="str">
        <f>VLOOKUP(B229, 'Catégorie des articles'!A:E, 4, FALSE)</f>
        <v>MIX LEGUMES</v>
      </c>
      <c r="F229" s="14">
        <f t="shared" si="3"/>
        <v>202205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ht="12.75" customHeight="1">
      <c r="A230" s="7">
        <v>142706060</v>
      </c>
      <c r="B230" s="13">
        <v>5540246188583</v>
      </c>
      <c r="C230" s="31">
        <v>44707</v>
      </c>
      <c r="D230" s="8">
        <v>2784</v>
      </c>
      <c r="E230" s="14" t="str">
        <f>VLOOKUP(B230, 'Catégorie des articles'!A:E, 4, FALSE)</f>
        <v>BOULANGERIE</v>
      </c>
      <c r="F230" s="14">
        <f t="shared" si="3"/>
        <v>202205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ht="12.75" customHeight="1">
      <c r="A231" s="7">
        <v>142706067</v>
      </c>
      <c r="B231" s="13">
        <v>5540246171933</v>
      </c>
      <c r="C231" s="31">
        <v>44704</v>
      </c>
      <c r="D231" s="8">
        <v>557</v>
      </c>
      <c r="E231" s="14" t="str">
        <f>VLOOKUP(B231, 'Catégorie des articles'!A:E, 4, FALSE)</f>
        <v>CREMERIE</v>
      </c>
      <c r="F231" s="14">
        <f t="shared" si="3"/>
        <v>202205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 ht="12.75" customHeight="1">
      <c r="A232" s="10">
        <v>142706067</v>
      </c>
      <c r="B232" s="15">
        <v>5540246176294</v>
      </c>
      <c r="C232" s="32">
        <v>44704</v>
      </c>
      <c r="D232" s="11">
        <v>3712</v>
      </c>
      <c r="E232" s="14" t="str">
        <f>VLOOKUP(B232, 'Catégorie des articles'!A:E, 4, FALSE)</f>
        <v>CREMERIE</v>
      </c>
      <c r="F232" s="14">
        <f t="shared" si="3"/>
        <v>202205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 ht="12.75" customHeight="1">
      <c r="A233" s="7">
        <v>142706067</v>
      </c>
      <c r="B233" s="13">
        <v>5540246176295</v>
      </c>
      <c r="C233" s="31">
        <v>44704</v>
      </c>
      <c r="D233" s="8">
        <v>7424</v>
      </c>
      <c r="E233" s="14" t="str">
        <f>VLOOKUP(B233, 'Catégorie des articles'!A:E, 4, FALSE)</f>
        <v>CREMERIE</v>
      </c>
      <c r="F233" s="14">
        <f t="shared" si="3"/>
        <v>202205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 ht="12.75" customHeight="1">
      <c r="A234" s="10">
        <v>142706067</v>
      </c>
      <c r="B234" s="15">
        <v>5540246187987</v>
      </c>
      <c r="C234" s="32">
        <v>44704</v>
      </c>
      <c r="D234" s="11">
        <v>4455</v>
      </c>
      <c r="E234" s="14" t="str">
        <f>VLOOKUP(B234, 'Catégorie des articles'!A:E, 4, FALSE)</f>
        <v>CREMERIE</v>
      </c>
      <c r="F234" s="14">
        <f t="shared" si="3"/>
        <v>202205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 ht="12.75" customHeight="1">
      <c r="A235" s="7">
        <v>142706067</v>
      </c>
      <c r="B235" s="13">
        <v>5540246188200</v>
      </c>
      <c r="C235" s="31">
        <v>44704</v>
      </c>
      <c r="D235" s="8">
        <v>743</v>
      </c>
      <c r="E235" s="14" t="str">
        <f>VLOOKUP(B235, 'Catégorie des articles'!A:E, 4, FALSE)</f>
        <v>CREMERIE</v>
      </c>
      <c r="F235" s="14">
        <f t="shared" si="3"/>
        <v>202205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 ht="12.75" customHeight="1">
      <c r="A236" s="7">
        <v>142706068</v>
      </c>
      <c r="B236" s="13">
        <v>5540246172669</v>
      </c>
      <c r="C236" s="31">
        <v>44704</v>
      </c>
      <c r="D236" s="8">
        <v>279</v>
      </c>
      <c r="E236" s="14" t="str">
        <f>VLOOKUP(B236, 'Catégorie des articles'!A:E, 4, FALSE)</f>
        <v>CREMERIE</v>
      </c>
      <c r="F236" s="14">
        <f t="shared" si="3"/>
        <v>202205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ht="12.75" customHeight="1">
      <c r="A237" s="10">
        <v>142706068</v>
      </c>
      <c r="B237" s="15">
        <v>5540246172978</v>
      </c>
      <c r="C237" s="32">
        <v>44704</v>
      </c>
      <c r="D237" s="11">
        <v>1253</v>
      </c>
      <c r="E237" s="14" t="str">
        <f>VLOOKUP(B237, 'Catégorie des articles'!A:E, 4, FALSE)</f>
        <v>CREMERIE</v>
      </c>
      <c r="F237" s="14">
        <f t="shared" si="3"/>
        <v>202205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ht="12.75" customHeight="1">
      <c r="A238" s="10">
        <v>142706068</v>
      </c>
      <c r="B238" s="15">
        <v>5540246174174</v>
      </c>
      <c r="C238" s="32">
        <v>44704</v>
      </c>
      <c r="D238" s="11">
        <v>464</v>
      </c>
      <c r="E238" s="14" t="str">
        <f>VLOOKUP(B238, 'Catégorie des articles'!A:E, 4, FALSE)</f>
        <v>CREMERIE</v>
      </c>
      <c r="F238" s="14">
        <f t="shared" si="3"/>
        <v>202205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ht="12.75" customHeight="1">
      <c r="A239" s="7">
        <v>142706068</v>
      </c>
      <c r="B239" s="13">
        <v>5540246176699</v>
      </c>
      <c r="C239" s="31">
        <v>44704</v>
      </c>
      <c r="D239" s="8">
        <v>2088</v>
      </c>
      <c r="E239" s="14" t="str">
        <f>VLOOKUP(B239, 'Catégorie des articles'!A:E, 4, FALSE)</f>
        <v>CREMERIE</v>
      </c>
      <c r="F239" s="14">
        <f t="shared" si="3"/>
        <v>202205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ht="12.75" customHeight="1">
      <c r="A240" s="7">
        <v>142706093</v>
      </c>
      <c r="B240" s="13">
        <v>5540246172978</v>
      </c>
      <c r="C240" s="31">
        <v>44707</v>
      </c>
      <c r="D240" s="8">
        <v>418</v>
      </c>
      <c r="E240" s="14" t="str">
        <f>VLOOKUP(B240, 'Catégorie des articles'!A:E, 4, FALSE)</f>
        <v>CREMERIE</v>
      </c>
      <c r="F240" s="14">
        <f t="shared" si="3"/>
        <v>202205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ht="12.75" customHeight="1">
      <c r="A241" s="10">
        <v>142706093</v>
      </c>
      <c r="B241" s="15">
        <v>5540246174174</v>
      </c>
      <c r="C241" s="32">
        <v>44707</v>
      </c>
      <c r="D241" s="11">
        <v>232</v>
      </c>
      <c r="E241" s="14" t="str">
        <f>VLOOKUP(B241, 'Catégorie des articles'!A:E, 4, FALSE)</f>
        <v>CREMERIE</v>
      </c>
      <c r="F241" s="14">
        <f t="shared" si="3"/>
        <v>202205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 ht="12.75" customHeight="1">
      <c r="A242" s="7">
        <v>142706094</v>
      </c>
      <c r="B242" s="13">
        <v>5540246171933</v>
      </c>
      <c r="C242" s="31">
        <v>44707</v>
      </c>
      <c r="D242" s="8">
        <v>557</v>
      </c>
      <c r="E242" s="14" t="str">
        <f>VLOOKUP(B242, 'Catégorie des articles'!A:E, 4, FALSE)</f>
        <v>CREMERIE</v>
      </c>
      <c r="F242" s="14">
        <f t="shared" si="3"/>
        <v>202205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 ht="12.75" customHeight="1">
      <c r="A243" s="7">
        <v>142706094</v>
      </c>
      <c r="B243" s="13">
        <v>5540246187987</v>
      </c>
      <c r="C243" s="31">
        <v>44707</v>
      </c>
      <c r="D243" s="8">
        <v>2228</v>
      </c>
      <c r="E243" s="14" t="str">
        <f>VLOOKUP(B243, 'Catégorie des articles'!A:E, 4, FALSE)</f>
        <v>CREMERIE</v>
      </c>
      <c r="F243" s="14">
        <f t="shared" si="3"/>
        <v>202205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 ht="12.75" customHeight="1">
      <c r="A244" s="10">
        <v>142706101</v>
      </c>
      <c r="B244" s="15">
        <v>5540246193999</v>
      </c>
      <c r="C244" s="32">
        <v>44708</v>
      </c>
      <c r="D244" s="11">
        <v>23490</v>
      </c>
      <c r="E244" s="14" t="str">
        <f>VLOOKUP(B244, 'Catégorie des articles'!A:E, 4, FALSE)</f>
        <v>MIX LEGUMES</v>
      </c>
      <c r="F244" s="14">
        <f t="shared" si="3"/>
        <v>202205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 ht="12.75" customHeight="1">
      <c r="A245" s="7">
        <v>142706106</v>
      </c>
      <c r="B245" s="13">
        <v>5540246183130</v>
      </c>
      <c r="C245" s="31">
        <v>44710</v>
      </c>
      <c r="D245" s="8">
        <v>1128</v>
      </c>
      <c r="E245" s="14" t="str">
        <f>VLOOKUP(B245, 'Catégorie des articles'!A:E, 4, FALSE)</f>
        <v>MIX LEGUMES</v>
      </c>
      <c r="F245" s="14">
        <f t="shared" si="3"/>
        <v>202205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 ht="12.75" customHeight="1">
      <c r="A246" s="10">
        <v>142706106</v>
      </c>
      <c r="B246" s="15">
        <v>5540246183455</v>
      </c>
      <c r="C246" s="32">
        <v>44710</v>
      </c>
      <c r="D246" s="11">
        <v>1044</v>
      </c>
      <c r="E246" s="14" t="str">
        <f>VLOOKUP(B246, 'Catégorie des articles'!A:E, 4, FALSE)</f>
        <v>MIX LEGUMES</v>
      </c>
      <c r="F246" s="14">
        <f t="shared" si="3"/>
        <v>202205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 ht="12.75" customHeight="1">
      <c r="A247" s="10">
        <v>142706111</v>
      </c>
      <c r="B247" s="15">
        <v>5540246171759</v>
      </c>
      <c r="C247" s="32">
        <v>44711</v>
      </c>
      <c r="D247" s="11">
        <v>2506</v>
      </c>
      <c r="E247" s="14" t="str">
        <f>VLOOKUP(B247, 'Catégorie des articles'!A:E, 4, FALSE)</f>
        <v>MIX LEGUMES</v>
      </c>
      <c r="F247" s="14">
        <f t="shared" si="3"/>
        <v>202205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ht="12.75" customHeight="1">
      <c r="A248" s="7">
        <v>142706111</v>
      </c>
      <c r="B248" s="13">
        <v>5540246177132</v>
      </c>
      <c r="C248" s="31">
        <v>44711</v>
      </c>
      <c r="D248" s="8">
        <v>6496</v>
      </c>
      <c r="E248" s="14" t="str">
        <f>VLOOKUP(B248, 'Catégorie des articles'!A:E, 4, FALSE)</f>
        <v>MIX LEGUMES</v>
      </c>
      <c r="F248" s="14">
        <f t="shared" si="3"/>
        <v>202205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ht="12.75" customHeight="1">
      <c r="A249" s="10">
        <v>142706111</v>
      </c>
      <c r="B249" s="15">
        <v>5540246183562</v>
      </c>
      <c r="C249" s="32">
        <v>44711</v>
      </c>
      <c r="D249" s="11">
        <v>2088</v>
      </c>
      <c r="E249" s="14" t="str">
        <f>VLOOKUP(B249, 'Catégorie des articles'!A:E, 4, FALSE)</f>
        <v>MIX LEGUMES</v>
      </c>
      <c r="F249" s="14">
        <f t="shared" si="3"/>
        <v>202205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ht="12.75" customHeight="1">
      <c r="A250" s="7">
        <v>142716113</v>
      </c>
      <c r="B250" s="13">
        <v>5540246190097</v>
      </c>
      <c r="C250" s="31">
        <v>44725</v>
      </c>
      <c r="D250" s="8">
        <v>5769</v>
      </c>
      <c r="E250" s="14" t="str">
        <f>VLOOKUP(B250, 'Catégorie des articles'!A:E, 4, FALSE)</f>
        <v>VOLAILLE</v>
      </c>
      <c r="F250" s="14">
        <f t="shared" si="3"/>
        <v>202206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ht="12.75" customHeight="1">
      <c r="A251" s="7">
        <v>142716118</v>
      </c>
      <c r="B251" s="13">
        <v>5540246172669</v>
      </c>
      <c r="C251" s="31">
        <v>44708</v>
      </c>
      <c r="D251" s="8">
        <v>557</v>
      </c>
      <c r="E251" s="14" t="str">
        <f>VLOOKUP(B251, 'Catégorie des articles'!A:E, 4, FALSE)</f>
        <v>CREMERIE</v>
      </c>
      <c r="F251" s="14">
        <f t="shared" si="3"/>
        <v>202205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ht="12.75" customHeight="1">
      <c r="A252" s="10">
        <v>142716118</v>
      </c>
      <c r="B252" s="15">
        <v>5540246188175</v>
      </c>
      <c r="C252" s="32">
        <v>44708</v>
      </c>
      <c r="D252" s="11">
        <v>232</v>
      </c>
      <c r="E252" s="14" t="str">
        <f>VLOOKUP(B252, 'Catégorie des articles'!A:E, 4, FALSE)</f>
        <v>CREMERIE</v>
      </c>
      <c r="F252" s="14">
        <f t="shared" si="3"/>
        <v>202205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ht="12.75" customHeight="1">
      <c r="A253" s="10">
        <v>142716119</v>
      </c>
      <c r="B253" s="15">
        <v>5540246188200</v>
      </c>
      <c r="C253" s="32">
        <v>44708</v>
      </c>
      <c r="D253" s="11">
        <v>743</v>
      </c>
      <c r="E253" s="14" t="str">
        <f>VLOOKUP(B253, 'Catégorie des articles'!A:E, 4, FALSE)</f>
        <v>CREMERIE</v>
      </c>
      <c r="F253" s="14">
        <f t="shared" si="3"/>
        <v>202205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ht="12.75" customHeight="1">
      <c r="A254" s="10">
        <v>142716122</v>
      </c>
      <c r="B254" s="15">
        <v>5540246185429</v>
      </c>
      <c r="C254" s="32">
        <v>44708</v>
      </c>
      <c r="D254" s="11">
        <v>140</v>
      </c>
      <c r="E254" s="14" t="str">
        <f>VLOOKUP(B254, 'Catégorie des articles'!A:E, 4, FALSE)</f>
        <v>CREMERIE</v>
      </c>
      <c r="F254" s="14">
        <f t="shared" si="3"/>
        <v>202205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ht="12.75" customHeight="1">
      <c r="A255" s="7">
        <v>142716122</v>
      </c>
      <c r="B255" s="13">
        <v>5540246186325</v>
      </c>
      <c r="C255" s="31">
        <v>44708</v>
      </c>
      <c r="D255" s="8">
        <v>279</v>
      </c>
      <c r="E255" s="14" t="str">
        <f>VLOOKUP(B255, 'Catégorie des articles'!A:E, 4, FALSE)</f>
        <v>CREMERIE</v>
      </c>
      <c r="F255" s="14">
        <f t="shared" si="3"/>
        <v>202205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ht="12.75" customHeight="1">
      <c r="A256" s="7">
        <v>142716131</v>
      </c>
      <c r="B256" s="13">
        <v>5540246183558</v>
      </c>
      <c r="C256" s="31">
        <v>44721</v>
      </c>
      <c r="D256" s="8">
        <v>3898</v>
      </c>
      <c r="E256" s="14" t="str">
        <f>VLOOKUP(B256, 'Catégorie des articles'!A:E, 4, FALSE)</f>
        <v>MIX LEGUMES</v>
      </c>
      <c r="F256" s="14">
        <f t="shared" si="3"/>
        <v>202206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ht="12.75" customHeight="1">
      <c r="A257" s="10">
        <v>142716134</v>
      </c>
      <c r="B257" s="15">
        <v>5540246188224</v>
      </c>
      <c r="C257" s="32">
        <v>44724</v>
      </c>
      <c r="D257" s="11">
        <v>2413</v>
      </c>
      <c r="E257" s="14" t="str">
        <f>VLOOKUP(B257, 'Catégorie des articles'!A:E, 4, FALSE)</f>
        <v>VOLAILLE</v>
      </c>
      <c r="F257" s="14">
        <f t="shared" si="3"/>
        <v>202206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ht="12.75" customHeight="1">
      <c r="A258" s="10">
        <v>142716136</v>
      </c>
      <c r="B258" s="15">
        <v>5540246192907</v>
      </c>
      <c r="C258" s="32">
        <v>44743</v>
      </c>
      <c r="D258" s="11">
        <v>8909</v>
      </c>
      <c r="E258" s="14" t="str">
        <f>VLOOKUP(B258, 'Catégorie des articles'!A:E, 4, FALSE)</f>
        <v>VOLAILLE</v>
      </c>
      <c r="F258" s="14">
        <f t="shared" ref="F258:F321" si="4">YEAR(C258)*100 + MONTH(C258)</f>
        <v>202207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ht="12.75" customHeight="1">
      <c r="A259" s="7">
        <v>142716137</v>
      </c>
      <c r="B259" s="13">
        <v>5540246193878</v>
      </c>
      <c r="C259" s="31">
        <v>44716</v>
      </c>
      <c r="D259" s="8">
        <v>11136</v>
      </c>
      <c r="E259" s="14" t="str">
        <f>VLOOKUP(B259, 'Catégorie des articles'!A:E, 4, FALSE)</f>
        <v>VOLAILLE</v>
      </c>
      <c r="F259" s="14">
        <f t="shared" si="4"/>
        <v>202206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 ht="12.75" customHeight="1">
      <c r="A260" s="10">
        <v>142716138</v>
      </c>
      <c r="B260" s="15">
        <v>5540246186352</v>
      </c>
      <c r="C260" s="32">
        <v>44722</v>
      </c>
      <c r="D260" s="11">
        <v>8457</v>
      </c>
      <c r="E260" s="14" t="str">
        <f>VLOOKUP(B260, 'Catégorie des articles'!A:E, 4, FALSE)</f>
        <v>MIX LEGUMES</v>
      </c>
      <c r="F260" s="14">
        <f t="shared" si="4"/>
        <v>202206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1:21" ht="12.75" customHeight="1">
      <c r="A261" s="7">
        <v>142716150</v>
      </c>
      <c r="B261" s="13">
        <v>5540246172978</v>
      </c>
      <c r="C261" s="31">
        <v>44709</v>
      </c>
      <c r="D261" s="8">
        <v>1253</v>
      </c>
      <c r="E261" s="14" t="str">
        <f>VLOOKUP(B261, 'Catégorie des articles'!A:E, 4, FALSE)</f>
        <v>CREMERIE</v>
      </c>
      <c r="F261" s="14">
        <f t="shared" si="4"/>
        <v>202205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spans="1:21" ht="12.75" customHeight="1">
      <c r="A262" s="7">
        <v>142716150</v>
      </c>
      <c r="B262" s="13">
        <v>5540246176699</v>
      </c>
      <c r="C262" s="31">
        <v>44709</v>
      </c>
      <c r="D262" s="8">
        <v>3132</v>
      </c>
      <c r="E262" s="14" t="str">
        <f>VLOOKUP(B262, 'Catégorie des articles'!A:E, 4, FALSE)</f>
        <v>CREMERIE</v>
      </c>
      <c r="F262" s="14">
        <f t="shared" si="4"/>
        <v>202205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1:21" ht="12.75" customHeight="1">
      <c r="A263" s="10">
        <v>142716150</v>
      </c>
      <c r="B263" s="15">
        <v>5540246192102</v>
      </c>
      <c r="C263" s="32">
        <v>44709</v>
      </c>
      <c r="D263" s="11">
        <v>4009</v>
      </c>
      <c r="E263" s="14" t="str">
        <f>VLOOKUP(B263, 'Catégorie des articles'!A:E, 4, FALSE)</f>
        <v>CREMERIE</v>
      </c>
      <c r="F263" s="14">
        <f t="shared" si="4"/>
        <v>202205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spans="1:21" ht="12.75" customHeight="1">
      <c r="A264" s="7">
        <v>142716151</v>
      </c>
      <c r="B264" s="13">
        <v>5540246176294</v>
      </c>
      <c r="C264" s="31">
        <v>44709</v>
      </c>
      <c r="D264" s="8">
        <v>2228</v>
      </c>
      <c r="E264" s="14" t="str">
        <f>VLOOKUP(B264, 'Catégorie des articles'!A:E, 4, FALSE)</f>
        <v>CREMERIE</v>
      </c>
      <c r="F264" s="14">
        <f t="shared" si="4"/>
        <v>202205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spans="1:21" ht="12.75" customHeight="1">
      <c r="A265" s="10">
        <v>142716151</v>
      </c>
      <c r="B265" s="15">
        <v>5540246176295</v>
      </c>
      <c r="C265" s="32">
        <v>44709</v>
      </c>
      <c r="D265" s="11">
        <v>7424</v>
      </c>
      <c r="E265" s="14" t="str">
        <f>VLOOKUP(B265, 'Catégorie des articles'!A:E, 4, FALSE)</f>
        <v>CREMERIE</v>
      </c>
      <c r="F265" s="14">
        <f t="shared" si="4"/>
        <v>202205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1:21" ht="12.75" customHeight="1">
      <c r="A266" s="10">
        <v>142716151</v>
      </c>
      <c r="B266" s="15">
        <v>5540246188200</v>
      </c>
      <c r="C266" s="32">
        <v>44709</v>
      </c>
      <c r="D266" s="11">
        <v>1485</v>
      </c>
      <c r="E266" s="14" t="str">
        <f>VLOOKUP(B266, 'Catégorie des articles'!A:E, 4, FALSE)</f>
        <v>CREMERIE</v>
      </c>
      <c r="F266" s="14">
        <f t="shared" si="4"/>
        <v>202205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spans="1:21" ht="12.75" customHeight="1">
      <c r="A267" s="10">
        <v>142716168</v>
      </c>
      <c r="B267" s="15">
        <v>5540246192264</v>
      </c>
      <c r="C267" s="32">
        <v>44735</v>
      </c>
      <c r="D267" s="11">
        <v>372</v>
      </c>
      <c r="E267" s="14" t="str">
        <f>VLOOKUP(B267, 'Catégorie des articles'!A:E, 4, FALSE)</f>
        <v>CREMERIE</v>
      </c>
      <c r="F267" s="14">
        <f t="shared" si="4"/>
        <v>202206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1:21" ht="12.75" customHeight="1">
      <c r="A268" s="7">
        <v>142716168</v>
      </c>
      <c r="B268" s="13">
        <v>5540246192265</v>
      </c>
      <c r="C268" s="31">
        <v>44735</v>
      </c>
      <c r="D268" s="8">
        <v>1411</v>
      </c>
      <c r="E268" s="14" t="str">
        <f>VLOOKUP(B268, 'Catégorie des articles'!A:E, 4, FALSE)</f>
        <v>CREMERIE</v>
      </c>
      <c r="F268" s="14">
        <f t="shared" si="4"/>
        <v>202206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1:21" ht="12.75" customHeight="1">
      <c r="A269" s="7">
        <v>142716170</v>
      </c>
      <c r="B269" s="13">
        <v>5540246176295</v>
      </c>
      <c r="C269" s="31">
        <v>44710</v>
      </c>
      <c r="D269" s="8">
        <v>7424</v>
      </c>
      <c r="E269" s="14" t="str">
        <f>VLOOKUP(B269, 'Catégorie des articles'!A:E, 4, FALSE)</f>
        <v>CREMERIE</v>
      </c>
      <c r="F269" s="14">
        <f t="shared" si="4"/>
        <v>202205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spans="1:21" ht="12.75" customHeight="1">
      <c r="A270" s="10">
        <v>142716170</v>
      </c>
      <c r="B270" s="15">
        <v>5540246187987</v>
      </c>
      <c r="C270" s="32">
        <v>44710</v>
      </c>
      <c r="D270" s="11">
        <v>2228</v>
      </c>
      <c r="E270" s="14" t="str">
        <f>VLOOKUP(B270, 'Catégorie des articles'!A:E, 4, FALSE)</f>
        <v>CREMERIE</v>
      </c>
      <c r="F270" s="14">
        <f t="shared" si="4"/>
        <v>202205</v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1:21" ht="12.75" customHeight="1">
      <c r="A271" s="10">
        <v>142716176</v>
      </c>
      <c r="B271" s="15">
        <v>5540246185429</v>
      </c>
      <c r="C271" s="32">
        <v>44711</v>
      </c>
      <c r="D271" s="11">
        <v>140</v>
      </c>
      <c r="E271" s="14" t="str">
        <f>VLOOKUP(B271, 'Catégorie des articles'!A:E, 4, FALSE)</f>
        <v>CREMERIE</v>
      </c>
      <c r="F271" s="14">
        <f t="shared" si="4"/>
        <v>202205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spans="1:21" ht="12.75" customHeight="1">
      <c r="A272" s="10">
        <v>142716182</v>
      </c>
      <c r="B272" s="15">
        <v>5540246171759</v>
      </c>
      <c r="C272" s="32">
        <v>44716</v>
      </c>
      <c r="D272" s="11">
        <v>2506</v>
      </c>
      <c r="E272" s="14" t="str">
        <f>VLOOKUP(B272, 'Catégorie des articles'!A:E, 4, FALSE)</f>
        <v>MIX LEGUMES</v>
      </c>
      <c r="F272" s="14">
        <f t="shared" si="4"/>
        <v>202206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1:21" ht="12.75" customHeight="1">
      <c r="A273" s="7">
        <v>142716182</v>
      </c>
      <c r="B273" s="13">
        <v>5540246177132</v>
      </c>
      <c r="C273" s="31">
        <v>44716</v>
      </c>
      <c r="D273" s="8">
        <v>6960</v>
      </c>
      <c r="E273" s="14" t="str">
        <f>VLOOKUP(B273, 'Catégorie des articles'!A:E, 4, FALSE)</f>
        <v>MIX LEGUMES</v>
      </c>
      <c r="F273" s="14">
        <f t="shared" si="4"/>
        <v>202206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spans="1:21" ht="12.75" customHeight="1">
      <c r="A274" s="10">
        <v>142716182</v>
      </c>
      <c r="B274" s="15">
        <v>5540246183562</v>
      </c>
      <c r="C274" s="32">
        <v>44716</v>
      </c>
      <c r="D274" s="11">
        <v>696</v>
      </c>
      <c r="E274" s="14" t="str">
        <f>VLOOKUP(B274, 'Catégorie des articles'!A:E, 4, FALSE)</f>
        <v>MIX LEGUMES</v>
      </c>
      <c r="F274" s="14">
        <f t="shared" si="4"/>
        <v>202206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spans="1:21" ht="12.75" customHeight="1">
      <c r="A275" s="7">
        <v>142716182</v>
      </c>
      <c r="B275" s="13">
        <v>5540246192518</v>
      </c>
      <c r="C275" s="31">
        <v>44716</v>
      </c>
      <c r="D275" s="8">
        <v>8770</v>
      </c>
      <c r="E275" s="14" t="str">
        <f>VLOOKUP(B275, 'Catégorie des articles'!A:E, 4, FALSE)</f>
        <v>MIX LEGUMES</v>
      </c>
      <c r="F275" s="14">
        <f t="shared" si="4"/>
        <v>202206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spans="1:21" ht="12.75" customHeight="1">
      <c r="A276" s="10">
        <v>142716192</v>
      </c>
      <c r="B276" s="15">
        <v>5540246181061</v>
      </c>
      <c r="C276" s="32">
        <v>44728</v>
      </c>
      <c r="D276" s="11">
        <v>6615</v>
      </c>
      <c r="E276" s="14" t="str">
        <f>VLOOKUP(B276, 'Catégorie des articles'!A:E, 4, FALSE)</f>
        <v>VOLAILLE</v>
      </c>
      <c r="F276" s="14">
        <f t="shared" si="4"/>
        <v>202206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spans="1:21" ht="12.75" customHeight="1">
      <c r="A277" s="7">
        <v>142716192</v>
      </c>
      <c r="B277" s="13">
        <v>5540246183547</v>
      </c>
      <c r="C277" s="31">
        <v>44728</v>
      </c>
      <c r="D277" s="8">
        <v>10023</v>
      </c>
      <c r="E277" s="14" t="str">
        <f>VLOOKUP(B277, 'Catégorie des articles'!A:E, 4, FALSE)</f>
        <v>VOLAILLE</v>
      </c>
      <c r="F277" s="14">
        <f t="shared" si="4"/>
        <v>202206</v>
      </c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spans="1:21" ht="12.75" customHeight="1">
      <c r="A278" s="10">
        <v>142716192</v>
      </c>
      <c r="B278" s="15">
        <v>5540246185278</v>
      </c>
      <c r="C278" s="32">
        <v>44728</v>
      </c>
      <c r="D278" s="11">
        <v>1120</v>
      </c>
      <c r="E278" s="14" t="str">
        <f>VLOOKUP(B278, 'Catégorie des articles'!A:E, 4, FALSE)</f>
        <v>VOLAILLE</v>
      </c>
      <c r="F278" s="14">
        <f t="shared" si="4"/>
        <v>202206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spans="1:21" ht="12.75" customHeight="1">
      <c r="A279" s="10">
        <v>142716209</v>
      </c>
      <c r="B279" s="15">
        <v>5540246187987</v>
      </c>
      <c r="C279" s="32">
        <v>44711</v>
      </c>
      <c r="D279" s="11">
        <v>2228</v>
      </c>
      <c r="E279" s="14" t="str">
        <f>VLOOKUP(B279, 'Catégorie des articles'!A:E, 4, FALSE)</f>
        <v>CREMERIE</v>
      </c>
      <c r="F279" s="14">
        <f t="shared" si="4"/>
        <v>202205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spans="1:21" ht="12.75" customHeight="1">
      <c r="A280" s="10">
        <v>142716210</v>
      </c>
      <c r="B280" s="15">
        <v>5540246176699</v>
      </c>
      <c r="C280" s="32">
        <v>44711</v>
      </c>
      <c r="D280" s="11">
        <v>1044</v>
      </c>
      <c r="E280" s="14" t="str">
        <f>VLOOKUP(B280, 'Catégorie des articles'!A:E, 4, FALSE)</f>
        <v>CREMERIE</v>
      </c>
      <c r="F280" s="14">
        <f t="shared" si="4"/>
        <v>202205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spans="1:21" ht="12.75" customHeight="1">
      <c r="A281" s="7">
        <v>142716223</v>
      </c>
      <c r="B281" s="13">
        <v>5540246172978</v>
      </c>
      <c r="C281" s="31">
        <v>44711</v>
      </c>
      <c r="D281" s="8">
        <v>836</v>
      </c>
      <c r="E281" s="14" t="str">
        <f>VLOOKUP(B281, 'Catégorie des articles'!A:E, 4, FALSE)</f>
        <v>CREMERIE</v>
      </c>
      <c r="F281" s="14">
        <f t="shared" si="4"/>
        <v>202205</v>
      </c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spans="1:21" ht="12.75" customHeight="1">
      <c r="A282" s="10">
        <v>142716223</v>
      </c>
      <c r="B282" s="15">
        <v>5540246176699</v>
      </c>
      <c r="C282" s="32">
        <v>44711</v>
      </c>
      <c r="D282" s="11">
        <v>4176</v>
      </c>
      <c r="E282" s="14" t="str">
        <f>VLOOKUP(B282, 'Catégorie des articles'!A:E, 4, FALSE)</f>
        <v>CREMERIE</v>
      </c>
      <c r="F282" s="14">
        <f t="shared" si="4"/>
        <v>202205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spans="1:21" ht="12.75" customHeight="1">
      <c r="A283" s="10">
        <v>142716225</v>
      </c>
      <c r="B283" s="15">
        <v>5540246171933</v>
      </c>
      <c r="C283" s="32">
        <v>44714</v>
      </c>
      <c r="D283" s="11">
        <v>1114</v>
      </c>
      <c r="E283" s="14" t="str">
        <f>VLOOKUP(B283, 'Catégorie des articles'!A:E, 4, FALSE)</f>
        <v>CREMERIE</v>
      </c>
      <c r="F283" s="14">
        <f t="shared" si="4"/>
        <v>202206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spans="1:21" ht="12.75" customHeight="1">
      <c r="A284" s="7">
        <v>142716225</v>
      </c>
      <c r="B284" s="13">
        <v>5540246187987</v>
      </c>
      <c r="C284" s="31">
        <v>44714</v>
      </c>
      <c r="D284" s="8">
        <v>4455</v>
      </c>
      <c r="E284" s="14" t="str">
        <f>VLOOKUP(B284, 'Catégorie des articles'!A:E, 4, FALSE)</f>
        <v>CREMERIE</v>
      </c>
      <c r="F284" s="14">
        <f t="shared" si="4"/>
        <v>202206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spans="1:21" ht="12.75" customHeight="1">
      <c r="A285" s="10">
        <v>142716225</v>
      </c>
      <c r="B285" s="15">
        <v>5540246188200</v>
      </c>
      <c r="C285" s="32">
        <v>44714</v>
      </c>
      <c r="D285" s="11">
        <v>2228</v>
      </c>
      <c r="E285" s="14" t="str">
        <f>VLOOKUP(B285, 'Catégorie des articles'!A:E, 4, FALSE)</f>
        <v>CREMERIE</v>
      </c>
      <c r="F285" s="14">
        <f t="shared" si="4"/>
        <v>202206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spans="1:21" ht="12.75" customHeight="1">
      <c r="A286" s="10">
        <v>142716226</v>
      </c>
      <c r="B286" s="15">
        <v>5540246172978</v>
      </c>
      <c r="C286" s="32">
        <v>44714</v>
      </c>
      <c r="D286" s="11">
        <v>418</v>
      </c>
      <c r="E286" s="14" t="str">
        <f>VLOOKUP(B286, 'Catégorie des articles'!A:E, 4, FALSE)</f>
        <v>CREMERIE</v>
      </c>
      <c r="F286" s="14">
        <f t="shared" si="4"/>
        <v>202206</v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spans="1:21" ht="12.75" customHeight="1">
      <c r="A287" s="10">
        <v>142716226</v>
      </c>
      <c r="B287" s="15">
        <v>5540246174174</v>
      </c>
      <c r="C287" s="32">
        <v>44714</v>
      </c>
      <c r="D287" s="11">
        <v>696</v>
      </c>
      <c r="E287" s="14" t="str">
        <f>VLOOKUP(B287, 'Catégorie des articles'!A:E, 4, FALSE)</f>
        <v>CREMERIE</v>
      </c>
      <c r="F287" s="14">
        <f t="shared" si="4"/>
        <v>202206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spans="1:21" ht="12.75" customHeight="1">
      <c r="A288" s="10">
        <v>142716226</v>
      </c>
      <c r="B288" s="15">
        <v>5540246176699</v>
      </c>
      <c r="C288" s="32">
        <v>44714</v>
      </c>
      <c r="D288" s="11">
        <v>2088</v>
      </c>
      <c r="E288" s="14" t="str">
        <f>VLOOKUP(B288, 'Catégorie des articles'!A:E, 4, FALSE)</f>
        <v>CREMERIE</v>
      </c>
      <c r="F288" s="14">
        <f t="shared" si="4"/>
        <v>202206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spans="1:21" ht="12.75" customHeight="1">
      <c r="A289" s="10">
        <v>142716226</v>
      </c>
      <c r="B289" s="15">
        <v>5540246188175</v>
      </c>
      <c r="C289" s="32">
        <v>44714</v>
      </c>
      <c r="D289" s="11">
        <v>232</v>
      </c>
      <c r="E289" s="14" t="str">
        <f>VLOOKUP(B289, 'Catégorie des articles'!A:E, 4, FALSE)</f>
        <v>CREMERIE</v>
      </c>
      <c r="F289" s="14">
        <f t="shared" si="4"/>
        <v>202206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spans="1:21" ht="12.75" customHeight="1">
      <c r="A290" s="10">
        <v>142716239</v>
      </c>
      <c r="B290" s="15">
        <v>5540246173472</v>
      </c>
      <c r="C290" s="32">
        <v>44717</v>
      </c>
      <c r="D290" s="11">
        <v>279</v>
      </c>
      <c r="E290" s="14" t="str">
        <f>VLOOKUP(B290, 'Catégorie des articles'!A:E, 4, FALSE)</f>
        <v>CREMERIE</v>
      </c>
      <c r="F290" s="14">
        <f t="shared" si="4"/>
        <v>202206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spans="1:21" ht="12.75" customHeight="1">
      <c r="A291" s="7">
        <v>142716239</v>
      </c>
      <c r="B291" s="13">
        <v>5540246174095</v>
      </c>
      <c r="C291" s="31">
        <v>44717</v>
      </c>
      <c r="D291" s="8">
        <v>70</v>
      </c>
      <c r="E291" s="14" t="str">
        <f>VLOOKUP(B291, 'Catégorie des articles'!A:E, 4, FALSE)</f>
        <v>CREMERIE</v>
      </c>
      <c r="F291" s="14">
        <f t="shared" si="4"/>
        <v>202206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spans="1:21" ht="12.75" customHeight="1">
      <c r="A292" s="10">
        <v>142716239</v>
      </c>
      <c r="B292" s="15">
        <v>5540246175049</v>
      </c>
      <c r="C292" s="32">
        <v>44717</v>
      </c>
      <c r="D292" s="11">
        <v>836</v>
      </c>
      <c r="E292" s="14" t="str">
        <f>VLOOKUP(B292, 'Catégorie des articles'!A:E, 4, FALSE)</f>
        <v>CREMERIE</v>
      </c>
      <c r="F292" s="14">
        <f t="shared" si="4"/>
        <v>202206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spans="1:21" ht="12.75" customHeight="1">
      <c r="A293" s="7">
        <v>142716239</v>
      </c>
      <c r="B293" s="13">
        <v>5540246175050</v>
      </c>
      <c r="C293" s="31">
        <v>44717</v>
      </c>
      <c r="D293" s="8">
        <v>557</v>
      </c>
      <c r="E293" s="14" t="str">
        <f>VLOOKUP(B293, 'Catégorie des articles'!A:E, 4, FALSE)</f>
        <v>CREMERIE</v>
      </c>
      <c r="F293" s="14">
        <f t="shared" si="4"/>
        <v>202206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spans="1:21" ht="12.75" customHeight="1">
      <c r="A294" s="10">
        <v>142716242</v>
      </c>
      <c r="B294" s="15">
        <v>5540246171888</v>
      </c>
      <c r="C294" s="32">
        <v>44717</v>
      </c>
      <c r="D294" s="11">
        <v>650</v>
      </c>
      <c r="E294" s="14" t="str">
        <f>VLOOKUP(B294, 'Catégorie des articles'!A:E, 4, FALSE)</f>
        <v>BOULANGERIE</v>
      </c>
      <c r="F294" s="14">
        <f t="shared" si="4"/>
        <v>202206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spans="1:21" ht="12.75" customHeight="1">
      <c r="A295" s="7">
        <v>142716247</v>
      </c>
      <c r="B295" s="13">
        <v>5540246170256</v>
      </c>
      <c r="C295" s="31">
        <v>44738</v>
      </c>
      <c r="D295" s="8">
        <v>1235</v>
      </c>
      <c r="E295" s="14" t="str">
        <f>VLOOKUP(B295, 'Catégorie des articles'!A:E, 4, FALSE)</f>
        <v>BOULANGERIE</v>
      </c>
      <c r="F295" s="14">
        <f t="shared" si="4"/>
        <v>202206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spans="1:21" ht="12.75" customHeight="1">
      <c r="A296" s="10">
        <v>142716247</v>
      </c>
      <c r="B296" s="15">
        <v>5540246171888</v>
      </c>
      <c r="C296" s="32">
        <v>44738</v>
      </c>
      <c r="D296" s="11">
        <v>260</v>
      </c>
      <c r="E296" s="14" t="str">
        <f>VLOOKUP(B296, 'Catégorie des articles'!A:E, 4, FALSE)</f>
        <v>BOULANGERIE</v>
      </c>
      <c r="F296" s="14">
        <f t="shared" si="4"/>
        <v>202206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spans="1:21" ht="12.75" customHeight="1">
      <c r="A297" s="7">
        <v>142716248</v>
      </c>
      <c r="B297" s="13">
        <v>5540246184036</v>
      </c>
      <c r="C297" s="31">
        <v>44724</v>
      </c>
      <c r="D297" s="8">
        <v>130</v>
      </c>
      <c r="E297" s="14" t="str">
        <f>VLOOKUP(B297, 'Catégorie des articles'!A:E, 4, FALSE)</f>
        <v>BOULANGERIE</v>
      </c>
      <c r="F297" s="14">
        <f t="shared" si="4"/>
        <v>202206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spans="1:21" ht="12.75" customHeight="1">
      <c r="A298" s="10">
        <v>142716248</v>
      </c>
      <c r="B298" s="15">
        <v>5540246191596</v>
      </c>
      <c r="C298" s="32">
        <v>44724</v>
      </c>
      <c r="D298" s="11">
        <v>223</v>
      </c>
      <c r="E298" s="14" t="str">
        <f>VLOOKUP(B298, 'Catégorie des articles'!A:E, 4, FALSE)</f>
        <v>BOULANGERIE</v>
      </c>
      <c r="F298" s="14">
        <f t="shared" si="4"/>
        <v>202206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spans="1:21" ht="12.75" customHeight="1">
      <c r="A299" s="7">
        <v>142716248</v>
      </c>
      <c r="B299" s="13">
        <v>5540246193505</v>
      </c>
      <c r="C299" s="31">
        <v>44724</v>
      </c>
      <c r="D299" s="8">
        <v>26727</v>
      </c>
      <c r="E299" s="14" t="str">
        <f>VLOOKUP(B299, 'Catégorie des articles'!A:E, 4, FALSE)</f>
        <v>BOULANGERIE</v>
      </c>
      <c r="F299" s="14">
        <f t="shared" si="4"/>
        <v>202206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spans="1:21" ht="12.75" customHeight="1">
      <c r="A300" s="10">
        <v>142716250</v>
      </c>
      <c r="B300" s="15">
        <v>5540246188583</v>
      </c>
      <c r="C300" s="32">
        <v>44716</v>
      </c>
      <c r="D300" s="11">
        <v>3898</v>
      </c>
      <c r="E300" s="14" t="str">
        <f>VLOOKUP(B300, 'Catégorie des articles'!A:E, 4, FALSE)</f>
        <v>BOULANGERIE</v>
      </c>
      <c r="F300" s="14">
        <f t="shared" si="4"/>
        <v>202206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spans="1:21" ht="12.75" customHeight="1">
      <c r="A301" s="7">
        <v>142716251</v>
      </c>
      <c r="B301" s="13">
        <v>5540246188583</v>
      </c>
      <c r="C301" s="31">
        <v>44731</v>
      </c>
      <c r="D301" s="8">
        <v>3898</v>
      </c>
      <c r="E301" s="14" t="str">
        <f>VLOOKUP(B301, 'Catégorie des articles'!A:E, 4, FALSE)</f>
        <v>BOULANGERIE</v>
      </c>
      <c r="F301" s="14">
        <f t="shared" si="4"/>
        <v>202206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spans="1:21" ht="12.75" customHeight="1">
      <c r="A302" s="7">
        <v>142726264</v>
      </c>
      <c r="B302" s="13">
        <v>5540246171933</v>
      </c>
      <c r="C302" s="31">
        <v>44715</v>
      </c>
      <c r="D302" s="8">
        <v>1114</v>
      </c>
      <c r="E302" s="14" t="str">
        <f>VLOOKUP(B302, 'Catégorie des articles'!A:E, 4, FALSE)</f>
        <v>CREMERIE</v>
      </c>
      <c r="F302" s="14">
        <f t="shared" si="4"/>
        <v>202206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spans="1:21" ht="12.75" customHeight="1">
      <c r="A303" s="10">
        <v>142726264</v>
      </c>
      <c r="B303" s="15">
        <v>5540246176294</v>
      </c>
      <c r="C303" s="32">
        <v>44715</v>
      </c>
      <c r="D303" s="11">
        <v>2228</v>
      </c>
      <c r="E303" s="14" t="str">
        <f>VLOOKUP(B303, 'Catégorie des articles'!A:E, 4, FALSE)</f>
        <v>CREMERIE</v>
      </c>
      <c r="F303" s="14">
        <f t="shared" si="4"/>
        <v>202206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spans="1:21" ht="12.75" customHeight="1">
      <c r="A304" s="7">
        <v>142726264</v>
      </c>
      <c r="B304" s="13">
        <v>5540246176295</v>
      </c>
      <c r="C304" s="31">
        <v>44715</v>
      </c>
      <c r="D304" s="8">
        <v>4455</v>
      </c>
      <c r="E304" s="14" t="str">
        <f>VLOOKUP(B304, 'Catégorie des articles'!A:E, 4, FALSE)</f>
        <v>CREMERIE</v>
      </c>
      <c r="F304" s="14">
        <f t="shared" si="4"/>
        <v>202206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spans="1:21" ht="12.75" customHeight="1">
      <c r="A305" s="10">
        <v>142726265</v>
      </c>
      <c r="B305" s="15">
        <v>5540246172539</v>
      </c>
      <c r="C305" s="32">
        <v>44715</v>
      </c>
      <c r="D305" s="11">
        <v>24</v>
      </c>
      <c r="E305" s="14" t="str">
        <f>VLOOKUP(B305, 'Catégorie des articles'!A:E, 4, FALSE)</f>
        <v>CREMERIE</v>
      </c>
      <c r="F305" s="14">
        <f t="shared" si="4"/>
        <v>202206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spans="1:21" ht="12.75" customHeight="1">
      <c r="A306" s="10">
        <v>142726265</v>
      </c>
      <c r="B306" s="15">
        <v>5540246176699</v>
      </c>
      <c r="C306" s="32">
        <v>44715</v>
      </c>
      <c r="D306" s="11">
        <v>3132</v>
      </c>
      <c r="E306" s="14" t="str">
        <f>VLOOKUP(B306, 'Catégorie des articles'!A:E, 4, FALSE)</f>
        <v>CREMERIE</v>
      </c>
      <c r="F306" s="14">
        <f t="shared" si="4"/>
        <v>202206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spans="1:21" ht="12.75" customHeight="1">
      <c r="A307" s="10">
        <v>142726276</v>
      </c>
      <c r="B307" s="15">
        <v>5540246183587</v>
      </c>
      <c r="C307" s="32">
        <v>44729</v>
      </c>
      <c r="D307" s="11">
        <v>502</v>
      </c>
      <c r="E307" s="14" t="str">
        <f>VLOOKUP(B307, 'Catégorie des articles'!A:E, 4, FALSE)</f>
        <v>MIX LEGUMES</v>
      </c>
      <c r="F307" s="14">
        <f t="shared" si="4"/>
        <v>202206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spans="1:21" ht="12.75" customHeight="1">
      <c r="A308" s="7">
        <v>142726276</v>
      </c>
      <c r="B308" s="13">
        <v>5540246183589</v>
      </c>
      <c r="C308" s="31">
        <v>44729</v>
      </c>
      <c r="D308" s="8">
        <v>1949</v>
      </c>
      <c r="E308" s="14" t="str">
        <f>VLOOKUP(B308, 'Catégorie des articles'!A:E, 4, FALSE)</f>
        <v>MIX LEGUMES</v>
      </c>
      <c r="F308" s="14">
        <f t="shared" si="4"/>
        <v>202206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1:21" ht="12.75" customHeight="1">
      <c r="A309" s="10">
        <v>142726276</v>
      </c>
      <c r="B309" s="15">
        <v>5540246186351</v>
      </c>
      <c r="C309" s="32">
        <v>44729</v>
      </c>
      <c r="D309" s="11">
        <v>564</v>
      </c>
      <c r="E309" s="14" t="str">
        <f>VLOOKUP(B309, 'Catégorie des articles'!A:E, 4, FALSE)</f>
        <v>MIX LEGUMES</v>
      </c>
      <c r="F309" s="14">
        <f t="shared" si="4"/>
        <v>202206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spans="1:21" ht="12.75" customHeight="1">
      <c r="A310" s="7">
        <v>142726276</v>
      </c>
      <c r="B310" s="13">
        <v>5540246186352</v>
      </c>
      <c r="C310" s="31">
        <v>44729</v>
      </c>
      <c r="D310" s="8">
        <v>1880</v>
      </c>
      <c r="E310" s="14" t="str">
        <f>VLOOKUP(B310, 'Catégorie des articles'!A:E, 4, FALSE)</f>
        <v>MIX LEGUMES</v>
      </c>
      <c r="F310" s="14">
        <f t="shared" si="4"/>
        <v>202206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spans="1:21" ht="12.75" customHeight="1">
      <c r="A311" s="10">
        <v>142726276</v>
      </c>
      <c r="B311" s="15">
        <v>5540246191718</v>
      </c>
      <c r="C311" s="32">
        <v>44729</v>
      </c>
      <c r="D311" s="11">
        <v>2339</v>
      </c>
      <c r="E311" s="14" t="str">
        <f>VLOOKUP(B311, 'Catégorie des articles'!A:E, 4, FALSE)</f>
        <v>MIX LEGUMES</v>
      </c>
      <c r="F311" s="14">
        <f t="shared" si="4"/>
        <v>202206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spans="1:21" ht="12.75" customHeight="1">
      <c r="A312" s="7">
        <v>142726278</v>
      </c>
      <c r="B312" s="13">
        <v>5540246183558</v>
      </c>
      <c r="C312" s="31">
        <v>44730</v>
      </c>
      <c r="D312" s="8">
        <v>3898</v>
      </c>
      <c r="E312" s="14" t="str">
        <f>VLOOKUP(B312, 'Catégorie des articles'!A:E, 4, FALSE)</f>
        <v>MIX LEGUMES</v>
      </c>
      <c r="F312" s="14">
        <f t="shared" si="4"/>
        <v>202206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spans="1:21" ht="12.75" customHeight="1">
      <c r="A313" s="10">
        <v>142726278</v>
      </c>
      <c r="B313" s="15">
        <v>5540246183560</v>
      </c>
      <c r="C313" s="32">
        <v>44730</v>
      </c>
      <c r="D313" s="11">
        <v>223</v>
      </c>
      <c r="E313" s="14" t="str">
        <f>VLOOKUP(B313, 'Catégorie des articles'!A:E, 4, FALSE)</f>
        <v>MIX LEGUMES</v>
      </c>
      <c r="F313" s="14">
        <f t="shared" si="4"/>
        <v>202206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spans="1:21" ht="12.75" customHeight="1">
      <c r="A314" s="7">
        <v>142726278</v>
      </c>
      <c r="B314" s="13">
        <v>5540246192209</v>
      </c>
      <c r="C314" s="31">
        <v>44730</v>
      </c>
      <c r="D314" s="8">
        <v>1114</v>
      </c>
      <c r="E314" s="14" t="str">
        <f>VLOOKUP(B314, 'Catégorie des articles'!A:E, 4, FALSE)</f>
        <v>MIX LEGUMES</v>
      </c>
      <c r="F314" s="14">
        <f t="shared" si="4"/>
        <v>202206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spans="1:21" ht="12.75" customHeight="1">
      <c r="A315" s="10">
        <v>142726278</v>
      </c>
      <c r="B315" s="15">
        <v>5540246192462</v>
      </c>
      <c r="C315" s="32">
        <v>44730</v>
      </c>
      <c r="D315" s="11">
        <v>1114</v>
      </c>
      <c r="E315" s="14" t="str">
        <f>VLOOKUP(B315, 'Catégorie des articles'!A:E, 4, FALSE)</f>
        <v>MIX LEGUMES</v>
      </c>
      <c r="F315" s="14">
        <f t="shared" si="4"/>
        <v>202206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spans="1:21" ht="12.75" customHeight="1">
      <c r="A316" s="10">
        <v>142726281</v>
      </c>
      <c r="B316" s="15">
        <v>5540246183130</v>
      </c>
      <c r="C316" s="32">
        <v>44723</v>
      </c>
      <c r="D316" s="11">
        <v>3007</v>
      </c>
      <c r="E316" s="14" t="str">
        <f>VLOOKUP(B316, 'Catégorie des articles'!A:E, 4, FALSE)</f>
        <v>MIX LEGUMES</v>
      </c>
      <c r="F316" s="14">
        <f t="shared" si="4"/>
        <v>202206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spans="1:21" ht="12.75" customHeight="1">
      <c r="A317" s="7">
        <v>142726281</v>
      </c>
      <c r="B317" s="13">
        <v>5540246183455</v>
      </c>
      <c r="C317" s="31">
        <v>44723</v>
      </c>
      <c r="D317" s="8">
        <v>1044</v>
      </c>
      <c r="E317" s="14" t="str">
        <f>VLOOKUP(B317, 'Catégorie des articles'!A:E, 4, FALSE)</f>
        <v>MIX LEGUMES</v>
      </c>
      <c r="F317" s="14">
        <f t="shared" si="4"/>
        <v>202206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spans="1:21" ht="12.75" customHeight="1">
      <c r="A318" s="10">
        <v>142726281</v>
      </c>
      <c r="B318" s="15">
        <v>5540246183538</v>
      </c>
      <c r="C318" s="32">
        <v>44723</v>
      </c>
      <c r="D318" s="11">
        <v>919</v>
      </c>
      <c r="E318" s="14" t="str">
        <f>VLOOKUP(B318, 'Catégorie des articles'!A:E, 4, FALSE)</f>
        <v>MIX LEGUMES</v>
      </c>
      <c r="F318" s="14">
        <f t="shared" si="4"/>
        <v>202206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spans="1:21" ht="12.75" customHeight="1">
      <c r="A319" s="7">
        <v>142726281</v>
      </c>
      <c r="B319" s="13">
        <v>5540246192571</v>
      </c>
      <c r="C319" s="31">
        <v>44723</v>
      </c>
      <c r="D319" s="8">
        <v>452</v>
      </c>
      <c r="E319" s="14" t="str">
        <f>VLOOKUP(B319, 'Catégorie des articles'!A:E, 4, FALSE)</f>
        <v>MIX LEGUMES</v>
      </c>
      <c r="F319" s="14">
        <f t="shared" si="4"/>
        <v>202206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spans="1:21" ht="12.75" customHeight="1">
      <c r="A320" s="7">
        <v>142726298</v>
      </c>
      <c r="B320" s="13">
        <v>5540246172978</v>
      </c>
      <c r="C320" s="31">
        <v>44716</v>
      </c>
      <c r="D320" s="8">
        <v>418</v>
      </c>
      <c r="E320" s="14" t="str">
        <f>VLOOKUP(B320, 'Catégorie des articles'!A:E, 4, FALSE)</f>
        <v>CREMERIE</v>
      </c>
      <c r="F320" s="14">
        <f t="shared" si="4"/>
        <v>202206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spans="1:21" ht="12.75" customHeight="1">
      <c r="A321" s="10">
        <v>142726298</v>
      </c>
      <c r="B321" s="15">
        <v>5540246174174</v>
      </c>
      <c r="C321" s="32">
        <v>44716</v>
      </c>
      <c r="D321" s="11">
        <v>464</v>
      </c>
      <c r="E321" s="14" t="str">
        <f>VLOOKUP(B321, 'Catégorie des articles'!A:E, 4, FALSE)</f>
        <v>CREMERIE</v>
      </c>
      <c r="F321" s="14">
        <f t="shared" si="4"/>
        <v>202206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spans="1:21" ht="12.75" customHeight="1">
      <c r="A322" s="7">
        <v>142726299</v>
      </c>
      <c r="B322" s="13">
        <v>5540246171933</v>
      </c>
      <c r="C322" s="31">
        <v>44716</v>
      </c>
      <c r="D322" s="8">
        <v>836</v>
      </c>
      <c r="E322" s="14" t="str">
        <f>VLOOKUP(B322, 'Catégorie des articles'!A:E, 4, FALSE)</f>
        <v>CREMERIE</v>
      </c>
      <c r="F322" s="14">
        <f t="shared" ref="F322:F385" si="5">YEAR(C322)*100 + MONTH(C322)</f>
        <v>202206</v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spans="1:21" ht="12.75" customHeight="1">
      <c r="A323" s="10">
        <v>142726299</v>
      </c>
      <c r="B323" s="15">
        <v>5540246176294</v>
      </c>
      <c r="C323" s="32">
        <v>44716</v>
      </c>
      <c r="D323" s="11">
        <v>2970</v>
      </c>
      <c r="E323" s="14" t="str">
        <f>VLOOKUP(B323, 'Catégorie des articles'!A:E, 4, FALSE)</f>
        <v>CREMERIE</v>
      </c>
      <c r="F323" s="14">
        <f t="shared" si="5"/>
        <v>202206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spans="1:21" ht="12.75" customHeight="1">
      <c r="A324" s="7">
        <v>142726299</v>
      </c>
      <c r="B324" s="13">
        <v>5540246176295</v>
      </c>
      <c r="C324" s="31">
        <v>44716</v>
      </c>
      <c r="D324" s="8">
        <v>7424</v>
      </c>
      <c r="E324" s="14" t="str">
        <f>VLOOKUP(B324, 'Catégorie des articles'!A:E, 4, FALSE)</f>
        <v>CREMERIE</v>
      </c>
      <c r="F324" s="14">
        <f t="shared" si="5"/>
        <v>202206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spans="1:21" ht="12.75" customHeight="1">
      <c r="A325" s="10">
        <v>142726299</v>
      </c>
      <c r="B325" s="15">
        <v>5540246187987</v>
      </c>
      <c r="C325" s="32">
        <v>44716</v>
      </c>
      <c r="D325" s="11">
        <v>4455</v>
      </c>
      <c r="E325" s="14" t="str">
        <f>VLOOKUP(B325, 'Catégorie des articles'!A:E, 4, FALSE)</f>
        <v>CREMERIE</v>
      </c>
      <c r="F325" s="14">
        <f t="shared" si="5"/>
        <v>202206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spans="1:21" ht="12.75" customHeight="1">
      <c r="A326" s="7">
        <v>142726299</v>
      </c>
      <c r="B326" s="13">
        <v>5540246188200</v>
      </c>
      <c r="C326" s="31">
        <v>44716</v>
      </c>
      <c r="D326" s="8">
        <v>743</v>
      </c>
      <c r="E326" s="14" t="str">
        <f>VLOOKUP(B326, 'Catégorie des articles'!A:E, 4, FALSE)</f>
        <v>CREMERIE</v>
      </c>
      <c r="F326" s="14">
        <f t="shared" si="5"/>
        <v>202206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spans="1:21" ht="12.75" customHeight="1">
      <c r="A327" s="10">
        <v>142726301</v>
      </c>
      <c r="B327" s="15">
        <v>5540246185429</v>
      </c>
      <c r="C327" s="32">
        <v>44717</v>
      </c>
      <c r="D327" s="11">
        <v>140</v>
      </c>
      <c r="E327" s="14" t="str">
        <f>VLOOKUP(B327, 'Catégorie des articles'!A:E, 4, FALSE)</f>
        <v>CREMERIE</v>
      </c>
      <c r="F327" s="14">
        <f t="shared" si="5"/>
        <v>202206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spans="1:21" ht="12.75" customHeight="1">
      <c r="A328" s="7">
        <v>142726301</v>
      </c>
      <c r="B328" s="13">
        <v>5540246186325</v>
      </c>
      <c r="C328" s="31">
        <v>44717</v>
      </c>
      <c r="D328" s="8">
        <v>279</v>
      </c>
      <c r="E328" s="14" t="str">
        <f>VLOOKUP(B328, 'Catégorie des articles'!A:E, 4, FALSE)</f>
        <v>CREMERIE</v>
      </c>
      <c r="F328" s="14">
        <f t="shared" si="5"/>
        <v>202206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1:21" ht="12.75" customHeight="1">
      <c r="A329" s="10">
        <v>142726302</v>
      </c>
      <c r="B329" s="15">
        <v>5540246173472</v>
      </c>
      <c r="C329" s="32">
        <v>44723</v>
      </c>
      <c r="D329" s="11">
        <v>557</v>
      </c>
      <c r="E329" s="14" t="str">
        <f>VLOOKUP(B329, 'Catégorie des articles'!A:E, 4, FALSE)</f>
        <v>CREMERIE</v>
      </c>
      <c r="F329" s="14">
        <f t="shared" si="5"/>
        <v>202206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spans="1:21" ht="12.75" customHeight="1">
      <c r="A330" s="7">
        <v>142726302</v>
      </c>
      <c r="B330" s="13">
        <v>5540246175049</v>
      </c>
      <c r="C330" s="31">
        <v>44723</v>
      </c>
      <c r="D330" s="8">
        <v>557</v>
      </c>
      <c r="E330" s="14" t="str">
        <f>VLOOKUP(B330, 'Catégorie des articles'!A:E, 4, FALSE)</f>
        <v>CREMERIE</v>
      </c>
      <c r="F330" s="14">
        <f t="shared" si="5"/>
        <v>202206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1:21" ht="12.75" customHeight="1">
      <c r="A331" s="10">
        <v>142726302</v>
      </c>
      <c r="B331" s="15">
        <v>5540246175050</v>
      </c>
      <c r="C331" s="32">
        <v>44723</v>
      </c>
      <c r="D331" s="11">
        <v>557</v>
      </c>
      <c r="E331" s="14" t="str">
        <f>VLOOKUP(B331, 'Catégorie des articles'!A:E, 4, FALSE)</f>
        <v>CREMERIE</v>
      </c>
      <c r="F331" s="14">
        <f t="shared" si="5"/>
        <v>202206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spans="1:21" ht="12.75" customHeight="1">
      <c r="A332" s="10">
        <v>142726322</v>
      </c>
      <c r="B332" s="15">
        <v>5540246172978</v>
      </c>
      <c r="C332" s="32">
        <v>44717</v>
      </c>
      <c r="D332" s="11">
        <v>1253</v>
      </c>
      <c r="E332" s="14" t="str">
        <f>VLOOKUP(B332, 'Catégorie des articles'!A:E, 4, FALSE)</f>
        <v>CREMERIE</v>
      </c>
      <c r="F332" s="14">
        <f t="shared" si="5"/>
        <v>202206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spans="1:21" ht="12.75" customHeight="1">
      <c r="A333" s="10">
        <v>142726322</v>
      </c>
      <c r="B333" s="15">
        <v>5540246188175</v>
      </c>
      <c r="C333" s="32">
        <v>44717</v>
      </c>
      <c r="D333" s="11">
        <v>232</v>
      </c>
      <c r="E333" s="14" t="str">
        <f>VLOOKUP(B333, 'Catégorie des articles'!A:E, 4, FALSE)</f>
        <v>CREMERIE</v>
      </c>
      <c r="F333" s="14">
        <f t="shared" si="5"/>
        <v>202206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spans="1:21" ht="12.75" customHeight="1">
      <c r="A334" s="7">
        <v>142726323</v>
      </c>
      <c r="B334" s="13">
        <v>5540246176294</v>
      </c>
      <c r="C334" s="31">
        <v>44717</v>
      </c>
      <c r="D334" s="8">
        <v>1485</v>
      </c>
      <c r="E334" s="14" t="str">
        <f>VLOOKUP(B334, 'Catégorie des articles'!A:E, 4, FALSE)</f>
        <v>CREMERIE</v>
      </c>
      <c r="F334" s="14">
        <f t="shared" si="5"/>
        <v>202206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spans="1:21" ht="12.75" customHeight="1">
      <c r="A335" s="10">
        <v>142726323</v>
      </c>
      <c r="B335" s="15">
        <v>5540246176295</v>
      </c>
      <c r="C335" s="32">
        <v>44717</v>
      </c>
      <c r="D335" s="11">
        <v>5940</v>
      </c>
      <c r="E335" s="14" t="str">
        <f>VLOOKUP(B335, 'Catégorie des articles'!A:E, 4, FALSE)</f>
        <v>CREMERIE</v>
      </c>
      <c r="F335" s="14">
        <f t="shared" si="5"/>
        <v>202206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spans="1:21" ht="12.75" customHeight="1">
      <c r="A336" s="7">
        <v>142726323</v>
      </c>
      <c r="B336" s="13">
        <v>5540246187987</v>
      </c>
      <c r="C336" s="31">
        <v>44717</v>
      </c>
      <c r="D336" s="8">
        <v>2228</v>
      </c>
      <c r="E336" s="14" t="str">
        <f>VLOOKUP(B336, 'Catégorie des articles'!A:E, 4, FALSE)</f>
        <v>CREMERIE</v>
      </c>
      <c r="F336" s="14">
        <f t="shared" si="5"/>
        <v>202206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spans="1:21" ht="12.75" customHeight="1">
      <c r="A337" s="10">
        <v>142726323</v>
      </c>
      <c r="B337" s="15">
        <v>5540246188200</v>
      </c>
      <c r="C337" s="32">
        <v>44717</v>
      </c>
      <c r="D337" s="11">
        <v>372</v>
      </c>
      <c r="E337" s="14" t="str">
        <f>VLOOKUP(B337, 'Catégorie des articles'!A:E, 4, FALSE)</f>
        <v>CREMERIE</v>
      </c>
      <c r="F337" s="14">
        <f t="shared" si="5"/>
        <v>202206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spans="1:21" ht="12.75" customHeight="1">
      <c r="A338" s="7">
        <v>142726329</v>
      </c>
      <c r="B338" s="13">
        <v>5540246177132</v>
      </c>
      <c r="C338" s="31">
        <v>44718</v>
      </c>
      <c r="D338" s="8">
        <v>15312</v>
      </c>
      <c r="E338" s="14" t="str">
        <f>VLOOKUP(B338, 'Catégorie des articles'!A:E, 4, FALSE)</f>
        <v>MIX LEGUMES</v>
      </c>
      <c r="F338" s="14">
        <f t="shared" si="5"/>
        <v>202206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spans="1:21" ht="12.75" customHeight="1">
      <c r="A339" s="10">
        <v>142726330</v>
      </c>
      <c r="B339" s="15">
        <v>5540246173906</v>
      </c>
      <c r="C339" s="32">
        <v>44729</v>
      </c>
      <c r="D339" s="11">
        <v>2450</v>
      </c>
      <c r="E339" s="14" t="str">
        <f>VLOOKUP(B339, 'Catégorie des articles'!A:E, 4, FALSE)</f>
        <v>VOLAILLE</v>
      </c>
      <c r="F339" s="14">
        <f t="shared" si="5"/>
        <v>202206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spans="1:21" ht="12.75" customHeight="1">
      <c r="A340" s="7">
        <v>142726330</v>
      </c>
      <c r="B340" s="13">
        <v>5540246181016</v>
      </c>
      <c r="C340" s="31">
        <v>44729</v>
      </c>
      <c r="D340" s="8">
        <v>8018</v>
      </c>
      <c r="E340" s="14" t="str">
        <f>VLOOKUP(B340, 'Catégorie des articles'!A:E, 4, FALSE)</f>
        <v>VOLAILLE</v>
      </c>
      <c r="F340" s="14">
        <f t="shared" si="5"/>
        <v>202206</v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spans="1:21" ht="12.75" customHeight="1">
      <c r="A341" s="7">
        <v>142726334</v>
      </c>
      <c r="B341" s="13">
        <v>5540246183541</v>
      </c>
      <c r="C341" s="31">
        <v>44723</v>
      </c>
      <c r="D341" s="8">
        <v>2088</v>
      </c>
      <c r="E341" s="14" t="str">
        <f>VLOOKUP(B341, 'Catégorie des articles'!A:E, 4, FALSE)</f>
        <v>MIX LEGUMES</v>
      </c>
      <c r="F341" s="14">
        <f t="shared" si="5"/>
        <v>202206</v>
      </c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spans="1:21" ht="12.75" customHeight="1">
      <c r="A342" s="10">
        <v>142726344</v>
      </c>
      <c r="B342" s="15">
        <v>5540246176699</v>
      </c>
      <c r="C342" s="32">
        <v>44717</v>
      </c>
      <c r="D342" s="11">
        <v>4176</v>
      </c>
      <c r="E342" s="14" t="str">
        <f>VLOOKUP(B342, 'Catégorie des articles'!A:E, 4, FALSE)</f>
        <v>CREMERIE</v>
      </c>
      <c r="F342" s="14">
        <f t="shared" si="5"/>
        <v>202206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spans="1:21" ht="12.75" customHeight="1">
      <c r="A343" s="10">
        <v>142726346</v>
      </c>
      <c r="B343" s="15">
        <v>5540246171933</v>
      </c>
      <c r="C343" s="32">
        <v>44718</v>
      </c>
      <c r="D343" s="11">
        <v>1114</v>
      </c>
      <c r="E343" s="14" t="str">
        <f>VLOOKUP(B343, 'Catégorie des articles'!A:E, 4, FALSE)</f>
        <v>CREMERIE</v>
      </c>
      <c r="F343" s="14">
        <f t="shared" si="5"/>
        <v>202206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1:21" ht="12.75" customHeight="1">
      <c r="A344" s="7">
        <v>142726346</v>
      </c>
      <c r="B344" s="13">
        <v>5540246176294</v>
      </c>
      <c r="C344" s="31">
        <v>44718</v>
      </c>
      <c r="D344" s="8">
        <v>4455</v>
      </c>
      <c r="E344" s="14" t="str">
        <f>VLOOKUP(B344, 'Catégorie des articles'!A:E, 4, FALSE)</f>
        <v>CREMERIE</v>
      </c>
      <c r="F344" s="14">
        <f t="shared" si="5"/>
        <v>202206</v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spans="1:21" ht="12.75" customHeight="1">
      <c r="A345" s="10">
        <v>142726346</v>
      </c>
      <c r="B345" s="15">
        <v>5540246176295</v>
      </c>
      <c r="C345" s="32">
        <v>44718</v>
      </c>
      <c r="D345" s="11">
        <v>14848</v>
      </c>
      <c r="E345" s="14" t="str">
        <f>VLOOKUP(B345, 'Catégorie des articles'!A:E, 4, FALSE)</f>
        <v>CREMERIE</v>
      </c>
      <c r="F345" s="14">
        <f t="shared" si="5"/>
        <v>202206</v>
      </c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spans="1:21" ht="12.75" customHeight="1">
      <c r="A346" s="10">
        <v>142726346</v>
      </c>
      <c r="B346" s="15">
        <v>5540246187987</v>
      </c>
      <c r="C346" s="32">
        <v>44718</v>
      </c>
      <c r="D346" s="11">
        <v>6682</v>
      </c>
      <c r="E346" s="14" t="str">
        <f>VLOOKUP(B346, 'Catégorie des articles'!A:E, 4, FALSE)</f>
        <v>CREMERIE</v>
      </c>
      <c r="F346" s="14">
        <f t="shared" si="5"/>
        <v>202206</v>
      </c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spans="1:21" ht="12.75" customHeight="1">
      <c r="A347" s="7">
        <v>142726346</v>
      </c>
      <c r="B347" s="13">
        <v>5540246188200</v>
      </c>
      <c r="C347" s="31">
        <v>44718</v>
      </c>
      <c r="D347" s="8">
        <v>1114</v>
      </c>
      <c r="E347" s="14" t="str">
        <f>VLOOKUP(B347, 'Catégorie des articles'!A:E, 4, FALSE)</f>
        <v>CREMERIE</v>
      </c>
      <c r="F347" s="14">
        <f t="shared" si="5"/>
        <v>202206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spans="1:21" ht="12.75" customHeight="1">
      <c r="A348" s="10">
        <v>142726347</v>
      </c>
      <c r="B348" s="15">
        <v>5540246172978</v>
      </c>
      <c r="C348" s="32">
        <v>44718</v>
      </c>
      <c r="D348" s="11">
        <v>1671</v>
      </c>
      <c r="E348" s="14" t="str">
        <f>VLOOKUP(B348, 'Catégorie des articles'!A:E, 4, FALSE)</f>
        <v>CREMERIE</v>
      </c>
      <c r="F348" s="14">
        <f t="shared" si="5"/>
        <v>202206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spans="1:21" ht="12.75" customHeight="1">
      <c r="A349" s="7">
        <v>142726347</v>
      </c>
      <c r="B349" s="13">
        <v>5540246174174</v>
      </c>
      <c r="C349" s="31">
        <v>44718</v>
      </c>
      <c r="D349" s="8">
        <v>464</v>
      </c>
      <c r="E349" s="14" t="str">
        <f>VLOOKUP(B349, 'Catégorie des articles'!A:E, 4, FALSE)</f>
        <v>CREMERIE</v>
      </c>
      <c r="F349" s="14">
        <f t="shared" si="5"/>
        <v>202206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spans="1:21" ht="12.75" customHeight="1">
      <c r="A350" s="7">
        <v>142726347</v>
      </c>
      <c r="B350" s="13">
        <v>5540246176699</v>
      </c>
      <c r="C350" s="31">
        <v>44718</v>
      </c>
      <c r="D350" s="8">
        <v>4176</v>
      </c>
      <c r="E350" s="14" t="str">
        <f>VLOOKUP(B350, 'Catégorie des articles'!A:E, 4, FALSE)</f>
        <v>CREMERIE</v>
      </c>
      <c r="F350" s="14">
        <f t="shared" si="5"/>
        <v>202206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spans="1:21" ht="12.75" customHeight="1">
      <c r="A351" s="7">
        <v>142726363</v>
      </c>
      <c r="B351" s="13">
        <v>5540246183547</v>
      </c>
      <c r="C351" s="31">
        <v>44717</v>
      </c>
      <c r="D351" s="8">
        <v>2228</v>
      </c>
      <c r="E351" s="14" t="str">
        <f>VLOOKUP(B351, 'Catégorie des articles'!A:E, 4, FALSE)</f>
        <v>VOLAILLE</v>
      </c>
      <c r="F351" s="14">
        <f t="shared" si="5"/>
        <v>202206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spans="1:21" ht="12.75" customHeight="1">
      <c r="A352" s="10">
        <v>142726364</v>
      </c>
      <c r="B352" s="15">
        <v>5540246173472</v>
      </c>
      <c r="C352" s="32">
        <v>44728</v>
      </c>
      <c r="D352" s="11">
        <v>84</v>
      </c>
      <c r="E352" s="14" t="str">
        <f>VLOOKUP(B352, 'Catégorie des articles'!A:E, 4, FALSE)</f>
        <v>CREMERIE</v>
      </c>
      <c r="F352" s="14">
        <f t="shared" si="5"/>
        <v>202206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spans="1:21" ht="12.75" customHeight="1">
      <c r="A353" s="7">
        <v>142726364</v>
      </c>
      <c r="B353" s="13">
        <v>5540246174095</v>
      </c>
      <c r="C353" s="31">
        <v>44728</v>
      </c>
      <c r="D353" s="8">
        <v>70</v>
      </c>
      <c r="E353" s="14" t="str">
        <f>VLOOKUP(B353, 'Catégorie des articles'!A:E, 4, FALSE)</f>
        <v>CREMERIE</v>
      </c>
      <c r="F353" s="14">
        <f t="shared" si="5"/>
        <v>202206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spans="1:21" ht="12.75" customHeight="1">
      <c r="A354" s="10">
        <v>142726364</v>
      </c>
      <c r="B354" s="15">
        <v>5540246175047</v>
      </c>
      <c r="C354" s="32">
        <v>44728</v>
      </c>
      <c r="D354" s="11">
        <v>140</v>
      </c>
      <c r="E354" s="14" t="str">
        <f>VLOOKUP(B354, 'Catégorie des articles'!A:E, 4, FALSE)</f>
        <v>CREMERIE</v>
      </c>
      <c r="F354" s="14">
        <f t="shared" si="5"/>
        <v>202206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spans="1:21" ht="12.75" customHeight="1">
      <c r="A355" s="7">
        <v>142726364</v>
      </c>
      <c r="B355" s="13">
        <v>5540246175049</v>
      </c>
      <c r="C355" s="31">
        <v>44728</v>
      </c>
      <c r="D355" s="8">
        <v>279</v>
      </c>
      <c r="E355" s="14" t="str">
        <f>VLOOKUP(B355, 'Catégorie des articles'!A:E, 4, FALSE)</f>
        <v>CREMERIE</v>
      </c>
      <c r="F355" s="14">
        <f t="shared" si="5"/>
        <v>202206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1:21" ht="12.75" customHeight="1">
      <c r="A356" s="10">
        <v>142726364</v>
      </c>
      <c r="B356" s="15">
        <v>5540246175050</v>
      </c>
      <c r="C356" s="32">
        <v>44728</v>
      </c>
      <c r="D356" s="11">
        <v>836</v>
      </c>
      <c r="E356" s="14" t="str">
        <f>VLOOKUP(B356, 'Catégorie des articles'!A:E, 4, FALSE)</f>
        <v>CREMERIE</v>
      </c>
      <c r="F356" s="14">
        <f t="shared" si="5"/>
        <v>202206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spans="1:21" ht="12.75" customHeight="1">
      <c r="A357" s="7">
        <v>142726368</v>
      </c>
      <c r="B357" s="13">
        <v>5540246171759</v>
      </c>
      <c r="C357" s="31">
        <v>44722</v>
      </c>
      <c r="D357" s="8">
        <v>2506</v>
      </c>
      <c r="E357" s="14" t="str">
        <f>VLOOKUP(B357, 'Catégorie des articles'!A:E, 4, FALSE)</f>
        <v>MIX LEGUMES</v>
      </c>
      <c r="F357" s="14">
        <f t="shared" si="5"/>
        <v>202206</v>
      </c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spans="1:21" ht="12.75" customHeight="1">
      <c r="A358" s="10">
        <v>142726368</v>
      </c>
      <c r="B358" s="15">
        <v>5540246177132</v>
      </c>
      <c r="C358" s="32">
        <v>44722</v>
      </c>
      <c r="D358" s="11">
        <v>10208</v>
      </c>
      <c r="E358" s="14" t="str">
        <f>VLOOKUP(B358, 'Catégorie des articles'!A:E, 4, FALSE)</f>
        <v>MIX LEGUMES</v>
      </c>
      <c r="F358" s="14">
        <f t="shared" si="5"/>
        <v>202206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spans="1:21" ht="12.75" customHeight="1">
      <c r="A359" s="7">
        <v>142726368</v>
      </c>
      <c r="B359" s="13">
        <v>5540246177133</v>
      </c>
      <c r="C359" s="31">
        <v>44722</v>
      </c>
      <c r="D359" s="8">
        <v>3341</v>
      </c>
      <c r="E359" s="14" t="str">
        <f>VLOOKUP(B359, 'Catégorie des articles'!A:E, 4, FALSE)</f>
        <v>MIX LEGUMES</v>
      </c>
      <c r="F359" s="14">
        <f t="shared" si="5"/>
        <v>202206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spans="1:21" ht="12.75" customHeight="1">
      <c r="A360" s="7">
        <v>142726370</v>
      </c>
      <c r="B360" s="13">
        <v>5540246171933</v>
      </c>
      <c r="C360" s="31">
        <v>44721</v>
      </c>
      <c r="D360" s="8">
        <v>1114</v>
      </c>
      <c r="E360" s="14" t="str">
        <f>VLOOKUP(B360, 'Catégorie des articles'!A:E, 4, FALSE)</f>
        <v>CREMERIE</v>
      </c>
      <c r="F360" s="14">
        <f t="shared" si="5"/>
        <v>202206</v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spans="1:21" ht="12.75" customHeight="1">
      <c r="A361" s="10">
        <v>142726370</v>
      </c>
      <c r="B361" s="15">
        <v>5540246176294</v>
      </c>
      <c r="C361" s="32">
        <v>44721</v>
      </c>
      <c r="D361" s="11">
        <v>1485</v>
      </c>
      <c r="E361" s="14" t="str">
        <f>VLOOKUP(B361, 'Catégorie des articles'!A:E, 4, FALSE)</f>
        <v>CREMERIE</v>
      </c>
      <c r="F361" s="14">
        <f t="shared" si="5"/>
        <v>202206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spans="1:21" ht="12.75" customHeight="1">
      <c r="A362" s="7">
        <v>142726370</v>
      </c>
      <c r="B362" s="13">
        <v>5540246176295</v>
      </c>
      <c r="C362" s="31">
        <v>44721</v>
      </c>
      <c r="D362" s="8">
        <v>11136</v>
      </c>
      <c r="E362" s="14" t="str">
        <f>VLOOKUP(B362, 'Catégorie des articles'!A:E, 4, FALSE)</f>
        <v>CREMERIE</v>
      </c>
      <c r="F362" s="14">
        <f t="shared" si="5"/>
        <v>202206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spans="1:21" ht="12.75" customHeight="1">
      <c r="A363" s="10">
        <v>142726370</v>
      </c>
      <c r="B363" s="15">
        <v>5540246187987</v>
      </c>
      <c r="C363" s="32">
        <v>44721</v>
      </c>
      <c r="D363" s="11">
        <v>4455</v>
      </c>
      <c r="E363" s="14" t="str">
        <f>VLOOKUP(B363, 'Catégorie des articles'!A:E, 4, FALSE)</f>
        <v>CREMERIE</v>
      </c>
      <c r="F363" s="14">
        <f t="shared" si="5"/>
        <v>202206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spans="1:21" ht="12.75" customHeight="1">
      <c r="A364" s="7">
        <v>142726370</v>
      </c>
      <c r="B364" s="13">
        <v>5540246188200</v>
      </c>
      <c r="C364" s="31">
        <v>44721</v>
      </c>
      <c r="D364" s="8">
        <v>743</v>
      </c>
      <c r="E364" s="14" t="str">
        <f>VLOOKUP(B364, 'Catégorie des articles'!A:E, 4, FALSE)</f>
        <v>CREMERIE</v>
      </c>
      <c r="F364" s="14">
        <f t="shared" si="5"/>
        <v>202206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spans="1:21" ht="12.75" customHeight="1">
      <c r="A365" s="10">
        <v>142726371</v>
      </c>
      <c r="B365" s="15">
        <v>5540246172539</v>
      </c>
      <c r="C365" s="32">
        <v>44721</v>
      </c>
      <c r="D365" s="11">
        <v>47</v>
      </c>
      <c r="E365" s="14" t="str">
        <f>VLOOKUP(B365, 'Catégorie des articles'!A:E, 4, FALSE)</f>
        <v>CREMERIE</v>
      </c>
      <c r="F365" s="14">
        <f t="shared" si="5"/>
        <v>202206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spans="1:21" ht="12.75" customHeight="1">
      <c r="A366" s="7">
        <v>142726371</v>
      </c>
      <c r="B366" s="13">
        <v>5540246172978</v>
      </c>
      <c r="C366" s="31">
        <v>44721</v>
      </c>
      <c r="D366" s="8">
        <v>2506</v>
      </c>
      <c r="E366" s="14" t="str">
        <f>VLOOKUP(B366, 'Catégorie des articles'!A:E, 4, FALSE)</f>
        <v>CREMERIE</v>
      </c>
      <c r="F366" s="14">
        <f t="shared" si="5"/>
        <v>202206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spans="1:21" ht="12.75" customHeight="1">
      <c r="A367" s="10">
        <v>142726371</v>
      </c>
      <c r="B367" s="15">
        <v>5540246176699</v>
      </c>
      <c r="C367" s="32">
        <v>44721</v>
      </c>
      <c r="D367" s="11">
        <v>2088</v>
      </c>
      <c r="E367" s="14" t="str">
        <f>VLOOKUP(B367, 'Catégorie des articles'!A:E, 4, FALSE)</f>
        <v>CREMERIE</v>
      </c>
      <c r="F367" s="14">
        <f t="shared" si="5"/>
        <v>202206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spans="1:21" ht="12.75" customHeight="1">
      <c r="A368" s="7">
        <v>142736392</v>
      </c>
      <c r="B368" s="13">
        <v>5540246176295</v>
      </c>
      <c r="C368" s="31">
        <v>44722</v>
      </c>
      <c r="D368" s="8">
        <v>4455</v>
      </c>
      <c r="E368" s="14" t="str">
        <f>VLOOKUP(B368, 'Catégorie des articles'!A:E, 4, FALSE)</f>
        <v>CREMERIE</v>
      </c>
      <c r="F368" s="14">
        <f t="shared" si="5"/>
        <v>202206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spans="1:21" ht="12.75" customHeight="1">
      <c r="A369" s="7">
        <v>142736392</v>
      </c>
      <c r="B369" s="13">
        <v>5540246187987</v>
      </c>
      <c r="C369" s="31">
        <v>44722</v>
      </c>
      <c r="D369" s="8">
        <v>2228</v>
      </c>
      <c r="E369" s="14" t="str">
        <f>VLOOKUP(B369, 'Catégorie des articles'!A:E, 4, FALSE)</f>
        <v>CREMERIE</v>
      </c>
      <c r="F369" s="14">
        <f t="shared" si="5"/>
        <v>202206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spans="1:21" ht="12.75" customHeight="1">
      <c r="A370" s="10">
        <v>142736392</v>
      </c>
      <c r="B370" s="15">
        <v>5540246188200</v>
      </c>
      <c r="C370" s="32">
        <v>44722</v>
      </c>
      <c r="D370" s="11">
        <v>743</v>
      </c>
      <c r="E370" s="14" t="str">
        <f>VLOOKUP(B370, 'Catégorie des articles'!A:E, 4, FALSE)</f>
        <v>CREMERIE</v>
      </c>
      <c r="F370" s="14">
        <f t="shared" si="5"/>
        <v>202206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spans="1:21" ht="12.75" customHeight="1">
      <c r="A371" s="7">
        <v>142736394</v>
      </c>
      <c r="B371" s="13">
        <v>5540246188175</v>
      </c>
      <c r="C371" s="31">
        <v>44722</v>
      </c>
      <c r="D371" s="8">
        <v>93</v>
      </c>
      <c r="E371" s="14" t="str">
        <f>VLOOKUP(B371, 'Catégorie des articles'!A:E, 4, FALSE)</f>
        <v>CREMERIE</v>
      </c>
      <c r="F371" s="14">
        <f t="shared" si="5"/>
        <v>202206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spans="1:21" ht="12.75" customHeight="1">
      <c r="A372" s="10">
        <v>142736412</v>
      </c>
      <c r="B372" s="15">
        <v>5540246182684</v>
      </c>
      <c r="C372" s="32">
        <v>44731</v>
      </c>
      <c r="D372" s="11">
        <v>140</v>
      </c>
      <c r="E372" s="14" t="str">
        <f>VLOOKUP(B372, 'Catégorie des articles'!A:E, 4, FALSE)</f>
        <v>BOULANGERIE</v>
      </c>
      <c r="F372" s="14">
        <f t="shared" si="5"/>
        <v>202206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spans="1:21" ht="12.75" customHeight="1">
      <c r="A373" s="7">
        <v>142736412</v>
      </c>
      <c r="B373" s="13">
        <v>5540246183844</v>
      </c>
      <c r="C373" s="31">
        <v>44731</v>
      </c>
      <c r="D373" s="8">
        <v>186</v>
      </c>
      <c r="E373" s="14" t="str">
        <f>VLOOKUP(B373, 'Catégorie des articles'!A:E, 4, FALSE)</f>
        <v>BOULANGERIE</v>
      </c>
      <c r="F373" s="14">
        <f t="shared" si="5"/>
        <v>202206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spans="1:21" ht="12.75" customHeight="1">
      <c r="A374" s="7">
        <v>142736414</v>
      </c>
      <c r="B374" s="13">
        <v>5540246193316</v>
      </c>
      <c r="C374" s="31">
        <v>44725</v>
      </c>
      <c r="D374" s="8">
        <v>223</v>
      </c>
      <c r="E374" s="14" t="str">
        <f>VLOOKUP(B374, 'Catégorie des articles'!A:E, 4, FALSE)</f>
        <v>BOULANGERIE</v>
      </c>
      <c r="F374" s="14">
        <f t="shared" si="5"/>
        <v>202206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spans="1:21" ht="12.75" customHeight="1">
      <c r="A375" s="7">
        <v>142736417</v>
      </c>
      <c r="B375" s="13">
        <v>5540246177132</v>
      </c>
      <c r="C375" s="31">
        <v>44725</v>
      </c>
      <c r="D375" s="8">
        <v>6032</v>
      </c>
      <c r="E375" s="14" t="str">
        <f>VLOOKUP(B375, 'Catégorie des articles'!A:E, 4, FALSE)</f>
        <v>MIX LEGUMES</v>
      </c>
      <c r="F375" s="14">
        <f t="shared" si="5"/>
        <v>202206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spans="1:21" ht="12.75" customHeight="1">
      <c r="A376" s="10">
        <v>142736417</v>
      </c>
      <c r="B376" s="15">
        <v>5540246177133</v>
      </c>
      <c r="C376" s="32">
        <v>44725</v>
      </c>
      <c r="D376" s="11">
        <v>9466</v>
      </c>
      <c r="E376" s="14" t="str">
        <f>VLOOKUP(B376, 'Catégorie des articles'!A:E, 4, FALSE)</f>
        <v>MIX LEGUMES</v>
      </c>
      <c r="F376" s="14">
        <f t="shared" si="5"/>
        <v>202206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spans="1:21" ht="12.75" customHeight="1">
      <c r="A377" s="10">
        <v>142736424</v>
      </c>
      <c r="B377" s="15">
        <v>5540246176294</v>
      </c>
      <c r="C377" s="32">
        <v>44723</v>
      </c>
      <c r="D377" s="11">
        <v>2228</v>
      </c>
      <c r="E377" s="14" t="str">
        <f>VLOOKUP(B377, 'Catégorie des articles'!A:E, 4, FALSE)</f>
        <v>CREMERIE</v>
      </c>
      <c r="F377" s="14">
        <f t="shared" si="5"/>
        <v>202206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spans="1:21" ht="12.75" customHeight="1">
      <c r="A378" s="7">
        <v>142736424</v>
      </c>
      <c r="B378" s="13">
        <v>5540246176295</v>
      </c>
      <c r="C378" s="31">
        <v>44723</v>
      </c>
      <c r="D378" s="8">
        <v>3712</v>
      </c>
      <c r="E378" s="14" t="str">
        <f>VLOOKUP(B378, 'Catégorie des articles'!A:E, 4, FALSE)</f>
        <v>CREMERIE</v>
      </c>
      <c r="F378" s="14">
        <f t="shared" si="5"/>
        <v>202206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spans="1:21" ht="12.75" customHeight="1">
      <c r="A379" s="7">
        <v>142736425</v>
      </c>
      <c r="B379" s="13">
        <v>5540246172978</v>
      </c>
      <c r="C379" s="31">
        <v>44723</v>
      </c>
      <c r="D379" s="8">
        <v>1504</v>
      </c>
      <c r="E379" s="14" t="str">
        <f>VLOOKUP(B379, 'Catégorie des articles'!A:E, 4, FALSE)</f>
        <v>CREMERIE</v>
      </c>
      <c r="F379" s="14">
        <f t="shared" si="5"/>
        <v>202206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spans="1:21" ht="12.75" customHeight="1">
      <c r="A380" s="10">
        <v>142736425</v>
      </c>
      <c r="B380" s="15">
        <v>5540246176699</v>
      </c>
      <c r="C380" s="32">
        <v>44723</v>
      </c>
      <c r="D380" s="11">
        <v>2088</v>
      </c>
      <c r="E380" s="14" t="str">
        <f>VLOOKUP(B380, 'Catégorie des articles'!A:E, 4, FALSE)</f>
        <v>CREMERIE</v>
      </c>
      <c r="F380" s="14">
        <f t="shared" si="5"/>
        <v>202206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spans="1:21" ht="12.75" customHeight="1">
      <c r="A381" s="7">
        <v>142736425</v>
      </c>
      <c r="B381" s="13">
        <v>5540246192102</v>
      </c>
      <c r="C381" s="31">
        <v>44723</v>
      </c>
      <c r="D381" s="8">
        <v>4009</v>
      </c>
      <c r="E381" s="14" t="str">
        <f>VLOOKUP(B381, 'Catégorie des articles'!A:E, 4, FALSE)</f>
        <v>CREMERIE</v>
      </c>
      <c r="F381" s="14">
        <f t="shared" si="5"/>
        <v>202206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spans="1:21" ht="12.75" customHeight="1">
      <c r="A382" s="7">
        <v>142736427</v>
      </c>
      <c r="B382" s="13">
        <v>5540246185429</v>
      </c>
      <c r="C382" s="31">
        <v>44723</v>
      </c>
      <c r="D382" s="8">
        <v>70</v>
      </c>
      <c r="E382" s="14" t="str">
        <f>VLOOKUP(B382, 'Catégorie des articles'!A:E, 4, FALSE)</f>
        <v>CREMERIE</v>
      </c>
      <c r="F382" s="14">
        <f t="shared" si="5"/>
        <v>202206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spans="1:21" ht="12.75" customHeight="1">
      <c r="A383" s="10">
        <v>142736427</v>
      </c>
      <c r="B383" s="15">
        <v>5540246185562</v>
      </c>
      <c r="C383" s="32">
        <v>44723</v>
      </c>
      <c r="D383" s="11">
        <v>279</v>
      </c>
      <c r="E383" s="14" t="str">
        <f>VLOOKUP(B383, 'Catégorie des articles'!A:E, 4, FALSE)</f>
        <v>CREMERIE</v>
      </c>
      <c r="F383" s="14">
        <f t="shared" si="5"/>
        <v>202206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spans="1:21" ht="12.75" customHeight="1">
      <c r="A384" s="10">
        <v>142736435</v>
      </c>
      <c r="B384" s="15">
        <v>5540246188583</v>
      </c>
      <c r="C384" s="32">
        <v>44732</v>
      </c>
      <c r="D384" s="11">
        <v>4455</v>
      </c>
      <c r="E384" s="14" t="str">
        <f>VLOOKUP(B384, 'Catégorie des articles'!A:E, 4, FALSE)</f>
        <v>BOULANGERIE</v>
      </c>
      <c r="F384" s="14">
        <f t="shared" si="5"/>
        <v>202206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spans="1:21" ht="12.75" customHeight="1">
      <c r="A385" s="10">
        <v>142736449</v>
      </c>
      <c r="B385" s="15">
        <v>5540246187987</v>
      </c>
      <c r="C385" s="32">
        <v>44724</v>
      </c>
      <c r="D385" s="11">
        <v>2228</v>
      </c>
      <c r="E385" s="14" t="str">
        <f>VLOOKUP(B385, 'Catégorie des articles'!A:E, 4, FALSE)</f>
        <v>CREMERIE</v>
      </c>
      <c r="F385" s="14">
        <f t="shared" si="5"/>
        <v>202206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spans="1:21" ht="12.75" customHeight="1">
      <c r="A386" s="7">
        <v>142736456</v>
      </c>
      <c r="B386" s="13">
        <v>5540246192264</v>
      </c>
      <c r="C386" s="31">
        <v>44753</v>
      </c>
      <c r="D386" s="8">
        <v>1485</v>
      </c>
      <c r="E386" s="14" t="str">
        <f>VLOOKUP(B386, 'Catégorie des articles'!A:E, 4, FALSE)</f>
        <v>CREMERIE</v>
      </c>
      <c r="F386" s="14">
        <f t="shared" ref="F386:F449" si="6">YEAR(C386)*100 + MONTH(C386)</f>
        <v>202207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spans="1:21" ht="12.75" customHeight="1">
      <c r="A387" s="10">
        <v>142736456</v>
      </c>
      <c r="B387" s="15">
        <v>5540246192265</v>
      </c>
      <c r="C387" s="32">
        <v>44753</v>
      </c>
      <c r="D387" s="11">
        <v>297</v>
      </c>
      <c r="E387" s="14" t="str">
        <f>VLOOKUP(B387, 'Catégorie des articles'!A:E, 4, FALSE)</f>
        <v>CREMERIE</v>
      </c>
      <c r="F387" s="14">
        <f t="shared" si="6"/>
        <v>202207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spans="1:21" ht="12.75" customHeight="1">
      <c r="A388" s="10">
        <v>142736459</v>
      </c>
      <c r="B388" s="15">
        <v>5540246180522</v>
      </c>
      <c r="C388" s="32">
        <v>44735</v>
      </c>
      <c r="D388" s="11">
        <v>279</v>
      </c>
      <c r="E388" s="14" t="str">
        <f>VLOOKUP(B388, 'Catégorie des articles'!A:E, 4, FALSE)</f>
        <v>BOULANGERIE</v>
      </c>
      <c r="F388" s="14">
        <f t="shared" si="6"/>
        <v>202206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1:21" ht="12.75" customHeight="1">
      <c r="A389" s="7">
        <v>142736459</v>
      </c>
      <c r="B389" s="13">
        <v>5540246193409</v>
      </c>
      <c r="C389" s="31">
        <v>44735</v>
      </c>
      <c r="D389" s="8">
        <v>65</v>
      </c>
      <c r="E389" s="14" t="str">
        <f>VLOOKUP(B389, 'Catégorie des articles'!A:E, 4, FALSE)</f>
        <v>BOULANGERIE</v>
      </c>
      <c r="F389" s="14">
        <f t="shared" si="6"/>
        <v>202206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spans="1:21" ht="12.75" customHeight="1">
      <c r="A390" s="10">
        <v>142736462</v>
      </c>
      <c r="B390" s="15">
        <v>5540246171759</v>
      </c>
      <c r="C390" s="32">
        <v>44728</v>
      </c>
      <c r="D390" s="11">
        <v>2506</v>
      </c>
      <c r="E390" s="14" t="str">
        <f>VLOOKUP(B390, 'Catégorie des articles'!A:E, 4, FALSE)</f>
        <v>MIX LEGUMES</v>
      </c>
      <c r="F390" s="14">
        <f t="shared" si="6"/>
        <v>202206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spans="1:21" ht="12.75" customHeight="1">
      <c r="A391" s="7">
        <v>142736462</v>
      </c>
      <c r="B391" s="13">
        <v>5540246177132</v>
      </c>
      <c r="C391" s="31">
        <v>44728</v>
      </c>
      <c r="D391" s="8">
        <v>7888</v>
      </c>
      <c r="E391" s="14" t="str">
        <f>VLOOKUP(B391, 'Catégorie des articles'!A:E, 4, FALSE)</f>
        <v>MIX LEGUMES</v>
      </c>
      <c r="F391" s="14">
        <f t="shared" si="6"/>
        <v>202206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spans="1:21" ht="12.75" customHeight="1">
      <c r="A392" s="10">
        <v>142736462</v>
      </c>
      <c r="B392" s="15">
        <v>5540246177133</v>
      </c>
      <c r="C392" s="32">
        <v>44728</v>
      </c>
      <c r="D392" s="11">
        <v>3341</v>
      </c>
      <c r="E392" s="14" t="str">
        <f>VLOOKUP(B392, 'Catégorie des articles'!A:E, 4, FALSE)</f>
        <v>MIX LEGUMES</v>
      </c>
      <c r="F392" s="14">
        <f t="shared" si="6"/>
        <v>202206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spans="1:21" ht="12.75" customHeight="1">
      <c r="A393" s="7">
        <v>142736462</v>
      </c>
      <c r="B393" s="13">
        <v>5540246192518</v>
      </c>
      <c r="C393" s="31">
        <v>44728</v>
      </c>
      <c r="D393" s="8">
        <v>3828</v>
      </c>
      <c r="E393" s="14" t="str">
        <f>VLOOKUP(B393, 'Catégorie des articles'!A:E, 4, FALSE)</f>
        <v>MIX LEGUMES</v>
      </c>
      <c r="F393" s="14">
        <f t="shared" si="6"/>
        <v>202206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1:21" ht="12.75" customHeight="1">
      <c r="A394" s="10">
        <v>142736463</v>
      </c>
      <c r="B394" s="15">
        <v>5540246183587</v>
      </c>
      <c r="C394" s="32">
        <v>44746</v>
      </c>
      <c r="D394" s="11">
        <v>502</v>
      </c>
      <c r="E394" s="14" t="str">
        <f>VLOOKUP(B394, 'Catégorie des articles'!A:E, 4, FALSE)</f>
        <v>MIX LEGUMES</v>
      </c>
      <c r="F394" s="14">
        <f t="shared" si="6"/>
        <v>202207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spans="1:21" ht="12.75" customHeight="1">
      <c r="A395" s="7">
        <v>142736464</v>
      </c>
      <c r="B395" s="13">
        <v>5540246190097</v>
      </c>
      <c r="C395" s="31">
        <v>44737</v>
      </c>
      <c r="D395" s="8">
        <v>2559</v>
      </c>
      <c r="E395" s="14" t="str">
        <f>VLOOKUP(B395, 'Catégorie des articles'!A:E, 4, FALSE)</f>
        <v>VOLAILLE</v>
      </c>
      <c r="F395" s="14">
        <f t="shared" si="6"/>
        <v>202206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spans="1:21" ht="12.75" customHeight="1">
      <c r="A396" s="10">
        <v>142736471</v>
      </c>
      <c r="B396" s="15">
        <v>5540246176295</v>
      </c>
      <c r="C396" s="32">
        <v>44725</v>
      </c>
      <c r="D396" s="11">
        <v>7424</v>
      </c>
      <c r="E396" s="14" t="str">
        <f>VLOOKUP(B396, 'Catégorie des articles'!A:E, 4, FALSE)</f>
        <v>CREMERIE</v>
      </c>
      <c r="F396" s="14">
        <f t="shared" si="6"/>
        <v>202206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spans="1:21" ht="12.75" customHeight="1">
      <c r="A397" s="10">
        <v>142736471</v>
      </c>
      <c r="B397" s="15">
        <v>5540246187987</v>
      </c>
      <c r="C397" s="32">
        <v>44725</v>
      </c>
      <c r="D397" s="11">
        <v>3341</v>
      </c>
      <c r="E397" s="14" t="str">
        <f>VLOOKUP(B397, 'Catégorie des articles'!A:E, 4, FALSE)</f>
        <v>CREMERIE</v>
      </c>
      <c r="F397" s="14">
        <f t="shared" si="6"/>
        <v>202206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spans="1:21" ht="12.75" customHeight="1">
      <c r="A398" s="7">
        <v>142736471</v>
      </c>
      <c r="B398" s="13">
        <v>5540246188200</v>
      </c>
      <c r="C398" s="31">
        <v>44725</v>
      </c>
      <c r="D398" s="8">
        <v>2228</v>
      </c>
      <c r="E398" s="14" t="str">
        <f>VLOOKUP(B398, 'Catégorie des articles'!A:E, 4, FALSE)</f>
        <v>CREMERIE</v>
      </c>
      <c r="F398" s="14">
        <f t="shared" si="6"/>
        <v>202206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spans="1:21" ht="12.75" customHeight="1">
      <c r="A399" s="10">
        <v>142736472</v>
      </c>
      <c r="B399" s="15">
        <v>5540246172978</v>
      </c>
      <c r="C399" s="32">
        <v>44725</v>
      </c>
      <c r="D399" s="11">
        <v>836</v>
      </c>
      <c r="E399" s="14" t="str">
        <f>VLOOKUP(B399, 'Catégorie des articles'!A:E, 4, FALSE)</f>
        <v>CREMERIE</v>
      </c>
      <c r="F399" s="14">
        <f t="shared" si="6"/>
        <v>202206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spans="1:21" ht="12.75" customHeight="1">
      <c r="A400" s="10">
        <v>142736474</v>
      </c>
      <c r="B400" s="15">
        <v>5540246188200</v>
      </c>
      <c r="C400" s="32">
        <v>44724</v>
      </c>
      <c r="D400" s="11">
        <v>483</v>
      </c>
      <c r="E400" s="14" t="str">
        <f>VLOOKUP(B400, 'Catégorie des articles'!A:E, 4, FALSE)</f>
        <v>CREMERIE</v>
      </c>
      <c r="F400" s="14">
        <f t="shared" si="6"/>
        <v>202206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spans="1:21" ht="12.75" customHeight="1">
      <c r="A401" s="10">
        <v>142736489</v>
      </c>
      <c r="B401" s="15">
        <v>5540246176295</v>
      </c>
      <c r="C401" s="32">
        <v>44728</v>
      </c>
      <c r="D401" s="11">
        <v>7387</v>
      </c>
      <c r="E401" s="14" t="str">
        <f>VLOOKUP(B401, 'Catégorie des articles'!A:E, 4, FALSE)</f>
        <v>CREMERIE</v>
      </c>
      <c r="F401" s="14">
        <f t="shared" si="6"/>
        <v>202206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spans="1:21" ht="12.75" customHeight="1">
      <c r="A402" s="7">
        <v>142736489</v>
      </c>
      <c r="B402" s="13">
        <v>5540246187987</v>
      </c>
      <c r="C402" s="31">
        <v>44728</v>
      </c>
      <c r="D402" s="8">
        <v>4455</v>
      </c>
      <c r="E402" s="14" t="str">
        <f>VLOOKUP(B402, 'Catégorie des articles'!A:E, 4, FALSE)</f>
        <v>CREMERIE</v>
      </c>
      <c r="F402" s="14">
        <f t="shared" si="6"/>
        <v>202206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spans="1:21" ht="12.75" customHeight="1">
      <c r="A403" s="7">
        <v>142736490</v>
      </c>
      <c r="B403" s="13">
        <v>5540246172669</v>
      </c>
      <c r="C403" s="31">
        <v>44728</v>
      </c>
      <c r="D403" s="8">
        <v>279</v>
      </c>
      <c r="E403" s="14" t="str">
        <f>VLOOKUP(B403, 'Catégorie des articles'!A:E, 4, FALSE)</f>
        <v>CREMERIE</v>
      </c>
      <c r="F403" s="14">
        <f t="shared" si="6"/>
        <v>202206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spans="1:21" ht="12.75" customHeight="1">
      <c r="A404" s="7">
        <v>142736490</v>
      </c>
      <c r="B404" s="13">
        <v>5540246174174</v>
      </c>
      <c r="C404" s="31">
        <v>44728</v>
      </c>
      <c r="D404" s="8">
        <v>464</v>
      </c>
      <c r="E404" s="14" t="str">
        <f>VLOOKUP(B404, 'Catégorie des articles'!A:E, 4, FALSE)</f>
        <v>CREMERIE</v>
      </c>
      <c r="F404" s="14">
        <f t="shared" si="6"/>
        <v>202206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spans="1:21" ht="12.75" customHeight="1">
      <c r="A405" s="10">
        <v>142736490</v>
      </c>
      <c r="B405" s="15">
        <v>5540246176699</v>
      </c>
      <c r="C405" s="32">
        <v>44728</v>
      </c>
      <c r="D405" s="11">
        <v>2088</v>
      </c>
      <c r="E405" s="14" t="str">
        <f>VLOOKUP(B405, 'Catégorie des articles'!A:E, 4, FALSE)</f>
        <v>CREMERIE</v>
      </c>
      <c r="F405" s="14">
        <f t="shared" si="6"/>
        <v>202206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spans="1:21" ht="12.75" customHeight="1">
      <c r="A406" s="7">
        <v>142736490</v>
      </c>
      <c r="B406" s="13">
        <v>5540246188175</v>
      </c>
      <c r="C406" s="31">
        <v>44728</v>
      </c>
      <c r="D406" s="8">
        <v>116</v>
      </c>
      <c r="E406" s="14" t="str">
        <f>VLOOKUP(B406, 'Catégorie des articles'!A:E, 4, FALSE)</f>
        <v>CREMERIE</v>
      </c>
      <c r="F406" s="14">
        <f t="shared" si="6"/>
        <v>202206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spans="1:21" ht="12.75" customHeight="1">
      <c r="A407" s="7">
        <v>142736493</v>
      </c>
      <c r="B407" s="13">
        <v>5540246185429</v>
      </c>
      <c r="C407" s="31">
        <v>44728</v>
      </c>
      <c r="D407" s="8">
        <v>70</v>
      </c>
      <c r="E407" s="14" t="str">
        <f>VLOOKUP(B407, 'Catégorie des articles'!A:E, 4, FALSE)</f>
        <v>CREMERIE</v>
      </c>
      <c r="F407" s="14">
        <f t="shared" si="6"/>
        <v>202206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spans="1:21" ht="12.75" customHeight="1">
      <c r="A408" s="10">
        <v>142736493</v>
      </c>
      <c r="B408" s="15">
        <v>5540246186325</v>
      </c>
      <c r="C408" s="32">
        <v>44728</v>
      </c>
      <c r="D408" s="11">
        <v>279</v>
      </c>
      <c r="E408" s="14" t="str">
        <f>VLOOKUP(B408, 'Catégorie des articles'!A:E, 4, FALSE)</f>
        <v>CREMERIE</v>
      </c>
      <c r="F408" s="14">
        <f t="shared" si="6"/>
        <v>202206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spans="1:21" ht="12.75" customHeight="1">
      <c r="A409" s="10">
        <v>142736499</v>
      </c>
      <c r="B409" s="15">
        <v>5540246173906</v>
      </c>
      <c r="C409" s="32">
        <v>44736</v>
      </c>
      <c r="D409" s="11">
        <v>1634</v>
      </c>
      <c r="E409" s="14" t="str">
        <f>VLOOKUP(B409, 'Catégorie des articles'!A:E, 4, FALSE)</f>
        <v>VOLAILLE</v>
      </c>
      <c r="F409" s="14">
        <f t="shared" si="6"/>
        <v>202206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spans="1:21" ht="12.75" customHeight="1">
      <c r="A410" s="7">
        <v>142736499</v>
      </c>
      <c r="B410" s="13">
        <v>5540246181016</v>
      </c>
      <c r="C410" s="31">
        <v>44736</v>
      </c>
      <c r="D410" s="8">
        <v>6237</v>
      </c>
      <c r="E410" s="14" t="str">
        <f>VLOOKUP(B410, 'Catégorie des articles'!A:E, 4, FALSE)</f>
        <v>VOLAILLE</v>
      </c>
      <c r="F410" s="14">
        <f t="shared" si="6"/>
        <v>202206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spans="1:21" ht="12.75" customHeight="1">
      <c r="A411" s="7">
        <v>142736502</v>
      </c>
      <c r="B411" s="13">
        <v>5540246177376</v>
      </c>
      <c r="C411" s="31">
        <v>44743</v>
      </c>
      <c r="D411" s="8">
        <v>1420</v>
      </c>
      <c r="E411" s="14" t="str">
        <f>VLOOKUP(B411, 'Catégorie des articles'!A:E, 4, FALSE)</f>
        <v>BOULANGERIE</v>
      </c>
      <c r="F411" s="14">
        <f t="shared" si="6"/>
        <v>202207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spans="1:21" ht="12.75" customHeight="1">
      <c r="A412" s="7">
        <v>142746514</v>
      </c>
      <c r="B412" s="13">
        <v>5540246176699</v>
      </c>
      <c r="C412" s="31">
        <v>44729</v>
      </c>
      <c r="D412" s="8">
        <v>4176</v>
      </c>
      <c r="E412" s="14" t="str">
        <f>VLOOKUP(B412, 'Catégorie des articles'!A:E, 4, FALSE)</f>
        <v>CREMERIE</v>
      </c>
      <c r="F412" s="14">
        <f t="shared" si="6"/>
        <v>202206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spans="1:21" ht="12.75" customHeight="1">
      <c r="A413" s="10">
        <v>142746514</v>
      </c>
      <c r="B413" s="15">
        <v>5540246188175</v>
      </c>
      <c r="C413" s="32">
        <v>44729</v>
      </c>
      <c r="D413" s="11">
        <v>93</v>
      </c>
      <c r="E413" s="14" t="str">
        <f>VLOOKUP(B413, 'Catégorie des articles'!A:E, 4, FALSE)</f>
        <v>CREMERIE</v>
      </c>
      <c r="F413" s="14">
        <f t="shared" si="6"/>
        <v>202206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spans="1:21" ht="12.75" customHeight="1">
      <c r="A414" s="7">
        <v>142746515</v>
      </c>
      <c r="B414" s="13">
        <v>5540246171933</v>
      </c>
      <c r="C414" s="31">
        <v>44729</v>
      </c>
      <c r="D414" s="8">
        <v>557</v>
      </c>
      <c r="E414" s="14" t="str">
        <f>VLOOKUP(B414, 'Catégorie des articles'!A:E, 4, FALSE)</f>
        <v>CREMERIE</v>
      </c>
      <c r="F414" s="14">
        <f t="shared" si="6"/>
        <v>202206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spans="1:21" ht="12.75" customHeight="1">
      <c r="A415" s="7">
        <v>142746516</v>
      </c>
      <c r="B415" s="13">
        <v>5540246171759</v>
      </c>
      <c r="C415" s="31">
        <v>44732</v>
      </c>
      <c r="D415" s="8">
        <v>2506</v>
      </c>
      <c r="E415" s="14" t="str">
        <f>VLOOKUP(B415, 'Catégorie des articles'!A:E, 4, FALSE)</f>
        <v>MIX LEGUMES</v>
      </c>
      <c r="F415" s="14">
        <f t="shared" si="6"/>
        <v>202206</v>
      </c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spans="1:21" ht="12.75" customHeight="1">
      <c r="A416" s="10">
        <v>142746516</v>
      </c>
      <c r="B416" s="15">
        <v>5540246177132</v>
      </c>
      <c r="C416" s="32">
        <v>44732</v>
      </c>
      <c r="D416" s="11">
        <v>6960</v>
      </c>
      <c r="E416" s="14" t="str">
        <f>VLOOKUP(B416, 'Catégorie des articles'!A:E, 4, FALSE)</f>
        <v>MIX LEGUMES</v>
      </c>
      <c r="F416" s="14">
        <f t="shared" si="6"/>
        <v>202206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spans="1:21" ht="12.75" customHeight="1">
      <c r="A417" s="7">
        <v>142746516</v>
      </c>
      <c r="B417" s="13">
        <v>5540246177133</v>
      </c>
      <c r="C417" s="31">
        <v>44732</v>
      </c>
      <c r="D417" s="8">
        <v>7796</v>
      </c>
      <c r="E417" s="14" t="str">
        <f>VLOOKUP(B417, 'Catégorie des articles'!A:E, 4, FALSE)</f>
        <v>MIX LEGUMES</v>
      </c>
      <c r="F417" s="14">
        <f t="shared" si="6"/>
        <v>202206</v>
      </c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spans="1:21" ht="12.75" customHeight="1">
      <c r="A418" s="7">
        <v>142746517</v>
      </c>
      <c r="B418" s="13">
        <v>5540246183562</v>
      </c>
      <c r="C418" s="31">
        <v>44731</v>
      </c>
      <c r="D418" s="8">
        <v>12528</v>
      </c>
      <c r="E418" s="14" t="str">
        <f>VLOOKUP(B418, 'Catégorie des articles'!A:E, 4, FALSE)</f>
        <v>MIX LEGUMES</v>
      </c>
      <c r="F418" s="14">
        <f t="shared" si="6"/>
        <v>202206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spans="1:21" ht="12.75" customHeight="1">
      <c r="A419" s="7">
        <v>142746524</v>
      </c>
      <c r="B419" s="13">
        <v>5540246181061</v>
      </c>
      <c r="C419" s="31">
        <v>44742</v>
      </c>
      <c r="D419" s="8">
        <v>3308</v>
      </c>
      <c r="E419" s="14" t="str">
        <f>VLOOKUP(B419, 'Catégorie des articles'!A:E, 4, FALSE)</f>
        <v>VOLAILLE</v>
      </c>
      <c r="F419" s="14">
        <f t="shared" si="6"/>
        <v>202206</v>
      </c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spans="1:21" ht="12.75" customHeight="1">
      <c r="A420" s="10">
        <v>142746524</v>
      </c>
      <c r="B420" s="15">
        <v>5540246183547</v>
      </c>
      <c r="C420" s="32">
        <v>44742</v>
      </c>
      <c r="D420" s="11">
        <v>1114</v>
      </c>
      <c r="E420" s="14" t="str">
        <f>VLOOKUP(B420, 'Catégorie des articles'!A:E, 4, FALSE)</f>
        <v>VOLAILLE</v>
      </c>
      <c r="F420" s="14">
        <f t="shared" si="6"/>
        <v>202206</v>
      </c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spans="1:21" ht="12.75" customHeight="1">
      <c r="A421" s="7">
        <v>142746524</v>
      </c>
      <c r="B421" s="13">
        <v>5540246185278</v>
      </c>
      <c r="C421" s="31">
        <v>44742</v>
      </c>
      <c r="D421" s="8">
        <v>2239</v>
      </c>
      <c r="E421" s="14" t="str">
        <f>VLOOKUP(B421, 'Catégorie des articles'!A:E, 4, FALSE)</f>
        <v>VOLAILLE</v>
      </c>
      <c r="F421" s="14">
        <f t="shared" si="6"/>
        <v>202206</v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spans="1:21" ht="12.75" customHeight="1">
      <c r="A422" s="7">
        <v>142746542</v>
      </c>
      <c r="B422" s="13">
        <v>5540246192907</v>
      </c>
      <c r="C422" s="31">
        <v>44728</v>
      </c>
      <c r="D422" s="8">
        <v>2228</v>
      </c>
      <c r="E422" s="14" t="str">
        <f>VLOOKUP(B422, 'Catégorie des articles'!A:E, 4, FALSE)</f>
        <v>VOLAILLE</v>
      </c>
      <c r="F422" s="14">
        <f t="shared" si="6"/>
        <v>202206</v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spans="1:21" ht="12.75" customHeight="1">
      <c r="A423" s="7">
        <v>142746545</v>
      </c>
      <c r="B423" s="13">
        <v>5540246171933</v>
      </c>
      <c r="C423" s="31">
        <v>44730</v>
      </c>
      <c r="D423" s="8">
        <v>557</v>
      </c>
      <c r="E423" s="14" t="str">
        <f>VLOOKUP(B423, 'Catégorie des articles'!A:E, 4, FALSE)</f>
        <v>CREMERIE</v>
      </c>
      <c r="F423" s="14">
        <f t="shared" si="6"/>
        <v>202206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spans="1:21" ht="12.75" customHeight="1">
      <c r="A424" s="10">
        <v>142746545</v>
      </c>
      <c r="B424" s="15">
        <v>5540246176294</v>
      </c>
      <c r="C424" s="32">
        <v>44730</v>
      </c>
      <c r="D424" s="11">
        <v>2970</v>
      </c>
      <c r="E424" s="14" t="str">
        <f>VLOOKUP(B424, 'Catégorie des articles'!A:E, 4, FALSE)</f>
        <v>CREMERIE</v>
      </c>
      <c r="F424" s="14">
        <f t="shared" si="6"/>
        <v>202206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spans="1:21" ht="12.75" customHeight="1">
      <c r="A425" s="7">
        <v>142746545</v>
      </c>
      <c r="B425" s="13">
        <v>5540246176295</v>
      </c>
      <c r="C425" s="31">
        <v>44730</v>
      </c>
      <c r="D425" s="8">
        <v>7424</v>
      </c>
      <c r="E425" s="14" t="str">
        <f>VLOOKUP(B425, 'Catégorie des articles'!A:E, 4, FALSE)</f>
        <v>CREMERIE</v>
      </c>
      <c r="F425" s="14">
        <f t="shared" si="6"/>
        <v>202206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spans="1:21" ht="12.75" customHeight="1">
      <c r="A426" s="10">
        <v>142746545</v>
      </c>
      <c r="B426" s="15">
        <v>5540246187987</v>
      </c>
      <c r="C426" s="32">
        <v>44730</v>
      </c>
      <c r="D426" s="11">
        <v>2228</v>
      </c>
      <c r="E426" s="14" t="str">
        <f>VLOOKUP(B426, 'Catégorie des articles'!A:E, 4, FALSE)</f>
        <v>CREMERIE</v>
      </c>
      <c r="F426" s="14">
        <f t="shared" si="6"/>
        <v>202206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spans="1:21" ht="12.75" customHeight="1">
      <c r="A427" s="7">
        <v>142746545</v>
      </c>
      <c r="B427" s="13">
        <v>5540246188200</v>
      </c>
      <c r="C427" s="31">
        <v>44730</v>
      </c>
      <c r="D427" s="8">
        <v>743</v>
      </c>
      <c r="E427" s="14" t="str">
        <f>VLOOKUP(B427, 'Catégorie des articles'!A:E, 4, FALSE)</f>
        <v>CREMERIE</v>
      </c>
      <c r="F427" s="14">
        <f t="shared" si="6"/>
        <v>202206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spans="1:21" ht="12.75" customHeight="1">
      <c r="A428" s="7">
        <v>142746546</v>
      </c>
      <c r="B428" s="13">
        <v>5540246176699</v>
      </c>
      <c r="C428" s="31">
        <v>44730</v>
      </c>
      <c r="D428" s="8">
        <v>4176</v>
      </c>
      <c r="E428" s="14" t="str">
        <f>VLOOKUP(B428, 'Catégorie des articles'!A:E, 4, FALSE)</f>
        <v>CREMERIE</v>
      </c>
      <c r="F428" s="14">
        <f t="shared" si="6"/>
        <v>202206</v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spans="1:21" ht="12.75" customHeight="1">
      <c r="A429" s="7">
        <v>142746569</v>
      </c>
      <c r="B429" s="13">
        <v>5540246172978</v>
      </c>
      <c r="C429" s="31">
        <v>44731</v>
      </c>
      <c r="D429" s="8">
        <v>836</v>
      </c>
      <c r="E429" s="14" t="str">
        <f>VLOOKUP(B429, 'Catégorie des articles'!A:E, 4, FALSE)</f>
        <v>CREMERIE</v>
      </c>
      <c r="F429" s="14">
        <f t="shared" si="6"/>
        <v>202206</v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spans="1:21" ht="12.75" customHeight="1">
      <c r="A430" s="7">
        <v>142746570</v>
      </c>
      <c r="B430" s="13">
        <v>5540246176295</v>
      </c>
      <c r="C430" s="31">
        <v>44731</v>
      </c>
      <c r="D430" s="8">
        <v>7424</v>
      </c>
      <c r="E430" s="14" t="str">
        <f>VLOOKUP(B430, 'Catégorie des articles'!A:E, 4, FALSE)</f>
        <v>CREMERIE</v>
      </c>
      <c r="F430" s="14">
        <f t="shared" si="6"/>
        <v>202206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spans="1:21" ht="12.75" customHeight="1">
      <c r="A431" s="7">
        <v>142746570</v>
      </c>
      <c r="B431" s="13">
        <v>5540246187987</v>
      </c>
      <c r="C431" s="31">
        <v>44731</v>
      </c>
      <c r="D431" s="8">
        <v>2228</v>
      </c>
      <c r="E431" s="14" t="str">
        <f>VLOOKUP(B431, 'Catégorie des articles'!A:E, 4, FALSE)</f>
        <v>CREMERIE</v>
      </c>
      <c r="F431" s="14">
        <f t="shared" si="6"/>
        <v>202206</v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spans="1:21" ht="12.75" customHeight="1">
      <c r="A432" s="10">
        <v>142746570</v>
      </c>
      <c r="B432" s="15">
        <v>5540246188200</v>
      </c>
      <c r="C432" s="32">
        <v>44731</v>
      </c>
      <c r="D432" s="11">
        <v>743</v>
      </c>
      <c r="E432" s="14" t="str">
        <f>VLOOKUP(B432, 'Catégorie des articles'!A:E, 4, FALSE)</f>
        <v>CREMERIE</v>
      </c>
      <c r="F432" s="14">
        <f t="shared" si="6"/>
        <v>202206</v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spans="1:21" ht="12.75" customHeight="1">
      <c r="A433" s="7">
        <v>142746575</v>
      </c>
      <c r="B433" s="13">
        <v>5540246170256</v>
      </c>
      <c r="C433" s="31">
        <v>44744</v>
      </c>
      <c r="D433" s="8">
        <v>2998</v>
      </c>
      <c r="E433" s="14" t="str">
        <f>VLOOKUP(B433, 'Catégorie des articles'!A:E, 4, FALSE)</f>
        <v>BOULANGERIE</v>
      </c>
      <c r="F433" s="14">
        <f t="shared" si="6"/>
        <v>202207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spans="1:21" ht="12.75" customHeight="1">
      <c r="A434" s="10">
        <v>142746575</v>
      </c>
      <c r="B434" s="15">
        <v>5540246171888</v>
      </c>
      <c r="C434" s="32">
        <v>44744</v>
      </c>
      <c r="D434" s="11">
        <v>650</v>
      </c>
      <c r="E434" s="14" t="str">
        <f>VLOOKUP(B434, 'Catégorie des articles'!A:E, 4, FALSE)</f>
        <v>BOULANGERIE</v>
      </c>
      <c r="F434" s="14">
        <f t="shared" si="6"/>
        <v>202207</v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spans="1:21" ht="12.75" customHeight="1">
      <c r="A435" s="10">
        <v>142746588</v>
      </c>
      <c r="B435" s="15">
        <v>5540246172978</v>
      </c>
      <c r="C435" s="32">
        <v>44732</v>
      </c>
      <c r="D435" s="11">
        <v>418</v>
      </c>
      <c r="E435" s="14" t="str">
        <f>VLOOKUP(B435, 'Catégorie des articles'!A:E, 4, FALSE)</f>
        <v>CREMERIE</v>
      </c>
      <c r="F435" s="14">
        <f t="shared" si="6"/>
        <v>202206</v>
      </c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spans="1:21" ht="12.75" customHeight="1">
      <c r="A436" s="7">
        <v>142746588</v>
      </c>
      <c r="B436" s="13">
        <v>5540246174174</v>
      </c>
      <c r="C436" s="31">
        <v>44732</v>
      </c>
      <c r="D436" s="8">
        <v>232</v>
      </c>
      <c r="E436" s="14" t="str">
        <f>VLOOKUP(B436, 'Catégorie des articles'!A:E, 4, FALSE)</f>
        <v>CREMERIE</v>
      </c>
      <c r="F436" s="14">
        <f t="shared" si="6"/>
        <v>202206</v>
      </c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spans="1:21" ht="12.75" customHeight="1">
      <c r="A437" s="7">
        <v>142746588</v>
      </c>
      <c r="B437" s="13">
        <v>5540246176699</v>
      </c>
      <c r="C437" s="31">
        <v>44732</v>
      </c>
      <c r="D437" s="8">
        <v>4176</v>
      </c>
      <c r="E437" s="14" t="str">
        <f>VLOOKUP(B437, 'Catégorie des articles'!A:E, 4, FALSE)</f>
        <v>CREMERIE</v>
      </c>
      <c r="F437" s="14">
        <f t="shared" si="6"/>
        <v>202206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spans="1:21" ht="12.75" customHeight="1">
      <c r="A438" s="10">
        <v>142746588</v>
      </c>
      <c r="B438" s="15">
        <v>5540246188175</v>
      </c>
      <c r="C438" s="32">
        <v>44732</v>
      </c>
      <c r="D438" s="11">
        <v>93</v>
      </c>
      <c r="E438" s="14" t="str">
        <f>VLOOKUP(B438, 'Catégorie des articles'!A:E, 4, FALSE)</f>
        <v>CREMERIE</v>
      </c>
      <c r="F438" s="14">
        <f t="shared" si="6"/>
        <v>202206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spans="1:21" ht="12.75" customHeight="1">
      <c r="A439" s="7">
        <v>142746590</v>
      </c>
      <c r="B439" s="13">
        <v>5540246176295</v>
      </c>
      <c r="C439" s="31">
        <v>44732</v>
      </c>
      <c r="D439" s="8">
        <v>7424</v>
      </c>
      <c r="E439" s="14" t="str">
        <f>VLOOKUP(B439, 'Catégorie des articles'!A:E, 4, FALSE)</f>
        <v>CREMERIE</v>
      </c>
      <c r="F439" s="14">
        <f t="shared" si="6"/>
        <v>202206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spans="1:21" ht="12.75" customHeight="1">
      <c r="A440" s="7">
        <v>142746590</v>
      </c>
      <c r="B440" s="13">
        <v>5540246187987</v>
      </c>
      <c r="C440" s="31">
        <v>44732</v>
      </c>
      <c r="D440" s="8">
        <v>4455</v>
      </c>
      <c r="E440" s="14" t="str">
        <f>VLOOKUP(B440, 'Catégorie des articles'!A:E, 4, FALSE)</f>
        <v>CREMERIE</v>
      </c>
      <c r="F440" s="14">
        <f t="shared" si="6"/>
        <v>202206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spans="1:21" ht="12.75" customHeight="1">
      <c r="A441" s="10">
        <v>142746590</v>
      </c>
      <c r="B441" s="15">
        <v>5540246188200</v>
      </c>
      <c r="C441" s="32">
        <v>44732</v>
      </c>
      <c r="D441" s="11">
        <v>743</v>
      </c>
      <c r="E441" s="14" t="str">
        <f>VLOOKUP(B441, 'Catégorie des articles'!A:E, 4, FALSE)</f>
        <v>CREMERIE</v>
      </c>
      <c r="F441" s="14">
        <f t="shared" si="6"/>
        <v>202206</v>
      </c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spans="1:21" ht="12.75" customHeight="1">
      <c r="A442" s="10">
        <v>142746606</v>
      </c>
      <c r="B442" s="15">
        <v>5540246172978</v>
      </c>
      <c r="C442" s="32">
        <v>44735</v>
      </c>
      <c r="D442" s="11">
        <v>418</v>
      </c>
      <c r="E442" s="14" t="str">
        <f>VLOOKUP(B442, 'Catégorie des articles'!A:E, 4, FALSE)</f>
        <v>CREMERIE</v>
      </c>
      <c r="F442" s="14">
        <f t="shared" si="6"/>
        <v>202206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spans="1:21" ht="12.75" customHeight="1">
      <c r="A443" s="7">
        <v>142746606</v>
      </c>
      <c r="B443" s="13">
        <v>5540246174174</v>
      </c>
      <c r="C443" s="31">
        <v>44735</v>
      </c>
      <c r="D443" s="8">
        <v>232</v>
      </c>
      <c r="E443" s="14" t="str">
        <f>VLOOKUP(B443, 'Catégorie des articles'!A:E, 4, FALSE)</f>
        <v>CREMERIE</v>
      </c>
      <c r="F443" s="14">
        <f t="shared" si="6"/>
        <v>202206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1:21" ht="12.75" customHeight="1">
      <c r="A444" s="10">
        <v>142746608</v>
      </c>
      <c r="B444" s="15">
        <v>5540246171933</v>
      </c>
      <c r="C444" s="32">
        <v>44735</v>
      </c>
      <c r="D444" s="11">
        <v>279</v>
      </c>
      <c r="E444" s="14" t="str">
        <f>VLOOKUP(B444, 'Catégorie des articles'!A:E, 4, FALSE)</f>
        <v>CREMERIE</v>
      </c>
      <c r="F444" s="14">
        <f t="shared" si="6"/>
        <v>202206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spans="1:21" ht="12.75" customHeight="1">
      <c r="A445" s="7">
        <v>142746608</v>
      </c>
      <c r="B445" s="13">
        <v>5540246176294</v>
      </c>
      <c r="C445" s="31">
        <v>44735</v>
      </c>
      <c r="D445" s="8">
        <v>1485</v>
      </c>
      <c r="E445" s="14" t="str">
        <f>VLOOKUP(B445, 'Catégorie des articles'!A:E, 4, FALSE)</f>
        <v>CREMERIE</v>
      </c>
      <c r="F445" s="14">
        <f t="shared" si="6"/>
        <v>202206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spans="1:21" ht="12.75" customHeight="1">
      <c r="A446" s="10">
        <v>142746608</v>
      </c>
      <c r="B446" s="15">
        <v>5540246176295</v>
      </c>
      <c r="C446" s="32">
        <v>44735</v>
      </c>
      <c r="D446" s="11">
        <v>7424</v>
      </c>
      <c r="E446" s="14" t="str">
        <f>VLOOKUP(B446, 'Catégorie des articles'!A:E, 4, FALSE)</f>
        <v>CREMERIE</v>
      </c>
      <c r="F446" s="14">
        <f t="shared" si="6"/>
        <v>202206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spans="1:21" ht="12.75" customHeight="1">
      <c r="A447" s="7">
        <v>142746608</v>
      </c>
      <c r="B447" s="13">
        <v>5540246187987</v>
      </c>
      <c r="C447" s="31">
        <v>44735</v>
      </c>
      <c r="D447" s="8">
        <v>2228</v>
      </c>
      <c r="E447" s="14" t="str">
        <f>VLOOKUP(B447, 'Catégorie des articles'!A:E, 4, FALSE)</f>
        <v>CREMERIE</v>
      </c>
      <c r="F447" s="14">
        <f t="shared" si="6"/>
        <v>202206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spans="1:21" ht="12.75" customHeight="1">
      <c r="A448" s="10">
        <v>142746611</v>
      </c>
      <c r="B448" s="15">
        <v>5540246185429</v>
      </c>
      <c r="C448" s="32">
        <v>44736</v>
      </c>
      <c r="D448" s="11">
        <v>140</v>
      </c>
      <c r="E448" s="14" t="str">
        <f>VLOOKUP(B448, 'Catégorie des articles'!A:E, 4, FALSE)</f>
        <v>CREMERIE</v>
      </c>
      <c r="F448" s="14">
        <f t="shared" si="6"/>
        <v>202206</v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spans="1:21" ht="12.75" customHeight="1">
      <c r="A449" s="7">
        <v>142746611</v>
      </c>
      <c r="B449" s="13">
        <v>5540246186325</v>
      </c>
      <c r="C449" s="31">
        <v>44736</v>
      </c>
      <c r="D449" s="8">
        <v>140</v>
      </c>
      <c r="E449" s="14" t="str">
        <f>VLOOKUP(B449, 'Catégorie des articles'!A:E, 4, FALSE)</f>
        <v>CREMERIE</v>
      </c>
      <c r="F449" s="14">
        <f t="shared" si="6"/>
        <v>202206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spans="1:21" ht="12.75" customHeight="1">
      <c r="A450" s="10">
        <v>142746612</v>
      </c>
      <c r="B450" s="15">
        <v>5540246174095</v>
      </c>
      <c r="C450" s="32">
        <v>44738</v>
      </c>
      <c r="D450" s="11">
        <v>140</v>
      </c>
      <c r="E450" s="14" t="str">
        <f>VLOOKUP(B450, 'Catégorie des articles'!A:E, 4, FALSE)</f>
        <v>CREMERIE</v>
      </c>
      <c r="F450" s="14">
        <f t="shared" ref="F450:F513" si="7">YEAR(C450)*100 + MONTH(C450)</f>
        <v>202206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spans="1:21" ht="12.75" customHeight="1">
      <c r="A451" s="7">
        <v>142746612</v>
      </c>
      <c r="B451" s="13">
        <v>5540246175050</v>
      </c>
      <c r="C451" s="31">
        <v>44738</v>
      </c>
      <c r="D451" s="8">
        <v>279</v>
      </c>
      <c r="E451" s="14" t="str">
        <f>VLOOKUP(B451, 'Catégorie des articles'!A:E, 4, FALSE)</f>
        <v>CREMERIE</v>
      </c>
      <c r="F451" s="14">
        <f t="shared" si="7"/>
        <v>202206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spans="1:21" ht="12.75" customHeight="1">
      <c r="A452" s="10">
        <v>142756621</v>
      </c>
      <c r="B452" s="15">
        <v>5540246176699</v>
      </c>
      <c r="C452" s="32">
        <v>44736</v>
      </c>
      <c r="D452" s="11">
        <v>2088</v>
      </c>
      <c r="E452" s="14" t="str">
        <f>VLOOKUP(B452, 'Catégorie des articles'!A:E, 4, FALSE)</f>
        <v>CREMERIE</v>
      </c>
      <c r="F452" s="14">
        <f t="shared" si="7"/>
        <v>202206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spans="1:21" ht="12.75" customHeight="1">
      <c r="A453" s="7">
        <v>142756622</v>
      </c>
      <c r="B453" s="13">
        <v>5540246194478</v>
      </c>
      <c r="C453" s="31">
        <v>44786</v>
      </c>
      <c r="D453" s="8">
        <v>724</v>
      </c>
      <c r="E453" s="14" t="str">
        <f>VLOOKUP(B453, 'Catégorie des articles'!A:E, 4, FALSE)</f>
        <v>EMBALLAGES</v>
      </c>
      <c r="F453" s="14">
        <f t="shared" si="7"/>
        <v>202208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spans="1:21" ht="12.75" customHeight="1">
      <c r="A454" s="7">
        <v>142756623</v>
      </c>
      <c r="B454" s="13">
        <v>5540246171759</v>
      </c>
      <c r="C454" s="31">
        <v>44739</v>
      </c>
      <c r="D454" s="8">
        <v>3759</v>
      </c>
      <c r="E454" s="14" t="str">
        <f>VLOOKUP(B454, 'Catégorie des articles'!A:E, 4, FALSE)</f>
        <v>MIX LEGUMES</v>
      </c>
      <c r="F454" s="14">
        <f t="shared" si="7"/>
        <v>202206</v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spans="1:21" ht="12.75" customHeight="1">
      <c r="A455" s="10">
        <v>142756623</v>
      </c>
      <c r="B455" s="15">
        <v>5540246177132</v>
      </c>
      <c r="C455" s="32">
        <v>44739</v>
      </c>
      <c r="D455" s="11">
        <v>7424</v>
      </c>
      <c r="E455" s="14" t="str">
        <f>VLOOKUP(B455, 'Catégorie des articles'!A:E, 4, FALSE)</f>
        <v>MIX LEGUMES</v>
      </c>
      <c r="F455" s="14">
        <f t="shared" si="7"/>
        <v>202206</v>
      </c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1:21" ht="12.75" customHeight="1">
      <c r="A456" s="7">
        <v>142756623</v>
      </c>
      <c r="B456" s="13">
        <v>5540246177133</v>
      </c>
      <c r="C456" s="31">
        <v>44739</v>
      </c>
      <c r="D456" s="8">
        <v>2784</v>
      </c>
      <c r="E456" s="14" t="str">
        <f>VLOOKUP(B456, 'Catégorie des articles'!A:E, 4, FALSE)</f>
        <v>MIX LEGUMES</v>
      </c>
      <c r="F456" s="14">
        <f t="shared" si="7"/>
        <v>202206</v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spans="1:21" ht="12.75" customHeight="1">
      <c r="A457" s="10">
        <v>142756623</v>
      </c>
      <c r="B457" s="15">
        <v>5540246183542</v>
      </c>
      <c r="C457" s="32">
        <v>44739</v>
      </c>
      <c r="D457" s="11">
        <v>1253</v>
      </c>
      <c r="E457" s="14" t="str">
        <f>VLOOKUP(B457, 'Catégorie des articles'!A:E, 4, FALSE)</f>
        <v>MIX LEGUMES</v>
      </c>
      <c r="F457" s="14">
        <f t="shared" si="7"/>
        <v>202206</v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spans="1:21" ht="12.75" customHeight="1">
      <c r="A458" s="7">
        <v>142756623</v>
      </c>
      <c r="B458" s="13">
        <v>5540246192518</v>
      </c>
      <c r="C458" s="31">
        <v>44739</v>
      </c>
      <c r="D458" s="8">
        <v>5847</v>
      </c>
      <c r="E458" s="14" t="str">
        <f>VLOOKUP(B458, 'Catégorie des articles'!A:E, 4, FALSE)</f>
        <v>MIX LEGUMES</v>
      </c>
      <c r="F458" s="14">
        <f t="shared" si="7"/>
        <v>202206</v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spans="1:21" ht="12.75" customHeight="1">
      <c r="A459" s="7">
        <v>142756629</v>
      </c>
      <c r="B459" s="13">
        <v>5540246171933</v>
      </c>
      <c r="C459" s="31">
        <v>44737</v>
      </c>
      <c r="D459" s="8">
        <v>557</v>
      </c>
      <c r="E459" s="14" t="str">
        <f>VLOOKUP(B459, 'Catégorie des articles'!A:E, 4, FALSE)</f>
        <v>CREMERIE</v>
      </c>
      <c r="F459" s="14">
        <f t="shared" si="7"/>
        <v>202206</v>
      </c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spans="1:21" ht="12.75" customHeight="1">
      <c r="A460" s="7">
        <v>142756639</v>
      </c>
      <c r="B460" s="13">
        <v>5540246171933</v>
      </c>
      <c r="C460" s="31">
        <v>44738</v>
      </c>
      <c r="D460" s="8">
        <v>557</v>
      </c>
      <c r="E460" s="14" t="str">
        <f>VLOOKUP(B460, 'Catégorie des articles'!A:E, 4, FALSE)</f>
        <v>CREMERIE</v>
      </c>
      <c r="F460" s="14">
        <f t="shared" si="7"/>
        <v>202206</v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spans="1:21" ht="12.75" customHeight="1">
      <c r="A461" s="7">
        <v>142756639</v>
      </c>
      <c r="B461" s="13">
        <v>5540246176294</v>
      </c>
      <c r="C461" s="31">
        <v>44738</v>
      </c>
      <c r="D461" s="8">
        <v>1448</v>
      </c>
      <c r="E461" s="14" t="str">
        <f>VLOOKUP(B461, 'Catégorie des articles'!A:E, 4, FALSE)</f>
        <v>CREMERIE</v>
      </c>
      <c r="F461" s="14">
        <f t="shared" si="7"/>
        <v>202206</v>
      </c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spans="1:21" ht="12.75" customHeight="1">
      <c r="A462" s="10">
        <v>142756639</v>
      </c>
      <c r="B462" s="15">
        <v>5540246176295</v>
      </c>
      <c r="C462" s="32">
        <v>44738</v>
      </c>
      <c r="D462" s="11">
        <v>5568</v>
      </c>
      <c r="E462" s="14" t="str">
        <f>VLOOKUP(B462, 'Catégorie des articles'!A:E, 4, FALSE)</f>
        <v>CREMERIE</v>
      </c>
      <c r="F462" s="14">
        <f t="shared" si="7"/>
        <v>202206</v>
      </c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spans="1:21" ht="12.75" customHeight="1">
      <c r="A463" s="10">
        <v>142756639</v>
      </c>
      <c r="B463" s="15">
        <v>5540246187987</v>
      </c>
      <c r="C463" s="32">
        <v>44738</v>
      </c>
      <c r="D463" s="11">
        <v>1114</v>
      </c>
      <c r="E463" s="14" t="str">
        <f>VLOOKUP(B463, 'Catégorie des articles'!A:E, 4, FALSE)</f>
        <v>CREMERIE</v>
      </c>
      <c r="F463" s="14">
        <f t="shared" si="7"/>
        <v>202206</v>
      </c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spans="1:21" ht="12.75" customHeight="1">
      <c r="A464" s="7">
        <v>142756639</v>
      </c>
      <c r="B464" s="13">
        <v>5540246188200</v>
      </c>
      <c r="C464" s="31">
        <v>44738</v>
      </c>
      <c r="D464" s="8">
        <v>1485</v>
      </c>
      <c r="E464" s="14" t="str">
        <f>VLOOKUP(B464, 'Catégorie des articles'!A:E, 4, FALSE)</f>
        <v>CREMERIE</v>
      </c>
      <c r="F464" s="14">
        <f t="shared" si="7"/>
        <v>202206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spans="1:21" ht="12.75" customHeight="1">
      <c r="A465" s="10">
        <v>142756640</v>
      </c>
      <c r="B465" s="15">
        <v>5540246172978</v>
      </c>
      <c r="C465" s="32">
        <v>44738</v>
      </c>
      <c r="D465" s="11">
        <v>418</v>
      </c>
      <c r="E465" s="14" t="str">
        <f>VLOOKUP(B465, 'Catégorie des articles'!A:E, 4, FALSE)</f>
        <v>CREMERIE</v>
      </c>
      <c r="F465" s="14">
        <f t="shared" si="7"/>
        <v>202206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spans="1:21" ht="12.75" customHeight="1">
      <c r="A466" s="10">
        <v>142756640</v>
      </c>
      <c r="B466" s="15">
        <v>5540246174174</v>
      </c>
      <c r="C466" s="32">
        <v>44738</v>
      </c>
      <c r="D466" s="11">
        <v>232</v>
      </c>
      <c r="E466" s="14" t="str">
        <f>VLOOKUP(B466, 'Catégorie des articles'!A:E, 4, FALSE)</f>
        <v>CREMERIE</v>
      </c>
      <c r="F466" s="14">
        <f t="shared" si="7"/>
        <v>202206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spans="1:21" ht="12.75" customHeight="1">
      <c r="A467" s="10">
        <v>142756640</v>
      </c>
      <c r="B467" s="15">
        <v>5540246176699</v>
      </c>
      <c r="C467" s="32">
        <v>44738</v>
      </c>
      <c r="D467" s="11">
        <v>2088</v>
      </c>
      <c r="E467" s="14" t="str">
        <f>VLOOKUP(B467, 'Catégorie des articles'!A:E, 4, FALSE)</f>
        <v>CREMERIE</v>
      </c>
      <c r="F467" s="14">
        <f t="shared" si="7"/>
        <v>202206</v>
      </c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spans="1:21" ht="12.75" customHeight="1">
      <c r="A468" s="7">
        <v>142756658</v>
      </c>
      <c r="B468" s="13">
        <v>5540246171933</v>
      </c>
      <c r="C468" s="31">
        <v>44739</v>
      </c>
      <c r="D468" s="8">
        <v>1114</v>
      </c>
      <c r="E468" s="14" t="str">
        <f>VLOOKUP(B468, 'Catégorie des articles'!A:E, 4, FALSE)</f>
        <v>CREMERIE</v>
      </c>
      <c r="F468" s="14">
        <f t="shared" si="7"/>
        <v>202206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spans="1:21" ht="12.75" customHeight="1">
      <c r="A469" s="10">
        <v>142756658</v>
      </c>
      <c r="B469" s="15">
        <v>5540246176294</v>
      </c>
      <c r="C469" s="32">
        <v>44739</v>
      </c>
      <c r="D469" s="11">
        <v>2228</v>
      </c>
      <c r="E469" s="14" t="str">
        <f>VLOOKUP(B469, 'Catégorie des articles'!A:E, 4, FALSE)</f>
        <v>CREMERIE</v>
      </c>
      <c r="F469" s="14">
        <f t="shared" si="7"/>
        <v>202206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spans="1:21" ht="12.75" customHeight="1">
      <c r="A470" s="7">
        <v>142756658</v>
      </c>
      <c r="B470" s="13">
        <v>5540246176295</v>
      </c>
      <c r="C470" s="31">
        <v>44739</v>
      </c>
      <c r="D470" s="8">
        <v>11136</v>
      </c>
      <c r="E470" s="14" t="str">
        <f>VLOOKUP(B470, 'Catégorie des articles'!A:E, 4, FALSE)</f>
        <v>CREMERIE</v>
      </c>
      <c r="F470" s="14">
        <f t="shared" si="7"/>
        <v>202206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1:21" ht="12.75" customHeight="1">
      <c r="A471" s="7">
        <v>142756658</v>
      </c>
      <c r="B471" s="13">
        <v>5540246187987</v>
      </c>
      <c r="C471" s="31">
        <v>44739</v>
      </c>
      <c r="D471" s="8">
        <v>5568</v>
      </c>
      <c r="E471" s="14" t="str">
        <f>VLOOKUP(B471, 'Catégorie des articles'!A:E, 4, FALSE)</f>
        <v>CREMERIE</v>
      </c>
      <c r="F471" s="14">
        <f t="shared" si="7"/>
        <v>202206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spans="1:21" ht="12.75" customHeight="1">
      <c r="A472" s="10">
        <v>142756658</v>
      </c>
      <c r="B472" s="15">
        <v>5540246188200</v>
      </c>
      <c r="C472" s="32">
        <v>44739</v>
      </c>
      <c r="D472" s="11">
        <v>743</v>
      </c>
      <c r="E472" s="14" t="str">
        <f>VLOOKUP(B472, 'Catégorie des articles'!A:E, 4, FALSE)</f>
        <v>CREMERIE</v>
      </c>
      <c r="F472" s="14">
        <f t="shared" si="7"/>
        <v>202206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spans="1:21" ht="12.75" customHeight="1">
      <c r="A473" s="7">
        <v>142756659</v>
      </c>
      <c r="B473" s="13">
        <v>5540246172539</v>
      </c>
      <c r="C473" s="31">
        <v>44739</v>
      </c>
      <c r="D473" s="8">
        <v>35</v>
      </c>
      <c r="E473" s="14" t="str">
        <f>VLOOKUP(B473, 'Catégorie des articles'!A:E, 4, FALSE)</f>
        <v>CREMERIE</v>
      </c>
      <c r="F473" s="14">
        <f t="shared" si="7"/>
        <v>202206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spans="1:21" ht="12.75" customHeight="1">
      <c r="A474" s="10">
        <v>142756659</v>
      </c>
      <c r="B474" s="15">
        <v>5540246172669</v>
      </c>
      <c r="C474" s="32">
        <v>44739</v>
      </c>
      <c r="D474" s="11">
        <v>140</v>
      </c>
      <c r="E474" s="14" t="str">
        <f>VLOOKUP(B474, 'Catégorie des articles'!A:E, 4, FALSE)</f>
        <v>CREMERIE</v>
      </c>
      <c r="F474" s="14">
        <f t="shared" si="7"/>
        <v>202206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spans="1:21" ht="12.75" customHeight="1">
      <c r="A475" s="7">
        <v>142756659</v>
      </c>
      <c r="B475" s="13">
        <v>5540246172978</v>
      </c>
      <c r="C475" s="31">
        <v>44739</v>
      </c>
      <c r="D475" s="8">
        <v>836</v>
      </c>
      <c r="E475" s="14" t="str">
        <f>VLOOKUP(B475, 'Catégorie des articles'!A:E, 4, FALSE)</f>
        <v>CREMERIE</v>
      </c>
      <c r="F475" s="14">
        <f t="shared" si="7"/>
        <v>202206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spans="1:21" ht="12.75" customHeight="1">
      <c r="A476" s="7">
        <v>142756659</v>
      </c>
      <c r="B476" s="13">
        <v>5540246174174</v>
      </c>
      <c r="C476" s="31">
        <v>44739</v>
      </c>
      <c r="D476" s="8">
        <v>464</v>
      </c>
      <c r="E476" s="14" t="str">
        <f>VLOOKUP(B476, 'Catégorie des articles'!A:E, 4, FALSE)</f>
        <v>CREMERIE</v>
      </c>
      <c r="F476" s="14">
        <f t="shared" si="7"/>
        <v>202206</v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spans="1:21" ht="12.75" customHeight="1">
      <c r="A477" s="7">
        <v>142756659</v>
      </c>
      <c r="B477" s="13">
        <v>5540246176699</v>
      </c>
      <c r="C477" s="31">
        <v>44739</v>
      </c>
      <c r="D477" s="8">
        <v>4176</v>
      </c>
      <c r="E477" s="14" t="str">
        <f>VLOOKUP(B477, 'Catégorie des articles'!A:E, 4, FALSE)</f>
        <v>CREMERIE</v>
      </c>
      <c r="F477" s="14">
        <f t="shared" si="7"/>
        <v>202206</v>
      </c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spans="1:21" ht="12.75" customHeight="1">
      <c r="A478" s="10">
        <v>142756659</v>
      </c>
      <c r="B478" s="15">
        <v>5540246188175</v>
      </c>
      <c r="C478" s="32">
        <v>44739</v>
      </c>
      <c r="D478" s="11">
        <v>232</v>
      </c>
      <c r="E478" s="14" t="str">
        <f>VLOOKUP(B478, 'Catégorie des articles'!A:E, 4, FALSE)</f>
        <v>CREMERIE</v>
      </c>
      <c r="F478" s="14">
        <f t="shared" si="7"/>
        <v>202206</v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1:21" ht="12.75" customHeight="1">
      <c r="A479" s="10">
        <v>142756659</v>
      </c>
      <c r="B479" s="15">
        <v>5540246192102</v>
      </c>
      <c r="C479" s="32">
        <v>44739</v>
      </c>
      <c r="D479" s="11">
        <v>2005</v>
      </c>
      <c r="E479" s="14" t="str">
        <f>VLOOKUP(B479, 'Catégorie des articles'!A:E, 4, FALSE)</f>
        <v>CREMERIE</v>
      </c>
      <c r="F479" s="14">
        <f t="shared" si="7"/>
        <v>202206</v>
      </c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spans="1:21" ht="12.75" customHeight="1">
      <c r="A480" s="7">
        <v>142756660</v>
      </c>
      <c r="B480" s="13">
        <v>5540246174095</v>
      </c>
      <c r="C480" s="31">
        <v>44744</v>
      </c>
      <c r="D480" s="8">
        <v>70</v>
      </c>
      <c r="E480" s="14" t="str">
        <f>VLOOKUP(B480, 'Catégorie des articles'!A:E, 4, FALSE)</f>
        <v>CREMERIE</v>
      </c>
      <c r="F480" s="14">
        <f t="shared" si="7"/>
        <v>202207</v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spans="1:21" ht="12.75" customHeight="1">
      <c r="A481" s="10">
        <v>142756660</v>
      </c>
      <c r="B481" s="15">
        <v>5540246175047</v>
      </c>
      <c r="C481" s="32">
        <v>44744</v>
      </c>
      <c r="D481" s="11">
        <v>140</v>
      </c>
      <c r="E481" s="14" t="str">
        <f>VLOOKUP(B481, 'Catégorie des articles'!A:E, 4, FALSE)</f>
        <v>CREMERIE</v>
      </c>
      <c r="F481" s="14">
        <f t="shared" si="7"/>
        <v>202207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spans="1:21" ht="12.75" customHeight="1">
      <c r="A482" s="7">
        <v>142756660</v>
      </c>
      <c r="B482" s="13">
        <v>5540246175049</v>
      </c>
      <c r="C482" s="31">
        <v>44744</v>
      </c>
      <c r="D482" s="8">
        <v>557</v>
      </c>
      <c r="E482" s="14" t="str">
        <f>VLOOKUP(B482, 'Catégorie des articles'!A:E, 4, FALSE)</f>
        <v>CREMERIE</v>
      </c>
      <c r="F482" s="14">
        <f t="shared" si="7"/>
        <v>202207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spans="1:21" ht="12.75" customHeight="1">
      <c r="A483" s="10">
        <v>142756660</v>
      </c>
      <c r="B483" s="15">
        <v>5540246175050</v>
      </c>
      <c r="C483" s="32">
        <v>44744</v>
      </c>
      <c r="D483" s="11">
        <v>836</v>
      </c>
      <c r="E483" s="14" t="str">
        <f>VLOOKUP(B483, 'Catégorie des articles'!A:E, 4, FALSE)</f>
        <v>CREMERIE</v>
      </c>
      <c r="F483" s="14">
        <f t="shared" si="7"/>
        <v>202207</v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spans="1:21" ht="12.75" customHeight="1">
      <c r="A484" s="7">
        <v>142756660</v>
      </c>
      <c r="B484" s="13">
        <v>5540246190743</v>
      </c>
      <c r="C484" s="31">
        <v>44744</v>
      </c>
      <c r="D484" s="8">
        <v>140</v>
      </c>
      <c r="E484" s="14" t="str">
        <f>VLOOKUP(B484, 'Catégorie des articles'!A:E, 4, FALSE)</f>
        <v>CREMERIE</v>
      </c>
      <c r="F484" s="14">
        <f t="shared" si="7"/>
        <v>202207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spans="1:21" ht="12.75" customHeight="1">
      <c r="A485" s="10">
        <v>142756672</v>
      </c>
      <c r="B485" s="15">
        <v>5540246171933</v>
      </c>
      <c r="C485" s="32">
        <v>44742</v>
      </c>
      <c r="D485" s="11">
        <v>557</v>
      </c>
      <c r="E485" s="14" t="str">
        <f>VLOOKUP(B485, 'Catégorie des articles'!A:E, 4, FALSE)</f>
        <v>CREMERIE</v>
      </c>
      <c r="F485" s="14">
        <f t="shared" si="7"/>
        <v>202206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spans="1:21" ht="12.75" customHeight="1">
      <c r="A486" s="7">
        <v>142756672</v>
      </c>
      <c r="B486" s="13">
        <v>5540246176294</v>
      </c>
      <c r="C486" s="31">
        <v>44742</v>
      </c>
      <c r="D486" s="8">
        <v>2970</v>
      </c>
      <c r="E486" s="14" t="str">
        <f>VLOOKUP(B486, 'Catégorie des articles'!A:E, 4, FALSE)</f>
        <v>CREMERIE</v>
      </c>
      <c r="F486" s="14">
        <f t="shared" si="7"/>
        <v>202206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spans="1:21" ht="12.75" customHeight="1">
      <c r="A487" s="10">
        <v>142756672</v>
      </c>
      <c r="B487" s="15">
        <v>5540246176295</v>
      </c>
      <c r="C487" s="32">
        <v>44742</v>
      </c>
      <c r="D487" s="11">
        <v>7424</v>
      </c>
      <c r="E487" s="14" t="str">
        <f>VLOOKUP(B487, 'Catégorie des articles'!A:E, 4, FALSE)</f>
        <v>CREMERIE</v>
      </c>
      <c r="F487" s="14">
        <f t="shared" si="7"/>
        <v>202206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spans="1:21" ht="12.75" customHeight="1">
      <c r="A488" s="10">
        <v>142756672</v>
      </c>
      <c r="B488" s="15">
        <v>5540246187987</v>
      </c>
      <c r="C488" s="32">
        <v>44742</v>
      </c>
      <c r="D488" s="11">
        <v>6682</v>
      </c>
      <c r="E488" s="14" t="str">
        <f>VLOOKUP(B488, 'Catégorie des articles'!A:E, 4, FALSE)</f>
        <v>CREMERIE</v>
      </c>
      <c r="F488" s="14">
        <f t="shared" si="7"/>
        <v>202206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spans="1:21" ht="12.75" customHeight="1">
      <c r="A489" s="7">
        <v>142756672</v>
      </c>
      <c r="B489" s="13">
        <v>5540246188200</v>
      </c>
      <c r="C489" s="31">
        <v>44742</v>
      </c>
      <c r="D489" s="8">
        <v>1485</v>
      </c>
      <c r="E489" s="14" t="str">
        <f>VLOOKUP(B489, 'Catégorie des articles'!A:E, 4, FALSE)</f>
        <v>CREMERIE</v>
      </c>
      <c r="F489" s="14">
        <f t="shared" si="7"/>
        <v>202206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spans="1:21" ht="12.75" customHeight="1">
      <c r="A490" s="10">
        <v>142756674</v>
      </c>
      <c r="B490" s="15">
        <v>5540246172978</v>
      </c>
      <c r="C490" s="32">
        <v>44742</v>
      </c>
      <c r="D490" s="11">
        <v>836</v>
      </c>
      <c r="E490" s="14" t="str">
        <f>VLOOKUP(B490, 'Catégorie des articles'!A:E, 4, FALSE)</f>
        <v>CREMERIE</v>
      </c>
      <c r="F490" s="14">
        <f t="shared" si="7"/>
        <v>202206</v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spans="1:21" ht="12.75" customHeight="1">
      <c r="A491" s="7">
        <v>142756674</v>
      </c>
      <c r="B491" s="13">
        <v>5540246174174</v>
      </c>
      <c r="C491" s="31">
        <v>44742</v>
      </c>
      <c r="D491" s="8">
        <v>464</v>
      </c>
      <c r="E491" s="14" t="str">
        <f>VLOOKUP(B491, 'Catégorie des articles'!A:E, 4, FALSE)</f>
        <v>CREMERIE</v>
      </c>
      <c r="F491" s="14">
        <f t="shared" si="7"/>
        <v>202206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spans="1:21" ht="12.75" customHeight="1">
      <c r="A492" s="7">
        <v>142756674</v>
      </c>
      <c r="B492" s="13">
        <v>5540246176699</v>
      </c>
      <c r="C492" s="31">
        <v>44742</v>
      </c>
      <c r="D492" s="8">
        <v>3132</v>
      </c>
      <c r="E492" s="14" t="str">
        <f>VLOOKUP(B492, 'Catégorie des articles'!A:E, 4, FALSE)</f>
        <v>CREMERIE</v>
      </c>
      <c r="F492" s="14">
        <f t="shared" si="7"/>
        <v>202206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1:21" ht="12.75" customHeight="1">
      <c r="A493" s="10">
        <v>142756677</v>
      </c>
      <c r="B493" s="15">
        <v>5540246185429</v>
      </c>
      <c r="C493" s="32">
        <v>44743</v>
      </c>
      <c r="D493" s="11">
        <v>140</v>
      </c>
      <c r="E493" s="14" t="str">
        <f>VLOOKUP(B493, 'Catégorie des articles'!A:E, 4, FALSE)</f>
        <v>CREMERIE</v>
      </c>
      <c r="F493" s="14">
        <f t="shared" si="7"/>
        <v>202207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spans="1:21" ht="12.75" customHeight="1">
      <c r="A494" s="7">
        <v>142756677</v>
      </c>
      <c r="B494" s="13">
        <v>5540246186325</v>
      </c>
      <c r="C494" s="31">
        <v>44743</v>
      </c>
      <c r="D494" s="8">
        <v>140</v>
      </c>
      <c r="E494" s="14" t="str">
        <f>VLOOKUP(B494, 'Catégorie des articles'!A:E, 4, FALSE)</f>
        <v>CREMERIE</v>
      </c>
      <c r="F494" s="14">
        <f t="shared" si="7"/>
        <v>202207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spans="1:21" ht="12.75" customHeight="1">
      <c r="A495" s="10">
        <v>142756694</v>
      </c>
      <c r="B495" s="15">
        <v>5540246182684</v>
      </c>
      <c r="C495" s="32">
        <v>44746</v>
      </c>
      <c r="D495" s="11">
        <v>325</v>
      </c>
      <c r="E495" s="14" t="str">
        <f>VLOOKUP(B495, 'Catégorie des articles'!A:E, 4, FALSE)</f>
        <v>BOULANGERIE</v>
      </c>
      <c r="F495" s="14">
        <f t="shared" si="7"/>
        <v>202207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spans="1:21" ht="12.75" customHeight="1">
      <c r="A496" s="7">
        <v>142756694</v>
      </c>
      <c r="B496" s="13">
        <v>5540246183844</v>
      </c>
      <c r="C496" s="31">
        <v>44746</v>
      </c>
      <c r="D496" s="8">
        <v>93</v>
      </c>
      <c r="E496" s="14" t="str">
        <f>VLOOKUP(B496, 'Catégorie des articles'!A:E, 4, FALSE)</f>
        <v>BOULANGERIE</v>
      </c>
      <c r="F496" s="14">
        <f t="shared" si="7"/>
        <v>202207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spans="1:21" ht="12.75" customHeight="1">
      <c r="A497" s="10">
        <v>142756696</v>
      </c>
      <c r="B497" s="15">
        <v>5540246192209</v>
      </c>
      <c r="C497" s="32">
        <v>44746</v>
      </c>
      <c r="D497" s="11">
        <v>1114</v>
      </c>
      <c r="E497" s="14" t="str">
        <f>VLOOKUP(B497, 'Catégorie des articles'!A:E, 4, FALSE)</f>
        <v>MIX LEGUMES</v>
      </c>
      <c r="F497" s="14">
        <f t="shared" si="7"/>
        <v>202207</v>
      </c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spans="1:21" ht="12.75" customHeight="1">
      <c r="A498" s="7">
        <v>142756696</v>
      </c>
      <c r="B498" s="13">
        <v>5540246192831</v>
      </c>
      <c r="C498" s="31">
        <v>44746</v>
      </c>
      <c r="D498" s="8">
        <v>1300</v>
      </c>
      <c r="E498" s="14" t="str">
        <f>VLOOKUP(B498, 'Catégorie des articles'!A:E, 4, FALSE)</f>
        <v>MIX LEGUMES</v>
      </c>
      <c r="F498" s="14">
        <f t="shared" si="7"/>
        <v>202207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spans="1:21" ht="12.75" customHeight="1">
      <c r="A499" s="7">
        <v>142766701</v>
      </c>
      <c r="B499" s="13">
        <v>5540246172669</v>
      </c>
      <c r="C499" s="31">
        <v>44743</v>
      </c>
      <c r="D499" s="8">
        <v>140</v>
      </c>
      <c r="E499" s="14" t="str">
        <f>VLOOKUP(B499, 'Catégorie des articles'!A:E, 4, FALSE)</f>
        <v>CREMERIE</v>
      </c>
      <c r="F499" s="14">
        <f t="shared" si="7"/>
        <v>202207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spans="1:21" ht="12.75" customHeight="1">
      <c r="A500" s="10">
        <v>142766701</v>
      </c>
      <c r="B500" s="15">
        <v>5540246174174</v>
      </c>
      <c r="C500" s="32">
        <v>44743</v>
      </c>
      <c r="D500" s="11">
        <v>232</v>
      </c>
      <c r="E500" s="14" t="str">
        <f>VLOOKUP(B500, 'Catégorie des articles'!A:E, 4, FALSE)</f>
        <v>CREMERIE</v>
      </c>
      <c r="F500" s="14">
        <f t="shared" si="7"/>
        <v>202207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spans="1:21" ht="12.75" customHeight="1">
      <c r="A501" s="10">
        <v>142766701</v>
      </c>
      <c r="B501" s="15">
        <v>5540246176699</v>
      </c>
      <c r="C501" s="32">
        <v>44743</v>
      </c>
      <c r="D501" s="11">
        <v>4176</v>
      </c>
      <c r="E501" s="14" t="str">
        <f>VLOOKUP(B501, 'Catégorie des articles'!A:E, 4, FALSE)</f>
        <v>CREMERIE</v>
      </c>
      <c r="F501" s="14">
        <f t="shared" si="7"/>
        <v>202207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 spans="1:21" ht="12.75" customHeight="1">
      <c r="A502" s="10">
        <v>142766701</v>
      </c>
      <c r="B502" s="15">
        <v>5540246188175</v>
      </c>
      <c r="C502" s="32">
        <v>44743</v>
      </c>
      <c r="D502" s="11">
        <v>116</v>
      </c>
      <c r="E502" s="14" t="str">
        <f>VLOOKUP(B502, 'Catégorie des articles'!A:E, 4, FALSE)</f>
        <v>CREMERIE</v>
      </c>
      <c r="F502" s="14">
        <f t="shared" si="7"/>
        <v>202207</v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 spans="1:21" ht="12.75" customHeight="1">
      <c r="A503" s="7">
        <v>142766702</v>
      </c>
      <c r="B503" s="13">
        <v>5540246176295</v>
      </c>
      <c r="C503" s="31">
        <v>44743</v>
      </c>
      <c r="D503" s="8">
        <v>4455</v>
      </c>
      <c r="E503" s="14" t="str">
        <f>VLOOKUP(B503, 'Catégorie des articles'!A:E, 4, FALSE)</f>
        <v>CREMERIE</v>
      </c>
      <c r="F503" s="14">
        <f t="shared" si="7"/>
        <v>202207</v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spans="1:21" ht="12.75" customHeight="1">
      <c r="A504" s="10">
        <v>142766702</v>
      </c>
      <c r="B504" s="15">
        <v>5540246187987</v>
      </c>
      <c r="C504" s="32">
        <v>44743</v>
      </c>
      <c r="D504" s="11">
        <v>4455</v>
      </c>
      <c r="E504" s="14" t="str">
        <f>VLOOKUP(B504, 'Catégorie des articles'!A:E, 4, FALSE)</f>
        <v>CREMERIE</v>
      </c>
      <c r="F504" s="14">
        <f t="shared" si="7"/>
        <v>202207</v>
      </c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 spans="1:21" ht="12.75" customHeight="1">
      <c r="A505" s="7">
        <v>142766702</v>
      </c>
      <c r="B505" s="13">
        <v>5540246188200</v>
      </c>
      <c r="C505" s="31">
        <v>44743</v>
      </c>
      <c r="D505" s="8">
        <v>743</v>
      </c>
      <c r="E505" s="14" t="str">
        <f>VLOOKUP(B505, 'Catégorie des articles'!A:E, 4, FALSE)</f>
        <v>CREMERIE</v>
      </c>
      <c r="F505" s="14">
        <f t="shared" si="7"/>
        <v>202207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 spans="1:21" ht="12.75" customHeight="1">
      <c r="A506" s="10">
        <v>142766704</v>
      </c>
      <c r="B506" s="15">
        <v>5540246174095</v>
      </c>
      <c r="C506" s="32">
        <v>44746</v>
      </c>
      <c r="D506" s="11">
        <v>70</v>
      </c>
      <c r="E506" s="14" t="str">
        <f>VLOOKUP(B506, 'Catégorie des articles'!A:E, 4, FALSE)</f>
        <v>CREMERIE</v>
      </c>
      <c r="F506" s="14">
        <f t="shared" si="7"/>
        <v>202207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 spans="1:21" ht="12.75" customHeight="1">
      <c r="A507" s="7">
        <v>142766704</v>
      </c>
      <c r="B507" s="13">
        <v>5540246175047</v>
      </c>
      <c r="C507" s="31">
        <v>44746</v>
      </c>
      <c r="D507" s="8">
        <v>140</v>
      </c>
      <c r="E507" s="14" t="str">
        <f>VLOOKUP(B507, 'Catégorie des articles'!A:E, 4, FALSE)</f>
        <v>CREMERIE</v>
      </c>
      <c r="F507" s="14">
        <f t="shared" si="7"/>
        <v>202207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spans="1:21" ht="12.75" customHeight="1">
      <c r="A508" s="10">
        <v>142766704</v>
      </c>
      <c r="B508" s="15">
        <v>5540246175049</v>
      </c>
      <c r="C508" s="32">
        <v>44746</v>
      </c>
      <c r="D508" s="11">
        <v>279</v>
      </c>
      <c r="E508" s="14" t="str">
        <f>VLOOKUP(B508, 'Catégorie des articles'!A:E, 4, FALSE)</f>
        <v>CREMERIE</v>
      </c>
      <c r="F508" s="14">
        <f t="shared" si="7"/>
        <v>202207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spans="1:21" ht="12.75" customHeight="1">
      <c r="A509" s="7">
        <v>142766704</v>
      </c>
      <c r="B509" s="13">
        <v>5540246175050</v>
      </c>
      <c r="C509" s="31">
        <v>44746</v>
      </c>
      <c r="D509" s="8">
        <v>279</v>
      </c>
      <c r="E509" s="14" t="str">
        <f>VLOOKUP(B509, 'Catégorie des articles'!A:E, 4, FALSE)</f>
        <v>CREMERIE</v>
      </c>
      <c r="F509" s="14">
        <f t="shared" si="7"/>
        <v>202207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 spans="1:21" ht="12.75" customHeight="1">
      <c r="A510" s="10">
        <v>142766704</v>
      </c>
      <c r="B510" s="15">
        <v>5540246190743</v>
      </c>
      <c r="C510" s="32">
        <v>44746</v>
      </c>
      <c r="D510" s="11">
        <v>140</v>
      </c>
      <c r="E510" s="14" t="str">
        <f>VLOOKUP(B510, 'Catégorie des articles'!A:E, 4, FALSE)</f>
        <v>CREMERIE</v>
      </c>
      <c r="F510" s="14">
        <f t="shared" si="7"/>
        <v>202207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spans="1:21" ht="12.75" customHeight="1">
      <c r="A511" s="10">
        <v>142766705</v>
      </c>
      <c r="B511" s="15">
        <v>5540246177132</v>
      </c>
      <c r="C511" s="32">
        <v>44743</v>
      </c>
      <c r="D511" s="11">
        <v>3225</v>
      </c>
      <c r="E511" s="14" t="str">
        <f>VLOOKUP(B511, 'Catégorie des articles'!A:E, 4, FALSE)</f>
        <v>MIX LEGUMES</v>
      </c>
      <c r="F511" s="14">
        <f t="shared" si="7"/>
        <v>202207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 spans="1:21" ht="12.75" customHeight="1">
      <c r="A512" s="7">
        <v>142766705</v>
      </c>
      <c r="B512" s="13">
        <v>5540246177133</v>
      </c>
      <c r="C512" s="31">
        <v>44743</v>
      </c>
      <c r="D512" s="8">
        <v>4455</v>
      </c>
      <c r="E512" s="14" t="str">
        <f>VLOOKUP(B512, 'Catégorie des articles'!A:E, 4, FALSE)</f>
        <v>MIX LEGUMES</v>
      </c>
      <c r="F512" s="14">
        <f t="shared" si="7"/>
        <v>202207</v>
      </c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spans="1:21" ht="12.75" customHeight="1">
      <c r="A513" s="10">
        <v>142766705</v>
      </c>
      <c r="B513" s="15">
        <v>5540246183542</v>
      </c>
      <c r="C513" s="32">
        <v>44743</v>
      </c>
      <c r="D513" s="11">
        <v>1253</v>
      </c>
      <c r="E513" s="14" t="str">
        <f>VLOOKUP(B513, 'Catégorie des articles'!A:E, 4, FALSE)</f>
        <v>MIX LEGUMES</v>
      </c>
      <c r="F513" s="14">
        <f t="shared" si="7"/>
        <v>202207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spans="1:21" ht="12.75" customHeight="1">
      <c r="A514" s="7">
        <v>142766705</v>
      </c>
      <c r="B514" s="13">
        <v>5540246192148</v>
      </c>
      <c r="C514" s="31">
        <v>44743</v>
      </c>
      <c r="D514" s="8">
        <v>5568</v>
      </c>
      <c r="E514" s="14" t="str">
        <f>VLOOKUP(B514, 'Catégorie des articles'!A:E, 4, FALSE)</f>
        <v>MIX LEGUMES</v>
      </c>
      <c r="F514" s="14">
        <f t="shared" ref="F514:F577" si="8">YEAR(C514)*100 + MONTH(C514)</f>
        <v>202207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 spans="1:21" ht="12.75" customHeight="1">
      <c r="A515" s="10">
        <v>142766705</v>
      </c>
      <c r="B515" s="15">
        <v>5540246192518</v>
      </c>
      <c r="C515" s="32">
        <v>44743</v>
      </c>
      <c r="D515" s="11">
        <v>5847</v>
      </c>
      <c r="E515" s="14" t="str">
        <f>VLOOKUP(B515, 'Catégorie des articles'!A:E, 4, FALSE)</f>
        <v>MIX LEGUMES</v>
      </c>
      <c r="F515" s="14">
        <f t="shared" si="8"/>
        <v>202207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spans="1:21" ht="12.75" customHeight="1">
      <c r="A516" s="7">
        <v>142766712</v>
      </c>
      <c r="B516" s="13">
        <v>5540246173686</v>
      </c>
      <c r="C516" s="31">
        <v>44759</v>
      </c>
      <c r="D516" s="8">
        <v>223</v>
      </c>
      <c r="E516" s="14" t="str">
        <f>VLOOKUP(B516, 'Catégorie des articles'!A:E, 4, FALSE)</f>
        <v>EMBALLAGES</v>
      </c>
      <c r="F516" s="14">
        <f t="shared" si="8"/>
        <v>202207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 spans="1:21" ht="12.75" customHeight="1">
      <c r="A517" s="10">
        <v>143246714</v>
      </c>
      <c r="B517" s="15">
        <v>5540246171933</v>
      </c>
      <c r="C517" s="32">
        <v>44744</v>
      </c>
      <c r="D517" s="11">
        <v>836</v>
      </c>
      <c r="E517" s="14" t="str">
        <f>VLOOKUP(B517, 'Catégorie des articles'!A:E, 4, FALSE)</f>
        <v>CREMERIE</v>
      </c>
      <c r="F517" s="14">
        <f t="shared" si="8"/>
        <v>202207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spans="1:21" ht="12.75" customHeight="1">
      <c r="A518" s="7">
        <v>143246714</v>
      </c>
      <c r="B518" s="13">
        <v>5540246176294</v>
      </c>
      <c r="C518" s="31">
        <v>44744</v>
      </c>
      <c r="D518" s="8">
        <v>1485</v>
      </c>
      <c r="E518" s="14" t="str">
        <f>VLOOKUP(B518, 'Catégorie des articles'!A:E, 4, FALSE)</f>
        <v>CREMERIE</v>
      </c>
      <c r="F518" s="14">
        <f t="shared" si="8"/>
        <v>202207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 spans="1:21" ht="12.75" customHeight="1">
      <c r="A519" s="10">
        <v>143246714</v>
      </c>
      <c r="B519" s="15">
        <v>5540246176295</v>
      </c>
      <c r="C519" s="32">
        <v>44744</v>
      </c>
      <c r="D519" s="11">
        <v>4455</v>
      </c>
      <c r="E519" s="14" t="str">
        <f>VLOOKUP(B519, 'Catégorie des articles'!A:E, 4, FALSE)</f>
        <v>CREMERIE</v>
      </c>
      <c r="F519" s="14">
        <f t="shared" si="8"/>
        <v>202207</v>
      </c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</row>
    <row r="520" spans="1:21" ht="12.75" customHeight="1">
      <c r="A520" s="7">
        <v>143246714</v>
      </c>
      <c r="B520" s="13">
        <v>5540246188200</v>
      </c>
      <c r="C520" s="31">
        <v>44744</v>
      </c>
      <c r="D520" s="8">
        <v>743</v>
      </c>
      <c r="E520" s="14" t="str">
        <f>VLOOKUP(B520, 'Catégorie des articles'!A:E, 4, FALSE)</f>
        <v>CREMERIE</v>
      </c>
      <c r="F520" s="14">
        <f t="shared" si="8"/>
        <v>202207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 spans="1:21" ht="12.75" customHeight="1">
      <c r="A521" s="7">
        <v>143246715</v>
      </c>
      <c r="B521" s="13">
        <v>5540246172978</v>
      </c>
      <c r="C521" s="31">
        <v>44744</v>
      </c>
      <c r="D521" s="8">
        <v>836</v>
      </c>
      <c r="E521" s="14" t="str">
        <f>VLOOKUP(B521, 'Catégorie des articles'!A:E, 4, FALSE)</f>
        <v>CREMERIE</v>
      </c>
      <c r="F521" s="14">
        <f t="shared" si="8"/>
        <v>202207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 spans="1:21" ht="12.75" customHeight="1">
      <c r="A522" s="7">
        <v>143246715</v>
      </c>
      <c r="B522" s="13">
        <v>5540246176699</v>
      </c>
      <c r="C522" s="31">
        <v>44744</v>
      </c>
      <c r="D522" s="8">
        <v>2088</v>
      </c>
      <c r="E522" s="14" t="str">
        <f>VLOOKUP(B522, 'Catégorie des articles'!A:E, 4, FALSE)</f>
        <v>CREMERIE</v>
      </c>
      <c r="F522" s="14">
        <f t="shared" si="8"/>
        <v>202207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spans="1:21" ht="12.75" customHeight="1">
      <c r="A523" s="10">
        <v>143246731</v>
      </c>
      <c r="B523" s="15">
        <v>5540246172669</v>
      </c>
      <c r="C523" s="32">
        <v>44745</v>
      </c>
      <c r="D523" s="11">
        <v>140</v>
      </c>
      <c r="E523" s="14" t="str">
        <f>VLOOKUP(B523, 'Catégorie des articles'!A:E, 4, FALSE)</f>
        <v>CREMERIE</v>
      </c>
      <c r="F523" s="14">
        <f t="shared" si="8"/>
        <v>202207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spans="1:21" ht="12.75" customHeight="1">
      <c r="A524" s="7">
        <v>143246731</v>
      </c>
      <c r="B524" s="13">
        <v>5540246188175</v>
      </c>
      <c r="C524" s="31">
        <v>44745</v>
      </c>
      <c r="D524" s="8">
        <v>116</v>
      </c>
      <c r="E524" s="14" t="str">
        <f>VLOOKUP(B524, 'Catégorie des articles'!A:E, 4, FALSE)</f>
        <v>CREMERIE</v>
      </c>
      <c r="F524" s="14">
        <f t="shared" si="8"/>
        <v>202207</v>
      </c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 spans="1:21" ht="12.75" customHeight="1">
      <c r="A525" s="7">
        <v>143246732</v>
      </c>
      <c r="B525" s="13">
        <v>5540246171933</v>
      </c>
      <c r="C525" s="31">
        <v>44745</v>
      </c>
      <c r="D525" s="8">
        <v>279</v>
      </c>
      <c r="E525" s="14" t="str">
        <f>VLOOKUP(B525, 'Catégorie des articles'!A:E, 4, FALSE)</f>
        <v>CREMERIE</v>
      </c>
      <c r="F525" s="14">
        <f t="shared" si="8"/>
        <v>202207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spans="1:21" ht="12.75" customHeight="1">
      <c r="A526" s="7">
        <v>143246732</v>
      </c>
      <c r="B526" s="13">
        <v>5540246187987</v>
      </c>
      <c r="C526" s="31">
        <v>44745</v>
      </c>
      <c r="D526" s="8">
        <v>2228</v>
      </c>
      <c r="E526" s="14" t="str">
        <f>VLOOKUP(B526, 'Catégorie des articles'!A:E, 4, FALSE)</f>
        <v>CREMERIE</v>
      </c>
      <c r="F526" s="14">
        <f t="shared" si="8"/>
        <v>202207</v>
      </c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 spans="1:21" ht="12.75" customHeight="1">
      <c r="A527" s="10">
        <v>143246732</v>
      </c>
      <c r="B527" s="15">
        <v>5540246188200</v>
      </c>
      <c r="C527" s="32">
        <v>44745</v>
      </c>
      <c r="D527" s="11">
        <v>743</v>
      </c>
      <c r="E527" s="14" t="str">
        <f>VLOOKUP(B527, 'Catégorie des articles'!A:E, 4, FALSE)</f>
        <v>CREMERIE</v>
      </c>
      <c r="F527" s="14">
        <f t="shared" si="8"/>
        <v>202207</v>
      </c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spans="1:21" ht="12.75" customHeight="1">
      <c r="A528" s="7">
        <v>143246741</v>
      </c>
      <c r="B528" s="13">
        <v>5540246183130</v>
      </c>
      <c r="C528" s="31">
        <v>44750</v>
      </c>
      <c r="D528" s="8">
        <v>1003</v>
      </c>
      <c r="E528" s="14" t="str">
        <f>VLOOKUP(B528, 'Catégorie des articles'!A:E, 4, FALSE)</f>
        <v>MIX LEGUMES</v>
      </c>
      <c r="F528" s="14">
        <f t="shared" si="8"/>
        <v>202207</v>
      </c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spans="1:21" ht="12.75" customHeight="1">
      <c r="A529" s="10">
        <v>143246741</v>
      </c>
      <c r="B529" s="15">
        <v>5540246183537</v>
      </c>
      <c r="C529" s="32">
        <v>44750</v>
      </c>
      <c r="D529" s="11">
        <v>961</v>
      </c>
      <c r="E529" s="14" t="str">
        <f>VLOOKUP(B529, 'Catégorie des articles'!A:E, 4, FALSE)</f>
        <v>MIX LEGUMES</v>
      </c>
      <c r="F529" s="14">
        <f t="shared" si="8"/>
        <v>202207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spans="1:21" ht="12.75" customHeight="1">
      <c r="A530" s="7">
        <v>143246742</v>
      </c>
      <c r="B530" s="13">
        <v>5540246170256</v>
      </c>
      <c r="C530" s="31">
        <v>44751</v>
      </c>
      <c r="D530" s="8">
        <v>3174</v>
      </c>
      <c r="E530" s="14" t="str">
        <f>VLOOKUP(B530, 'Catégorie des articles'!A:E, 4, FALSE)</f>
        <v>BOULANGERIE</v>
      </c>
      <c r="F530" s="14">
        <f t="shared" si="8"/>
        <v>202207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spans="1:21" ht="12.75" customHeight="1">
      <c r="A531" s="10">
        <v>143246742</v>
      </c>
      <c r="B531" s="15">
        <v>5540246171888</v>
      </c>
      <c r="C531" s="32">
        <v>44751</v>
      </c>
      <c r="D531" s="11">
        <v>520</v>
      </c>
      <c r="E531" s="14" t="str">
        <f>VLOOKUP(B531, 'Catégorie des articles'!A:E, 4, FALSE)</f>
        <v>BOULANGERIE</v>
      </c>
      <c r="F531" s="14">
        <f t="shared" si="8"/>
        <v>202207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 spans="1:21" ht="12.75" customHeight="1">
      <c r="A532" s="10">
        <v>143246755</v>
      </c>
      <c r="B532" s="15">
        <v>5540246172978</v>
      </c>
      <c r="C532" s="32">
        <v>44746</v>
      </c>
      <c r="D532" s="11">
        <v>836</v>
      </c>
      <c r="E532" s="14" t="str">
        <f>VLOOKUP(B532, 'Catégorie des articles'!A:E, 4, FALSE)</f>
        <v>CREMERIE</v>
      </c>
      <c r="F532" s="14">
        <f t="shared" si="8"/>
        <v>202207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spans="1:21" ht="12.75" customHeight="1">
      <c r="A533" s="10">
        <v>143246755</v>
      </c>
      <c r="B533" s="15">
        <v>5540246174174</v>
      </c>
      <c r="C533" s="32">
        <v>44746</v>
      </c>
      <c r="D533" s="11">
        <v>348</v>
      </c>
      <c r="E533" s="14" t="str">
        <f>VLOOKUP(B533, 'Catégorie des articles'!A:E, 4, FALSE)</f>
        <v>CREMERIE</v>
      </c>
      <c r="F533" s="14">
        <f t="shared" si="8"/>
        <v>202207</v>
      </c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spans="1:21" ht="12.75" customHeight="1">
      <c r="A534" s="10">
        <v>143246756</v>
      </c>
      <c r="B534" s="15">
        <v>5540246171933</v>
      </c>
      <c r="C534" s="32">
        <v>44746</v>
      </c>
      <c r="D534" s="11">
        <v>836</v>
      </c>
      <c r="E534" s="14" t="str">
        <f>VLOOKUP(B534, 'Catégorie des articles'!A:E, 4, FALSE)</f>
        <v>CREMERIE</v>
      </c>
      <c r="F534" s="14">
        <f t="shared" si="8"/>
        <v>202207</v>
      </c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spans="1:21" ht="12.75" customHeight="1">
      <c r="A535" s="7">
        <v>143246756</v>
      </c>
      <c r="B535" s="13">
        <v>5540246176294</v>
      </c>
      <c r="C535" s="31">
        <v>44746</v>
      </c>
      <c r="D535" s="8">
        <v>1485</v>
      </c>
      <c r="E535" s="14" t="str">
        <f>VLOOKUP(B535, 'Catégorie des articles'!A:E, 4, FALSE)</f>
        <v>CREMERIE</v>
      </c>
      <c r="F535" s="14">
        <f t="shared" si="8"/>
        <v>202207</v>
      </c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spans="1:21" ht="12.75" customHeight="1">
      <c r="A536" s="10">
        <v>143246756</v>
      </c>
      <c r="B536" s="15">
        <v>5540246176295</v>
      </c>
      <c r="C536" s="32">
        <v>44746</v>
      </c>
      <c r="D536" s="11">
        <v>3712</v>
      </c>
      <c r="E536" s="14" t="str">
        <f>VLOOKUP(B536, 'Catégorie des articles'!A:E, 4, FALSE)</f>
        <v>CREMERIE</v>
      </c>
      <c r="F536" s="14">
        <f t="shared" si="8"/>
        <v>202207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</row>
    <row r="537" spans="1:21" ht="12.75" customHeight="1">
      <c r="A537" s="7">
        <v>143246756</v>
      </c>
      <c r="B537" s="13">
        <v>5540246187987</v>
      </c>
      <c r="C537" s="31">
        <v>44746</v>
      </c>
      <c r="D537" s="8">
        <v>3341</v>
      </c>
      <c r="E537" s="14" t="str">
        <f>VLOOKUP(B537, 'Catégorie des articles'!A:E, 4, FALSE)</f>
        <v>CREMERIE</v>
      </c>
      <c r="F537" s="14">
        <f t="shared" si="8"/>
        <v>202207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spans="1:21" ht="12.75" customHeight="1">
      <c r="A538" s="10">
        <v>143246756</v>
      </c>
      <c r="B538" s="15">
        <v>5540246188200</v>
      </c>
      <c r="C538" s="32">
        <v>44746</v>
      </c>
      <c r="D538" s="11">
        <v>743</v>
      </c>
      <c r="E538" s="14" t="str">
        <f>VLOOKUP(B538, 'Catégorie des articles'!A:E, 4, FALSE)</f>
        <v>CREMERIE</v>
      </c>
      <c r="F538" s="14">
        <f t="shared" si="8"/>
        <v>202207</v>
      </c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 spans="1:21" ht="12.75" customHeight="1">
      <c r="A539" s="7">
        <v>143246759</v>
      </c>
      <c r="B539" s="13">
        <v>5540246175047</v>
      </c>
      <c r="C539" s="31">
        <v>44751</v>
      </c>
      <c r="D539" s="8">
        <v>418</v>
      </c>
      <c r="E539" s="14" t="str">
        <f>VLOOKUP(B539, 'Catégorie des articles'!A:E, 4, FALSE)</f>
        <v>CREMERIE</v>
      </c>
      <c r="F539" s="14">
        <f t="shared" si="8"/>
        <v>202207</v>
      </c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 spans="1:21" ht="12.75" customHeight="1">
      <c r="A540" s="10">
        <v>143246759</v>
      </c>
      <c r="B540" s="15">
        <v>5540246175049</v>
      </c>
      <c r="C540" s="32">
        <v>44751</v>
      </c>
      <c r="D540" s="11">
        <v>557</v>
      </c>
      <c r="E540" s="14" t="str">
        <f>VLOOKUP(B540, 'Catégorie des articles'!A:E, 4, FALSE)</f>
        <v>CREMERIE</v>
      </c>
      <c r="F540" s="14">
        <f t="shared" si="8"/>
        <v>202207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spans="1:21" ht="12.75" customHeight="1">
      <c r="A541" s="7">
        <v>143246759</v>
      </c>
      <c r="B541" s="13">
        <v>5540246175050</v>
      </c>
      <c r="C541" s="31">
        <v>44751</v>
      </c>
      <c r="D541" s="8">
        <v>557</v>
      </c>
      <c r="E541" s="14" t="str">
        <f>VLOOKUP(B541, 'Catégorie des articles'!A:E, 4, FALSE)</f>
        <v>CREMERIE</v>
      </c>
      <c r="F541" s="14">
        <f t="shared" si="8"/>
        <v>202207</v>
      </c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 spans="1:21" ht="12.75" customHeight="1">
      <c r="A542" s="10">
        <v>143246763</v>
      </c>
      <c r="B542" s="15">
        <v>5540246188583</v>
      </c>
      <c r="C542" s="32">
        <v>44749</v>
      </c>
      <c r="D542" s="11">
        <v>2228</v>
      </c>
      <c r="E542" s="14" t="str">
        <f>VLOOKUP(B542, 'Catégorie des articles'!A:E, 4, FALSE)</f>
        <v>BOULANGERIE</v>
      </c>
      <c r="F542" s="14">
        <f t="shared" si="8"/>
        <v>202207</v>
      </c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spans="1:21" ht="12.75" customHeight="1">
      <c r="A543" s="7">
        <v>143246764</v>
      </c>
      <c r="B543" s="13">
        <v>5540246192264</v>
      </c>
      <c r="C543" s="31">
        <v>44772</v>
      </c>
      <c r="D543" s="8">
        <v>1485</v>
      </c>
      <c r="E543" s="14" t="str">
        <f>VLOOKUP(B543, 'Catégorie des articles'!A:E, 4, FALSE)</f>
        <v>CREMERIE</v>
      </c>
      <c r="F543" s="14">
        <f t="shared" si="8"/>
        <v>202207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spans="1:21" ht="12.75" customHeight="1">
      <c r="A544" s="10">
        <v>143246764</v>
      </c>
      <c r="B544" s="15">
        <v>5540246192265</v>
      </c>
      <c r="C544" s="32">
        <v>44772</v>
      </c>
      <c r="D544" s="11">
        <v>297</v>
      </c>
      <c r="E544" s="14" t="str">
        <f>VLOOKUP(B544, 'Catégorie des articles'!A:E, 4, FALSE)</f>
        <v>CREMERIE</v>
      </c>
      <c r="F544" s="14">
        <f t="shared" si="8"/>
        <v>202207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 spans="1:21" ht="12.75" customHeight="1">
      <c r="A545" s="7">
        <v>143246771</v>
      </c>
      <c r="B545" s="13">
        <v>5540246181061</v>
      </c>
      <c r="C545" s="31">
        <v>44753</v>
      </c>
      <c r="D545" s="8">
        <v>2998</v>
      </c>
      <c r="E545" s="14" t="str">
        <f>VLOOKUP(B545, 'Catégorie des articles'!A:E, 4, FALSE)</f>
        <v>VOLAILLE</v>
      </c>
      <c r="F545" s="14">
        <f t="shared" si="8"/>
        <v>202207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spans="1:21" ht="12.75" customHeight="1">
      <c r="A546" s="10">
        <v>143246771</v>
      </c>
      <c r="B546" s="15">
        <v>5540246183547</v>
      </c>
      <c r="C546" s="32">
        <v>44753</v>
      </c>
      <c r="D546" s="11">
        <v>3341</v>
      </c>
      <c r="E546" s="14" t="str">
        <f>VLOOKUP(B546, 'Catégorie des articles'!A:E, 4, FALSE)</f>
        <v>VOLAILLE</v>
      </c>
      <c r="F546" s="14">
        <f t="shared" si="8"/>
        <v>202207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spans="1:21" ht="12.75" customHeight="1">
      <c r="A547" s="7">
        <v>143246771</v>
      </c>
      <c r="B547" s="13">
        <v>5540246185278</v>
      </c>
      <c r="C547" s="31">
        <v>44753</v>
      </c>
      <c r="D547" s="8">
        <v>1120</v>
      </c>
      <c r="E547" s="14" t="str">
        <f>VLOOKUP(B547, 'Catégorie des articles'!A:E, 4, FALSE)</f>
        <v>VOLAILLE</v>
      </c>
      <c r="F547" s="14">
        <f t="shared" si="8"/>
        <v>202207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spans="1:21" ht="12.75" customHeight="1">
      <c r="A548" s="10">
        <v>143246772</v>
      </c>
      <c r="B548" s="15">
        <v>5540246192907</v>
      </c>
      <c r="C548" s="32">
        <v>44773</v>
      </c>
      <c r="D548" s="11">
        <v>6682</v>
      </c>
      <c r="E548" s="14" t="str">
        <f>VLOOKUP(B548, 'Catégorie des articles'!A:E, 4, FALSE)</f>
        <v>VOLAILLE</v>
      </c>
      <c r="F548" s="14">
        <f t="shared" si="8"/>
        <v>202207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spans="1:21" ht="12.75" customHeight="1">
      <c r="A549" s="7">
        <v>143246775</v>
      </c>
      <c r="B549" s="13">
        <v>5540246177132</v>
      </c>
      <c r="C549" s="31">
        <v>44749</v>
      </c>
      <c r="D549" s="8">
        <v>3248</v>
      </c>
      <c r="E549" s="14" t="str">
        <f>VLOOKUP(B549, 'Catégorie des articles'!A:E, 4, FALSE)</f>
        <v>MIX LEGUMES</v>
      </c>
      <c r="F549" s="14">
        <f t="shared" si="8"/>
        <v>202207</v>
      </c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 spans="1:21" ht="12.75" customHeight="1">
      <c r="A550" s="10">
        <v>143246775</v>
      </c>
      <c r="B550" s="15">
        <v>5540246177133</v>
      </c>
      <c r="C550" s="32">
        <v>44749</v>
      </c>
      <c r="D550" s="11">
        <v>5568</v>
      </c>
      <c r="E550" s="14" t="str">
        <f>VLOOKUP(B550, 'Catégorie des articles'!A:E, 4, FALSE)</f>
        <v>MIX LEGUMES</v>
      </c>
      <c r="F550" s="14">
        <f t="shared" si="8"/>
        <v>202207</v>
      </c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spans="1:21" ht="12.75" customHeight="1">
      <c r="A551" s="7">
        <v>143246775</v>
      </c>
      <c r="B551" s="13">
        <v>5540246192148</v>
      </c>
      <c r="C551" s="31">
        <v>44749</v>
      </c>
      <c r="D551" s="8">
        <v>11136</v>
      </c>
      <c r="E551" s="14" t="str">
        <f>VLOOKUP(B551, 'Catégorie des articles'!A:E, 4, FALSE)</f>
        <v>MIX LEGUMES</v>
      </c>
      <c r="F551" s="14">
        <f t="shared" si="8"/>
        <v>202207</v>
      </c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</row>
    <row r="552" spans="1:21" ht="12.75" customHeight="1">
      <c r="A552" s="10">
        <v>143246775</v>
      </c>
      <c r="B552" s="15">
        <v>5540246192518</v>
      </c>
      <c r="C552" s="32">
        <v>44749</v>
      </c>
      <c r="D552" s="11">
        <v>2924</v>
      </c>
      <c r="E552" s="14" t="str">
        <f>VLOOKUP(B552, 'Catégorie des articles'!A:E, 4, FALSE)</f>
        <v>MIX LEGUMES</v>
      </c>
      <c r="F552" s="14">
        <f t="shared" si="8"/>
        <v>202207</v>
      </c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spans="1:21" ht="12.75" customHeight="1">
      <c r="A553" s="10">
        <v>143246782</v>
      </c>
      <c r="B553" s="15">
        <v>5540246193316</v>
      </c>
      <c r="C553" s="32">
        <v>44753</v>
      </c>
      <c r="D553" s="11">
        <v>335</v>
      </c>
      <c r="E553" s="14" t="str">
        <f>VLOOKUP(B553, 'Catégorie des articles'!A:E, 4, FALSE)</f>
        <v>BOULANGERIE</v>
      </c>
      <c r="F553" s="14">
        <f t="shared" si="8"/>
        <v>202207</v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spans="1:21" ht="12.75" customHeight="1">
      <c r="A554" s="10">
        <v>143246791</v>
      </c>
      <c r="B554" s="15">
        <v>5540246171933</v>
      </c>
      <c r="C554" s="32">
        <v>44749</v>
      </c>
      <c r="D554" s="11">
        <v>1114</v>
      </c>
      <c r="E554" s="14" t="str">
        <f>VLOOKUP(B554, 'Catégorie des articles'!A:E, 4, FALSE)</f>
        <v>CREMERIE</v>
      </c>
      <c r="F554" s="14">
        <f t="shared" si="8"/>
        <v>202207</v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spans="1:21" ht="12.75" customHeight="1">
      <c r="A555" s="10">
        <v>143246791</v>
      </c>
      <c r="B555" s="15">
        <v>5540246176294</v>
      </c>
      <c r="C555" s="32">
        <v>44749</v>
      </c>
      <c r="D555" s="11">
        <v>1485</v>
      </c>
      <c r="E555" s="14" t="str">
        <f>VLOOKUP(B555, 'Catégorie des articles'!A:E, 4, FALSE)</f>
        <v>CREMERIE</v>
      </c>
      <c r="F555" s="14">
        <f t="shared" si="8"/>
        <v>202207</v>
      </c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</row>
    <row r="556" spans="1:21" ht="12.75" customHeight="1">
      <c r="A556" s="7">
        <v>143246791</v>
      </c>
      <c r="B556" s="13">
        <v>5540246176295</v>
      </c>
      <c r="C556" s="31">
        <v>44749</v>
      </c>
      <c r="D556" s="8">
        <v>4455</v>
      </c>
      <c r="E556" s="14" t="str">
        <f>VLOOKUP(B556, 'Catégorie des articles'!A:E, 4, FALSE)</f>
        <v>CREMERIE</v>
      </c>
      <c r="F556" s="14">
        <f t="shared" si="8"/>
        <v>202207</v>
      </c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</row>
    <row r="557" spans="1:21" ht="12.75" customHeight="1">
      <c r="A557" s="10">
        <v>143246791</v>
      </c>
      <c r="B557" s="15">
        <v>5540246188200</v>
      </c>
      <c r="C557" s="32">
        <v>44749</v>
      </c>
      <c r="D557" s="11">
        <v>1448</v>
      </c>
      <c r="E557" s="14" t="str">
        <f>VLOOKUP(B557, 'Catégorie des articles'!A:E, 4, FALSE)</f>
        <v>CREMERIE</v>
      </c>
      <c r="F557" s="14">
        <f t="shared" si="8"/>
        <v>202207</v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</row>
    <row r="558" spans="1:21" ht="12.75" customHeight="1">
      <c r="A558" s="10">
        <v>143246793</v>
      </c>
      <c r="B558" s="15">
        <v>5540246172669</v>
      </c>
      <c r="C558" s="32">
        <v>44749</v>
      </c>
      <c r="D558" s="11">
        <v>279</v>
      </c>
      <c r="E558" s="14" t="str">
        <f>VLOOKUP(B558, 'Catégorie des articles'!A:E, 4, FALSE)</f>
        <v>CREMERIE</v>
      </c>
      <c r="F558" s="14">
        <f t="shared" si="8"/>
        <v>202207</v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spans="1:21" ht="12.75" customHeight="1">
      <c r="A559" s="7">
        <v>143246793</v>
      </c>
      <c r="B559" s="13">
        <v>5540246174174</v>
      </c>
      <c r="C559" s="31">
        <v>44749</v>
      </c>
      <c r="D559" s="8">
        <v>464</v>
      </c>
      <c r="E559" s="14" t="str">
        <f>VLOOKUP(B559, 'Catégorie des articles'!A:E, 4, FALSE)</f>
        <v>CREMERIE</v>
      </c>
      <c r="F559" s="14">
        <f t="shared" si="8"/>
        <v>202207</v>
      </c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</row>
    <row r="560" spans="1:21" ht="12.75" customHeight="1">
      <c r="A560" s="10">
        <v>143246793</v>
      </c>
      <c r="B560" s="15">
        <v>5540246188175</v>
      </c>
      <c r="C560" s="32">
        <v>44749</v>
      </c>
      <c r="D560" s="11">
        <v>116</v>
      </c>
      <c r="E560" s="14" t="str">
        <f>VLOOKUP(B560, 'Catégorie des articles'!A:E, 4, FALSE)</f>
        <v>CREMERIE</v>
      </c>
      <c r="F560" s="14">
        <f t="shared" si="8"/>
        <v>202207</v>
      </c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spans="1:21" ht="12.75" customHeight="1">
      <c r="A561" s="10">
        <v>143246802</v>
      </c>
      <c r="B561" s="15">
        <v>5540246180522</v>
      </c>
      <c r="C561" s="32">
        <v>44749</v>
      </c>
      <c r="D561" s="11">
        <v>557</v>
      </c>
      <c r="E561" s="14" t="str">
        <f>VLOOKUP(B561, 'Catégorie des articles'!A:E, 4, FALSE)</f>
        <v>BOULANGERIE</v>
      </c>
      <c r="F561" s="14">
        <f t="shared" si="8"/>
        <v>202207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</row>
    <row r="562" spans="1:21" ht="12.75" customHeight="1">
      <c r="A562" s="7">
        <v>143246803</v>
      </c>
      <c r="B562" s="13">
        <v>5540246180522</v>
      </c>
      <c r="C562" s="31">
        <v>44759</v>
      </c>
      <c r="D562" s="8">
        <v>891</v>
      </c>
      <c r="E562" s="14" t="str">
        <f>VLOOKUP(B562, 'Catégorie des articles'!A:E, 4, FALSE)</f>
        <v>BOULANGERIE</v>
      </c>
      <c r="F562" s="14">
        <f t="shared" si="8"/>
        <v>202207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spans="1:21" ht="12.75" customHeight="1">
      <c r="A563" s="7">
        <v>143246815</v>
      </c>
      <c r="B563" s="13">
        <v>5540246171933</v>
      </c>
      <c r="C563" s="31">
        <v>44750</v>
      </c>
      <c r="D563" s="8">
        <v>557</v>
      </c>
      <c r="E563" s="14" t="str">
        <f>VLOOKUP(B563, 'Catégorie des articles'!A:E, 4, FALSE)</f>
        <v>CREMERIE</v>
      </c>
      <c r="F563" s="14">
        <f t="shared" si="8"/>
        <v>202207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spans="1:21" ht="12.75" customHeight="1">
      <c r="A564" s="10">
        <v>143246815</v>
      </c>
      <c r="B564" s="15">
        <v>5540246187987</v>
      </c>
      <c r="C564" s="32">
        <v>44750</v>
      </c>
      <c r="D564" s="11">
        <v>2228</v>
      </c>
      <c r="E564" s="14" t="str">
        <f>VLOOKUP(B564, 'Catégorie des articles'!A:E, 4, FALSE)</f>
        <v>CREMERIE</v>
      </c>
      <c r="F564" s="14">
        <f t="shared" si="8"/>
        <v>202207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spans="1:21" ht="12.75" customHeight="1">
      <c r="A565" s="7">
        <v>143246815</v>
      </c>
      <c r="B565" s="13">
        <v>5540246188200</v>
      </c>
      <c r="C565" s="31">
        <v>44750</v>
      </c>
      <c r="D565" s="8">
        <v>1485</v>
      </c>
      <c r="E565" s="14" t="str">
        <f>VLOOKUP(B565, 'Catégorie des articles'!A:E, 4, FALSE)</f>
        <v>CREMERIE</v>
      </c>
      <c r="F565" s="14">
        <f t="shared" si="8"/>
        <v>202207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spans="1:21" ht="12.75" customHeight="1">
      <c r="A566" s="7">
        <v>143246816</v>
      </c>
      <c r="B566" s="13">
        <v>5540246172539</v>
      </c>
      <c r="C566" s="31">
        <v>44750</v>
      </c>
      <c r="D566" s="8">
        <v>47</v>
      </c>
      <c r="E566" s="14" t="str">
        <f>VLOOKUP(B566, 'Catégorie des articles'!A:E, 4, FALSE)</f>
        <v>CREMERIE</v>
      </c>
      <c r="F566" s="14">
        <f t="shared" si="8"/>
        <v>202207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</row>
    <row r="567" spans="1:21" ht="12.75" customHeight="1">
      <c r="A567" s="10">
        <v>143246816</v>
      </c>
      <c r="B567" s="15">
        <v>5540246172669</v>
      </c>
      <c r="C567" s="32">
        <v>44750</v>
      </c>
      <c r="D567" s="11">
        <v>279</v>
      </c>
      <c r="E567" s="14" t="str">
        <f>VLOOKUP(B567, 'Catégorie des articles'!A:E, 4, FALSE)</f>
        <v>CREMERIE</v>
      </c>
      <c r="F567" s="14">
        <f t="shared" si="8"/>
        <v>202207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spans="1:21" ht="12.75" customHeight="1">
      <c r="A568" s="7">
        <v>143246816</v>
      </c>
      <c r="B568" s="13">
        <v>5540246172978</v>
      </c>
      <c r="C568" s="31">
        <v>44750</v>
      </c>
      <c r="D568" s="8">
        <v>1671</v>
      </c>
      <c r="E568" s="14" t="str">
        <f>VLOOKUP(B568, 'Catégorie des articles'!A:E, 4, FALSE)</f>
        <v>CREMERIE</v>
      </c>
      <c r="F568" s="14">
        <f t="shared" si="8"/>
        <v>202207</v>
      </c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spans="1:21" ht="12.75" customHeight="1">
      <c r="A569" s="7">
        <v>143246816</v>
      </c>
      <c r="B569" s="13">
        <v>5540246174174</v>
      </c>
      <c r="C569" s="31">
        <v>44750</v>
      </c>
      <c r="D569" s="8">
        <v>464</v>
      </c>
      <c r="E569" s="14" t="str">
        <f>VLOOKUP(B569, 'Catégorie des articles'!A:E, 4, FALSE)</f>
        <v>CREMERIE</v>
      </c>
      <c r="F569" s="14">
        <f t="shared" si="8"/>
        <v>202207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spans="1:21" ht="12.75" customHeight="1">
      <c r="A570" s="7">
        <v>143246816</v>
      </c>
      <c r="B570" s="13">
        <v>5540246176699</v>
      </c>
      <c r="C570" s="31">
        <v>44750</v>
      </c>
      <c r="D570" s="8">
        <v>6264</v>
      </c>
      <c r="E570" s="14" t="str">
        <f>VLOOKUP(B570, 'Catégorie des articles'!A:E, 4, FALSE)</f>
        <v>CREMERIE</v>
      </c>
      <c r="F570" s="14">
        <f t="shared" si="8"/>
        <v>202207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</row>
    <row r="571" spans="1:21" ht="12.75" customHeight="1">
      <c r="A571" s="10">
        <v>143246816</v>
      </c>
      <c r="B571" s="15">
        <v>5540246192102</v>
      </c>
      <c r="C571" s="32">
        <v>44750</v>
      </c>
      <c r="D571" s="11">
        <v>4009</v>
      </c>
      <c r="E571" s="14" t="str">
        <f>VLOOKUP(B571, 'Catégorie des articles'!A:E, 4, FALSE)</f>
        <v>CREMERIE</v>
      </c>
      <c r="F571" s="14">
        <f t="shared" si="8"/>
        <v>202207</v>
      </c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</row>
    <row r="572" spans="1:21" ht="12.75" customHeight="1">
      <c r="A572" s="10">
        <v>143246818</v>
      </c>
      <c r="B572" s="15">
        <v>5540246173906</v>
      </c>
      <c r="C572" s="32">
        <v>44758</v>
      </c>
      <c r="D572" s="11">
        <v>2450</v>
      </c>
      <c r="E572" s="14" t="str">
        <f>VLOOKUP(B572, 'Catégorie des articles'!A:E, 4, FALSE)</f>
        <v>VOLAILLE</v>
      </c>
      <c r="F572" s="14">
        <f t="shared" si="8"/>
        <v>202207</v>
      </c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</row>
    <row r="573" spans="1:21" ht="12.75" customHeight="1">
      <c r="A573" s="7">
        <v>143246818</v>
      </c>
      <c r="B573" s="13">
        <v>5540246181016</v>
      </c>
      <c r="C573" s="31">
        <v>44758</v>
      </c>
      <c r="D573" s="8">
        <v>10691</v>
      </c>
      <c r="E573" s="14" t="str">
        <f>VLOOKUP(B573, 'Catégorie des articles'!A:E, 4, FALSE)</f>
        <v>VOLAILLE</v>
      </c>
      <c r="F573" s="14">
        <f t="shared" si="8"/>
        <v>202207</v>
      </c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spans="1:21" ht="12.75" customHeight="1">
      <c r="A574" s="7">
        <v>143246822</v>
      </c>
      <c r="B574" s="13">
        <v>5540246174095</v>
      </c>
      <c r="C574" s="31">
        <v>44753</v>
      </c>
      <c r="D574" s="8">
        <v>70</v>
      </c>
      <c r="E574" s="14" t="str">
        <f>VLOOKUP(B574, 'Catégorie des articles'!A:E, 4, FALSE)</f>
        <v>CREMERIE</v>
      </c>
      <c r="F574" s="14">
        <f t="shared" si="8"/>
        <v>202207</v>
      </c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spans="1:21" ht="12.75" customHeight="1">
      <c r="A575" s="10">
        <v>143246822</v>
      </c>
      <c r="B575" s="15">
        <v>5540246175049</v>
      </c>
      <c r="C575" s="32">
        <v>44753</v>
      </c>
      <c r="D575" s="11">
        <v>836</v>
      </c>
      <c r="E575" s="14" t="str">
        <f>VLOOKUP(B575, 'Catégorie des articles'!A:E, 4, FALSE)</f>
        <v>CREMERIE</v>
      </c>
      <c r="F575" s="14">
        <f t="shared" si="8"/>
        <v>202207</v>
      </c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</row>
    <row r="576" spans="1:21" ht="12.75" customHeight="1">
      <c r="A576" s="7">
        <v>143246822</v>
      </c>
      <c r="B576" s="13">
        <v>5540246175050</v>
      </c>
      <c r="C576" s="31">
        <v>44753</v>
      </c>
      <c r="D576" s="8">
        <v>557</v>
      </c>
      <c r="E576" s="14" t="str">
        <f>VLOOKUP(B576, 'Catégorie des articles'!A:E, 4, FALSE)</f>
        <v>CREMERIE</v>
      </c>
      <c r="F576" s="14">
        <f t="shared" si="8"/>
        <v>202207</v>
      </c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</row>
    <row r="577" spans="1:21" ht="12.75" customHeight="1">
      <c r="A577" s="10">
        <v>143246822</v>
      </c>
      <c r="B577" s="15">
        <v>5540246190743</v>
      </c>
      <c r="C577" s="32">
        <v>44753</v>
      </c>
      <c r="D577" s="11">
        <v>279</v>
      </c>
      <c r="E577" s="14" t="str">
        <f>VLOOKUP(B577, 'Catégorie des articles'!A:E, 4, FALSE)</f>
        <v>CREMERIE</v>
      </c>
      <c r="F577" s="14">
        <f t="shared" si="8"/>
        <v>202207</v>
      </c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</row>
    <row r="578" spans="1:21" ht="12.75" customHeight="1">
      <c r="A578" s="10">
        <v>143246823</v>
      </c>
      <c r="B578" s="15">
        <v>5540246176699</v>
      </c>
      <c r="C578" s="32">
        <v>44746</v>
      </c>
      <c r="D578" s="11">
        <v>5012</v>
      </c>
      <c r="E578" s="14" t="str">
        <f>VLOOKUP(B578, 'Catégorie des articles'!A:E, 4, FALSE)</f>
        <v>CREMERIE</v>
      </c>
      <c r="F578" s="14">
        <f t="shared" ref="F578:F641" si="9">YEAR(C578)*100 + MONTH(C578)</f>
        <v>202207</v>
      </c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spans="1:21" ht="12.75" customHeight="1">
      <c r="A579" s="10">
        <v>143246827</v>
      </c>
      <c r="B579" s="15">
        <v>5540246171759</v>
      </c>
      <c r="C579" s="32">
        <v>44751</v>
      </c>
      <c r="D579" s="11">
        <v>1253</v>
      </c>
      <c r="E579" s="14" t="str">
        <f>VLOOKUP(B579, 'Catégorie des articles'!A:E, 4, FALSE)</f>
        <v>MIX LEGUMES</v>
      </c>
      <c r="F579" s="14">
        <f t="shared" si="9"/>
        <v>202207</v>
      </c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</row>
    <row r="580" spans="1:21" ht="12.75" customHeight="1">
      <c r="A580" s="7">
        <v>143246827</v>
      </c>
      <c r="B580" s="13">
        <v>5540246192148</v>
      </c>
      <c r="C580" s="31">
        <v>44751</v>
      </c>
      <c r="D580" s="8">
        <v>30624</v>
      </c>
      <c r="E580" s="14" t="str">
        <f>VLOOKUP(B580, 'Catégorie des articles'!A:E, 4, FALSE)</f>
        <v>MIX LEGUMES</v>
      </c>
      <c r="F580" s="14">
        <f t="shared" si="9"/>
        <v>202207</v>
      </c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spans="1:21" ht="12.75" customHeight="1">
      <c r="A581" s="10">
        <v>143246827</v>
      </c>
      <c r="B581" s="15">
        <v>5540246192518</v>
      </c>
      <c r="C581" s="32">
        <v>44751</v>
      </c>
      <c r="D581" s="11">
        <v>8770</v>
      </c>
      <c r="E581" s="14" t="str">
        <f>VLOOKUP(B581, 'Catégorie des articles'!A:E, 4, FALSE)</f>
        <v>MIX LEGUMES</v>
      </c>
      <c r="F581" s="14">
        <f t="shared" si="9"/>
        <v>202207</v>
      </c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</row>
    <row r="582" spans="1:21" ht="12.75" customHeight="1">
      <c r="A582" s="7">
        <v>143256847</v>
      </c>
      <c r="B582" s="13">
        <v>5540246172978</v>
      </c>
      <c r="C582" s="31">
        <v>44751</v>
      </c>
      <c r="D582" s="8">
        <v>251</v>
      </c>
      <c r="E582" s="14" t="str">
        <f>VLOOKUP(B582, 'Catégorie des articles'!A:E, 4, FALSE)</f>
        <v>CREMERIE</v>
      </c>
      <c r="F582" s="14">
        <f t="shared" si="9"/>
        <v>202207</v>
      </c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</row>
    <row r="583" spans="1:21" ht="12.75" customHeight="1">
      <c r="A583" s="7">
        <v>143256847</v>
      </c>
      <c r="B583" s="13">
        <v>5540246188175</v>
      </c>
      <c r="C583" s="31">
        <v>44751</v>
      </c>
      <c r="D583" s="8">
        <v>116</v>
      </c>
      <c r="E583" s="14" t="str">
        <f>VLOOKUP(B583, 'Catégorie des articles'!A:E, 4, FALSE)</f>
        <v>CREMERIE</v>
      </c>
      <c r="F583" s="14">
        <f t="shared" si="9"/>
        <v>202207</v>
      </c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</row>
    <row r="584" spans="1:21" ht="12.75" customHeight="1">
      <c r="A584" s="10">
        <v>143256866</v>
      </c>
      <c r="B584" s="15">
        <v>5540246183130</v>
      </c>
      <c r="C584" s="32">
        <v>44757</v>
      </c>
      <c r="D584" s="11">
        <v>1692</v>
      </c>
      <c r="E584" s="14" t="str">
        <f>VLOOKUP(B584, 'Catégorie des articles'!A:E, 4, FALSE)</f>
        <v>MIX LEGUMES</v>
      </c>
      <c r="F584" s="14">
        <f t="shared" si="9"/>
        <v>202207</v>
      </c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</row>
    <row r="585" spans="1:21" ht="12.75" customHeight="1">
      <c r="A585" s="7">
        <v>143256870</v>
      </c>
      <c r="B585" s="13">
        <v>5540246185429</v>
      </c>
      <c r="C585" s="31">
        <v>44753</v>
      </c>
      <c r="D585" s="8">
        <v>84</v>
      </c>
      <c r="E585" s="14" t="str">
        <f>VLOOKUP(B585, 'Catégorie des articles'!A:E, 4, FALSE)</f>
        <v>CREMERIE</v>
      </c>
      <c r="F585" s="14">
        <f t="shared" si="9"/>
        <v>202207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</row>
    <row r="586" spans="1:21" ht="12.75" customHeight="1">
      <c r="A586" s="10">
        <v>143256876</v>
      </c>
      <c r="B586" s="15">
        <v>5540246176295</v>
      </c>
      <c r="C586" s="32">
        <v>44753</v>
      </c>
      <c r="D586" s="11">
        <v>4455</v>
      </c>
      <c r="E586" s="14" t="str">
        <f>VLOOKUP(B586, 'Catégorie des articles'!A:E, 4, FALSE)</f>
        <v>CREMERIE</v>
      </c>
      <c r="F586" s="14">
        <f t="shared" si="9"/>
        <v>202207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</row>
    <row r="587" spans="1:21" ht="12.75" customHeight="1">
      <c r="A587" s="7">
        <v>143256876</v>
      </c>
      <c r="B587" s="13">
        <v>5540246187987</v>
      </c>
      <c r="C587" s="31">
        <v>44753</v>
      </c>
      <c r="D587" s="8">
        <v>1671</v>
      </c>
      <c r="E587" s="14" t="str">
        <f>VLOOKUP(B587, 'Catégorie des articles'!A:E, 4, FALSE)</f>
        <v>CREMERIE</v>
      </c>
      <c r="F587" s="14">
        <f t="shared" si="9"/>
        <v>202207</v>
      </c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</row>
    <row r="588" spans="1:21" ht="12.75" customHeight="1">
      <c r="A588" s="10">
        <v>143256876</v>
      </c>
      <c r="B588" s="15">
        <v>5540246188200</v>
      </c>
      <c r="C588" s="32">
        <v>44753</v>
      </c>
      <c r="D588" s="11">
        <v>446</v>
      </c>
      <c r="E588" s="14" t="str">
        <f>VLOOKUP(B588, 'Catégorie des articles'!A:E, 4, FALSE)</f>
        <v>CREMERIE</v>
      </c>
      <c r="F588" s="14">
        <f t="shared" si="9"/>
        <v>202207</v>
      </c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</row>
    <row r="589" spans="1:21" ht="12.75" customHeight="1">
      <c r="A589" s="7">
        <v>143256877</v>
      </c>
      <c r="B589" s="13">
        <v>5540246172978</v>
      </c>
      <c r="C589" s="31">
        <v>44753</v>
      </c>
      <c r="D589" s="8">
        <v>1671</v>
      </c>
      <c r="E589" s="14" t="str">
        <f>VLOOKUP(B589, 'Catégorie des articles'!A:E, 4, FALSE)</f>
        <v>CREMERIE</v>
      </c>
      <c r="F589" s="14">
        <f t="shared" si="9"/>
        <v>202207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</row>
    <row r="590" spans="1:21" ht="12.75" customHeight="1">
      <c r="A590" s="10">
        <v>143256877</v>
      </c>
      <c r="B590" s="15">
        <v>5540246176699</v>
      </c>
      <c r="C590" s="32">
        <v>44753</v>
      </c>
      <c r="D590" s="11">
        <v>3132</v>
      </c>
      <c r="E590" s="14" t="str">
        <f>VLOOKUP(B590, 'Catégorie des articles'!A:E, 4, FALSE)</f>
        <v>CREMERIE</v>
      </c>
      <c r="F590" s="14">
        <f t="shared" si="9"/>
        <v>202207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</row>
    <row r="591" spans="1:21" ht="12.75" customHeight="1">
      <c r="A591" s="7">
        <v>143256891</v>
      </c>
      <c r="B591" s="13">
        <v>5540246194478</v>
      </c>
      <c r="C591" s="31">
        <v>44814</v>
      </c>
      <c r="D591" s="8">
        <v>1225</v>
      </c>
      <c r="E591" s="14" t="str">
        <f>VLOOKUP(B591, 'Catégorie des articles'!A:E, 4, FALSE)</f>
        <v>EMBALLAGES</v>
      </c>
      <c r="F591" s="14">
        <f t="shared" si="9"/>
        <v>202209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</row>
    <row r="592" spans="1:21" ht="12.75" customHeight="1">
      <c r="A592" s="10">
        <v>143256898</v>
      </c>
      <c r="B592" s="15">
        <v>5540246187987</v>
      </c>
      <c r="C592" s="32">
        <v>44756</v>
      </c>
      <c r="D592" s="11">
        <v>1671</v>
      </c>
      <c r="E592" s="14" t="str">
        <f>VLOOKUP(B592, 'Catégorie des articles'!A:E, 4, FALSE)</f>
        <v>CREMERIE</v>
      </c>
      <c r="F592" s="14">
        <f t="shared" si="9"/>
        <v>202207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</row>
    <row r="593" spans="1:21" ht="12.75" customHeight="1">
      <c r="A593" s="7">
        <v>143256898</v>
      </c>
      <c r="B593" s="13">
        <v>5540246188200</v>
      </c>
      <c r="C593" s="31">
        <v>44756</v>
      </c>
      <c r="D593" s="8">
        <v>743</v>
      </c>
      <c r="E593" s="14" t="str">
        <f>VLOOKUP(B593, 'Catégorie des articles'!A:E, 4, FALSE)</f>
        <v>CREMERIE</v>
      </c>
      <c r="F593" s="14">
        <f t="shared" si="9"/>
        <v>202207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</row>
    <row r="594" spans="1:21" ht="12.75" customHeight="1">
      <c r="A594" s="10">
        <v>143256899</v>
      </c>
      <c r="B594" s="15">
        <v>5540246188175</v>
      </c>
      <c r="C594" s="32">
        <v>44756</v>
      </c>
      <c r="D594" s="11">
        <v>116</v>
      </c>
      <c r="E594" s="14" t="str">
        <f>VLOOKUP(B594, 'Catégorie des articles'!A:E, 4, FALSE)</f>
        <v>CREMERIE</v>
      </c>
      <c r="F594" s="14">
        <f t="shared" si="9"/>
        <v>202207</v>
      </c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</row>
    <row r="595" spans="1:21" ht="12.75" customHeight="1">
      <c r="A595" s="10">
        <v>143256901</v>
      </c>
      <c r="B595" s="15">
        <v>5540246175049</v>
      </c>
      <c r="C595" s="32">
        <v>44759</v>
      </c>
      <c r="D595" s="11">
        <v>279</v>
      </c>
      <c r="E595" s="14" t="str">
        <f>VLOOKUP(B595, 'Catégorie des articles'!A:E, 4, FALSE)</f>
        <v>CREMERIE</v>
      </c>
      <c r="F595" s="14">
        <f t="shared" si="9"/>
        <v>202207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</row>
    <row r="596" spans="1:21" ht="12.75" customHeight="1">
      <c r="A596" s="7">
        <v>143256901</v>
      </c>
      <c r="B596" s="13">
        <v>5540246190743</v>
      </c>
      <c r="C596" s="31">
        <v>44759</v>
      </c>
      <c r="D596" s="8">
        <v>140</v>
      </c>
      <c r="E596" s="14" t="str">
        <f>VLOOKUP(B596, 'Catégorie des articles'!A:E, 4, FALSE)</f>
        <v>CREMERIE</v>
      </c>
      <c r="F596" s="14">
        <f t="shared" si="9"/>
        <v>202207</v>
      </c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</row>
    <row r="597" spans="1:21" ht="12.75" customHeight="1">
      <c r="A597" s="7">
        <v>143256906</v>
      </c>
      <c r="B597" s="13">
        <v>5540246191736</v>
      </c>
      <c r="C597" s="31">
        <v>44778</v>
      </c>
      <c r="D597" s="8">
        <v>362</v>
      </c>
      <c r="E597" s="14" t="str">
        <f>VLOOKUP(B597, 'Catégorie des articles'!A:E, 4, FALSE)</f>
        <v>CREMERIE</v>
      </c>
      <c r="F597" s="14">
        <f t="shared" si="9"/>
        <v>202208</v>
      </c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</row>
    <row r="598" spans="1:21" ht="12.75" customHeight="1">
      <c r="A598" s="10">
        <v>143256927</v>
      </c>
      <c r="B598" s="15">
        <v>5540246173685</v>
      </c>
      <c r="C598" s="32">
        <v>44793</v>
      </c>
      <c r="D598" s="11">
        <v>576</v>
      </c>
      <c r="E598" s="14" t="str">
        <f>VLOOKUP(B598, 'Catégorie des articles'!A:E, 4, FALSE)</f>
        <v>EMBALLAGES</v>
      </c>
      <c r="F598" s="14">
        <f t="shared" si="9"/>
        <v>202208</v>
      </c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</row>
    <row r="599" spans="1:21" ht="12.75" customHeight="1">
      <c r="A599" s="7">
        <v>143256927</v>
      </c>
      <c r="B599" s="13">
        <v>5540246173686</v>
      </c>
      <c r="C599" s="31">
        <v>44793</v>
      </c>
      <c r="D599" s="8">
        <v>274</v>
      </c>
      <c r="E599" s="14" t="str">
        <f>VLOOKUP(B599, 'Catégorie des articles'!A:E, 4, FALSE)</f>
        <v>EMBALLAGES</v>
      </c>
      <c r="F599" s="14">
        <f t="shared" si="9"/>
        <v>202208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</row>
    <row r="600" spans="1:21" ht="12.75" customHeight="1">
      <c r="A600" s="7">
        <v>143256939</v>
      </c>
      <c r="B600" s="13">
        <v>5540246172978</v>
      </c>
      <c r="C600" s="31">
        <v>44757</v>
      </c>
      <c r="D600" s="8">
        <v>1671</v>
      </c>
      <c r="E600" s="14" t="str">
        <f>VLOOKUP(B600, 'Catégorie des articles'!A:E, 4, FALSE)</f>
        <v>CREMERIE</v>
      </c>
      <c r="F600" s="14">
        <f t="shared" si="9"/>
        <v>202207</v>
      </c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</row>
    <row r="601" spans="1:21" ht="12.75" customHeight="1">
      <c r="A601" s="10">
        <v>143256939</v>
      </c>
      <c r="B601" s="15">
        <v>5540246176699</v>
      </c>
      <c r="C601" s="32">
        <v>44757</v>
      </c>
      <c r="D601" s="11">
        <v>3132</v>
      </c>
      <c r="E601" s="14" t="str">
        <f>VLOOKUP(B601, 'Catégorie des articles'!A:E, 4, FALSE)</f>
        <v>CREMERIE</v>
      </c>
      <c r="F601" s="14">
        <f t="shared" si="9"/>
        <v>202207</v>
      </c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</row>
    <row r="602" spans="1:21" ht="12.75" customHeight="1">
      <c r="A602" s="7">
        <v>143256941</v>
      </c>
      <c r="B602" s="13">
        <v>5540246185429</v>
      </c>
      <c r="C602" s="31">
        <v>44758</v>
      </c>
      <c r="D602" s="8">
        <v>209</v>
      </c>
      <c r="E602" s="14" t="str">
        <f>VLOOKUP(B602, 'Catégorie des articles'!A:E, 4, FALSE)</f>
        <v>CREMERIE</v>
      </c>
      <c r="F602" s="14">
        <f t="shared" si="9"/>
        <v>202207</v>
      </c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spans="1:21" ht="12.75" customHeight="1">
      <c r="A603" s="10">
        <v>143266956</v>
      </c>
      <c r="B603" s="15">
        <v>5540246174174</v>
      </c>
      <c r="C603" s="32">
        <v>44758</v>
      </c>
      <c r="D603" s="11">
        <v>232</v>
      </c>
      <c r="E603" s="14" t="str">
        <f>VLOOKUP(B603, 'Catégorie des articles'!A:E, 4, FALSE)</f>
        <v>CREMERIE</v>
      </c>
      <c r="F603" s="14">
        <f t="shared" si="9"/>
        <v>202207</v>
      </c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spans="1:21" ht="12.75" customHeight="1">
      <c r="A604" s="10">
        <v>143266966</v>
      </c>
      <c r="B604" s="15">
        <v>5540246182684</v>
      </c>
      <c r="C604" s="32">
        <v>44766</v>
      </c>
      <c r="D604" s="11">
        <v>140</v>
      </c>
      <c r="E604" s="14" t="str">
        <f>VLOOKUP(B604, 'Catégorie des articles'!A:E, 4, FALSE)</f>
        <v>BOULANGERIE</v>
      </c>
      <c r="F604" s="14">
        <f t="shared" si="9"/>
        <v>202207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</row>
    <row r="605" spans="1:21" ht="12.75" customHeight="1">
      <c r="A605" s="7">
        <v>143266966</v>
      </c>
      <c r="B605" s="13">
        <v>5540246183844</v>
      </c>
      <c r="C605" s="31">
        <v>44766</v>
      </c>
      <c r="D605" s="8">
        <v>140</v>
      </c>
      <c r="E605" s="14" t="str">
        <f>VLOOKUP(B605, 'Catégorie des articles'!A:E, 4, FALSE)</f>
        <v>BOULANGERIE</v>
      </c>
      <c r="F605" s="14">
        <f t="shared" si="9"/>
        <v>202207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</row>
    <row r="606" spans="1:21" ht="12.75" customHeight="1">
      <c r="A606" s="7">
        <v>143266966</v>
      </c>
      <c r="B606" s="13">
        <v>5540246194467</v>
      </c>
      <c r="C606" s="31">
        <v>44766</v>
      </c>
      <c r="D606" s="8">
        <v>17818</v>
      </c>
      <c r="E606" s="14" t="str">
        <f>VLOOKUP(B606, 'Catégorie des articles'!A:E, 4, FALSE)</f>
        <v>BOULANGERIE</v>
      </c>
      <c r="F606" s="14">
        <f t="shared" si="9"/>
        <v>202207</v>
      </c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</row>
    <row r="607" spans="1:21" ht="12.75" customHeight="1">
      <c r="A607" s="7">
        <v>143266968</v>
      </c>
      <c r="B607" s="13">
        <v>5540246194632</v>
      </c>
      <c r="C607" s="31">
        <v>44770</v>
      </c>
      <c r="D607" s="8">
        <v>1838</v>
      </c>
      <c r="E607" s="14" t="str">
        <f>VLOOKUP(B607, 'Catégorie des articles'!A:E, 4, FALSE)</f>
        <v>BOULANGERIE</v>
      </c>
      <c r="F607" s="14">
        <f t="shared" si="9"/>
        <v>202207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</row>
    <row r="608" spans="1:21" ht="12.75" customHeight="1">
      <c r="A608" s="7">
        <v>143266973</v>
      </c>
      <c r="B608" s="13">
        <v>5540246176294</v>
      </c>
      <c r="C608" s="31">
        <v>44759</v>
      </c>
      <c r="D608" s="8">
        <v>743</v>
      </c>
      <c r="E608" s="14" t="str">
        <f>VLOOKUP(B608, 'Catégorie des articles'!A:E, 4, FALSE)</f>
        <v>CREMERIE</v>
      </c>
      <c r="F608" s="14">
        <f t="shared" si="9"/>
        <v>202207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</row>
    <row r="609" spans="1:21" ht="12.75" customHeight="1">
      <c r="A609" s="10">
        <v>143266973</v>
      </c>
      <c r="B609" s="15">
        <v>5540246176295</v>
      </c>
      <c r="C609" s="32">
        <v>44759</v>
      </c>
      <c r="D609" s="11">
        <v>2970</v>
      </c>
      <c r="E609" s="14" t="str">
        <f>VLOOKUP(B609, 'Catégorie des articles'!A:E, 4, FALSE)</f>
        <v>CREMERIE</v>
      </c>
      <c r="F609" s="14">
        <f t="shared" si="9"/>
        <v>202207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</row>
    <row r="610" spans="1:21" ht="12.75" customHeight="1">
      <c r="A610" s="7">
        <v>143266980</v>
      </c>
      <c r="B610" s="13">
        <v>5540246183558</v>
      </c>
      <c r="C610" s="31">
        <v>44763</v>
      </c>
      <c r="D610" s="8">
        <v>1300</v>
      </c>
      <c r="E610" s="14" t="str">
        <f>VLOOKUP(B610, 'Catégorie des articles'!A:E, 4, FALSE)</f>
        <v>MIX LEGUMES</v>
      </c>
      <c r="F610" s="14">
        <f t="shared" si="9"/>
        <v>202207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spans="1:21" ht="12.75" customHeight="1">
      <c r="A611" s="7">
        <v>143266988</v>
      </c>
      <c r="B611" s="13">
        <v>5540246172978</v>
      </c>
      <c r="C611" s="31">
        <v>44760</v>
      </c>
      <c r="D611" s="8">
        <v>1671</v>
      </c>
      <c r="E611" s="14" t="str">
        <f>VLOOKUP(B611, 'Catégorie des articles'!A:E, 4, FALSE)</f>
        <v>CREMERIE</v>
      </c>
      <c r="F611" s="14">
        <f t="shared" si="9"/>
        <v>202207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</row>
    <row r="612" spans="1:21" ht="12.75" customHeight="1">
      <c r="A612" s="7">
        <v>143266988</v>
      </c>
      <c r="B612" s="13">
        <v>5540246176699</v>
      </c>
      <c r="C612" s="31">
        <v>44760</v>
      </c>
      <c r="D612" s="8">
        <v>1044</v>
      </c>
      <c r="E612" s="14" t="str">
        <f>VLOOKUP(B612, 'Catégorie des articles'!A:E, 4, FALSE)</f>
        <v>CREMERIE</v>
      </c>
      <c r="F612" s="14">
        <f t="shared" si="9"/>
        <v>202207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</row>
    <row r="613" spans="1:21" ht="12.75" customHeight="1">
      <c r="A613" s="7">
        <v>143266989</v>
      </c>
      <c r="B613" s="13">
        <v>5540246176294</v>
      </c>
      <c r="C613" s="31">
        <v>44760</v>
      </c>
      <c r="D613" s="8">
        <v>743</v>
      </c>
      <c r="E613" s="14" t="str">
        <f>VLOOKUP(B613, 'Catégorie des articles'!A:E, 4, FALSE)</f>
        <v>CREMERIE</v>
      </c>
      <c r="F613" s="14">
        <f t="shared" si="9"/>
        <v>202207</v>
      </c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</row>
    <row r="614" spans="1:21" ht="12.75" customHeight="1">
      <c r="A614" s="10">
        <v>143266989</v>
      </c>
      <c r="B614" s="15">
        <v>5540246176295</v>
      </c>
      <c r="C614" s="32">
        <v>44760</v>
      </c>
      <c r="D614" s="11">
        <v>3712</v>
      </c>
      <c r="E614" s="14" t="str">
        <f>VLOOKUP(B614, 'Catégorie des articles'!A:E, 4, FALSE)</f>
        <v>CREMERIE</v>
      </c>
      <c r="F614" s="14">
        <f t="shared" si="9"/>
        <v>202207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</row>
    <row r="615" spans="1:21" ht="12.75" customHeight="1">
      <c r="A615" s="7">
        <v>143267002</v>
      </c>
      <c r="B615" s="13">
        <v>5540246172978</v>
      </c>
      <c r="C615" s="31">
        <v>44763</v>
      </c>
      <c r="D615" s="8">
        <v>502</v>
      </c>
      <c r="E615" s="14" t="str">
        <f>VLOOKUP(B615, 'Catégorie des articles'!A:E, 4, FALSE)</f>
        <v>CREMERIE</v>
      </c>
      <c r="F615" s="14">
        <f t="shared" si="9"/>
        <v>202207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</row>
    <row r="616" spans="1:21" ht="12.75" customHeight="1">
      <c r="A616" s="10">
        <v>143267002</v>
      </c>
      <c r="B616" s="15">
        <v>5540246174174</v>
      </c>
      <c r="C616" s="32">
        <v>44763</v>
      </c>
      <c r="D616" s="11">
        <v>232</v>
      </c>
      <c r="E616" s="14" t="str">
        <f>VLOOKUP(B616, 'Catégorie des articles'!A:E, 4, FALSE)</f>
        <v>CREMERIE</v>
      </c>
      <c r="F616" s="14">
        <f t="shared" si="9"/>
        <v>202207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</row>
    <row r="617" spans="1:21" ht="12.75" customHeight="1">
      <c r="A617" s="10">
        <v>143267002</v>
      </c>
      <c r="B617" s="15">
        <v>5540246188175</v>
      </c>
      <c r="C617" s="32">
        <v>44763</v>
      </c>
      <c r="D617" s="11">
        <v>93</v>
      </c>
      <c r="E617" s="14" t="str">
        <f>VLOOKUP(B617, 'Catégorie des articles'!A:E, 4, FALSE)</f>
        <v>CREMERIE</v>
      </c>
      <c r="F617" s="14">
        <f t="shared" si="9"/>
        <v>202207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spans="1:21" ht="12.75" customHeight="1">
      <c r="A618" s="7">
        <v>143267004</v>
      </c>
      <c r="B618" s="13">
        <v>5540246171933</v>
      </c>
      <c r="C618" s="31">
        <v>44763</v>
      </c>
      <c r="D618" s="8">
        <v>557</v>
      </c>
      <c r="E618" s="14" t="str">
        <f>VLOOKUP(B618, 'Catégorie des articles'!A:E, 4, FALSE)</f>
        <v>CREMERIE</v>
      </c>
      <c r="F618" s="14">
        <f t="shared" si="9"/>
        <v>202207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spans="1:21" ht="12.75" customHeight="1">
      <c r="A619" s="7">
        <v>143267004</v>
      </c>
      <c r="B619" s="13">
        <v>5540246188200</v>
      </c>
      <c r="C619" s="31">
        <v>44763</v>
      </c>
      <c r="D619" s="8">
        <v>372</v>
      </c>
      <c r="E619" s="14" t="str">
        <f>VLOOKUP(B619, 'Catégorie des articles'!A:E, 4, FALSE)</f>
        <v>CREMERIE</v>
      </c>
      <c r="F619" s="14">
        <f t="shared" si="9"/>
        <v>202207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</row>
    <row r="620" spans="1:21" ht="12.75" customHeight="1">
      <c r="A620" s="7">
        <v>143267009</v>
      </c>
      <c r="B620" s="13">
        <v>5540246188583</v>
      </c>
      <c r="C620" s="31">
        <v>44763</v>
      </c>
      <c r="D620" s="8">
        <v>2228</v>
      </c>
      <c r="E620" s="14" t="str">
        <f>VLOOKUP(B620, 'Catégorie des articles'!A:E, 4, FALSE)</f>
        <v>BOULANGERIE</v>
      </c>
      <c r="F620" s="14">
        <f t="shared" si="9"/>
        <v>202207</v>
      </c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</row>
    <row r="621" spans="1:21" ht="12.75" customHeight="1">
      <c r="A621" s="10">
        <v>143267010</v>
      </c>
      <c r="B621" s="15">
        <v>5540246170256</v>
      </c>
      <c r="C621" s="32">
        <v>44772</v>
      </c>
      <c r="D621" s="11">
        <v>1940</v>
      </c>
      <c r="E621" s="14" t="str">
        <f>VLOOKUP(B621, 'Catégorie des articles'!A:E, 4, FALSE)</f>
        <v>BOULANGERIE</v>
      </c>
      <c r="F621" s="14">
        <f t="shared" si="9"/>
        <v>202207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</row>
    <row r="622" spans="1:21" ht="12.75" customHeight="1">
      <c r="A622" s="7">
        <v>143267010</v>
      </c>
      <c r="B622" s="13">
        <v>5540246171888</v>
      </c>
      <c r="C622" s="31">
        <v>44772</v>
      </c>
      <c r="D622" s="8">
        <v>1033</v>
      </c>
      <c r="E622" s="14" t="str">
        <f>VLOOKUP(B622, 'Catégorie des articles'!A:E, 4, FALSE)</f>
        <v>BOULANGERIE</v>
      </c>
      <c r="F622" s="14">
        <f t="shared" si="9"/>
        <v>202207</v>
      </c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spans="1:21" ht="12.75" customHeight="1">
      <c r="A623" s="10">
        <v>143267030</v>
      </c>
      <c r="B623" s="15">
        <v>5540246171933</v>
      </c>
      <c r="C623" s="32">
        <v>44764</v>
      </c>
      <c r="D623" s="11">
        <v>279</v>
      </c>
      <c r="E623" s="14" t="str">
        <f>VLOOKUP(B623, 'Catégorie des articles'!A:E, 4, FALSE)</f>
        <v>CREMERIE</v>
      </c>
      <c r="F623" s="14">
        <f t="shared" si="9"/>
        <v>202207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</row>
    <row r="624" spans="1:21" ht="12.75" customHeight="1">
      <c r="A624" s="7">
        <v>143267030</v>
      </c>
      <c r="B624" s="13">
        <v>5540246188200</v>
      </c>
      <c r="C624" s="31">
        <v>44764</v>
      </c>
      <c r="D624" s="8">
        <v>372</v>
      </c>
      <c r="E624" s="14" t="str">
        <f>VLOOKUP(B624, 'Catégorie des articles'!A:E, 4, FALSE)</f>
        <v>CREMERIE</v>
      </c>
      <c r="F624" s="14">
        <f t="shared" si="9"/>
        <v>202207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</row>
    <row r="625" spans="1:21" ht="12.75" customHeight="1">
      <c r="A625" s="10">
        <v>143267031</v>
      </c>
      <c r="B625" s="15">
        <v>5540246174174</v>
      </c>
      <c r="C625" s="32">
        <v>44764</v>
      </c>
      <c r="D625" s="11">
        <v>232</v>
      </c>
      <c r="E625" s="14" t="str">
        <f>VLOOKUP(B625, 'Catégorie des articles'!A:E, 4, FALSE)</f>
        <v>CREMERIE</v>
      </c>
      <c r="F625" s="14">
        <f t="shared" si="9"/>
        <v>202207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</row>
    <row r="626" spans="1:21" ht="12.75" customHeight="1">
      <c r="A626" s="10">
        <v>143267031</v>
      </c>
      <c r="B626" s="15">
        <v>5540246176699</v>
      </c>
      <c r="C626" s="32">
        <v>44764</v>
      </c>
      <c r="D626" s="11">
        <v>2088</v>
      </c>
      <c r="E626" s="14" t="str">
        <f>VLOOKUP(B626, 'Catégorie des articles'!A:E, 4, FALSE)</f>
        <v>CREMERIE</v>
      </c>
      <c r="F626" s="14">
        <f t="shared" si="9"/>
        <v>202207</v>
      </c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</row>
    <row r="627" spans="1:21" ht="12.75" customHeight="1">
      <c r="A627" s="7">
        <v>143267033</v>
      </c>
      <c r="B627" s="13">
        <v>5540246175047</v>
      </c>
      <c r="C627" s="31">
        <v>44773</v>
      </c>
      <c r="D627" s="8">
        <v>209</v>
      </c>
      <c r="E627" s="14" t="str">
        <f>VLOOKUP(B627, 'Catégorie des articles'!A:E, 4, FALSE)</f>
        <v>CREMERIE</v>
      </c>
      <c r="F627" s="14">
        <f t="shared" si="9"/>
        <v>202207</v>
      </c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</row>
    <row r="628" spans="1:21" ht="12.75" customHeight="1">
      <c r="A628" s="10">
        <v>143267033</v>
      </c>
      <c r="B628" s="15">
        <v>5540246175049</v>
      </c>
      <c r="C628" s="32">
        <v>44773</v>
      </c>
      <c r="D628" s="11">
        <v>279</v>
      </c>
      <c r="E628" s="14" t="str">
        <f>VLOOKUP(B628, 'Catégorie des articles'!A:E, 4, FALSE)</f>
        <v>CREMERIE</v>
      </c>
      <c r="F628" s="14">
        <f t="shared" si="9"/>
        <v>202207</v>
      </c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</row>
    <row r="629" spans="1:21" ht="12.75" customHeight="1">
      <c r="A629" s="7">
        <v>143267039</v>
      </c>
      <c r="B629" s="13">
        <v>5540246194330</v>
      </c>
      <c r="C629" s="31">
        <v>44772</v>
      </c>
      <c r="D629" s="8">
        <v>13753</v>
      </c>
      <c r="E629" s="14" t="str">
        <f>VLOOKUP(B629, 'Catégorie des articles'!A:E, 4, FALSE)</f>
        <v>MIX LEGUMES</v>
      </c>
      <c r="F629" s="14">
        <f t="shared" si="9"/>
        <v>202207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</row>
    <row r="630" spans="1:21" ht="12.75" customHeight="1">
      <c r="A630" s="7">
        <v>143277052</v>
      </c>
      <c r="B630" s="13">
        <v>5540246172978</v>
      </c>
      <c r="C630" s="31">
        <v>44765</v>
      </c>
      <c r="D630" s="8">
        <v>836</v>
      </c>
      <c r="E630" s="14" t="str">
        <f>VLOOKUP(B630, 'Catégorie des articles'!A:E, 4, FALSE)</f>
        <v>CREMERIE</v>
      </c>
      <c r="F630" s="14">
        <f t="shared" si="9"/>
        <v>202207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</row>
    <row r="631" spans="1:21" ht="12.75" customHeight="1">
      <c r="A631" s="7">
        <v>143277052</v>
      </c>
      <c r="B631" s="13">
        <v>5540246174174</v>
      </c>
      <c r="C631" s="31">
        <v>44765</v>
      </c>
      <c r="D631" s="8">
        <v>464</v>
      </c>
      <c r="E631" s="14" t="str">
        <f>VLOOKUP(B631, 'Catégorie des articles'!A:E, 4, FALSE)</f>
        <v>CREMERIE</v>
      </c>
      <c r="F631" s="14">
        <f t="shared" si="9"/>
        <v>202207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</row>
    <row r="632" spans="1:21" ht="12.75" customHeight="1">
      <c r="A632" s="7">
        <v>143277052</v>
      </c>
      <c r="B632" s="13">
        <v>5540246176699</v>
      </c>
      <c r="C632" s="31">
        <v>44765</v>
      </c>
      <c r="D632" s="8">
        <v>2088</v>
      </c>
      <c r="E632" s="14" t="str">
        <f>VLOOKUP(B632, 'Catégorie des articles'!A:E, 4, FALSE)</f>
        <v>CREMERIE</v>
      </c>
      <c r="F632" s="14">
        <f t="shared" si="9"/>
        <v>202207</v>
      </c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</row>
    <row r="633" spans="1:21" ht="12.75" customHeight="1">
      <c r="A633" s="7">
        <v>143277053</v>
      </c>
      <c r="B633" s="13">
        <v>5540246171933</v>
      </c>
      <c r="C633" s="31">
        <v>44765</v>
      </c>
      <c r="D633" s="8">
        <v>1114</v>
      </c>
      <c r="E633" s="14" t="str">
        <f>VLOOKUP(B633, 'Catégorie des articles'!A:E, 4, FALSE)</f>
        <v>CREMERIE</v>
      </c>
      <c r="F633" s="14">
        <f t="shared" si="9"/>
        <v>202207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</row>
    <row r="634" spans="1:21" ht="12.75" customHeight="1">
      <c r="A634" s="7">
        <v>143277053</v>
      </c>
      <c r="B634" s="13">
        <v>5540246188200</v>
      </c>
      <c r="C634" s="31">
        <v>44765</v>
      </c>
      <c r="D634" s="8">
        <v>743</v>
      </c>
      <c r="E634" s="14" t="str">
        <f>VLOOKUP(B634, 'Catégorie des articles'!A:E, 4, FALSE)</f>
        <v>CREMERIE</v>
      </c>
      <c r="F634" s="14">
        <f t="shared" si="9"/>
        <v>202207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</row>
    <row r="635" spans="1:21" ht="12.75" customHeight="1">
      <c r="A635" s="7">
        <v>143277067</v>
      </c>
      <c r="B635" s="13">
        <v>5540246192209</v>
      </c>
      <c r="C635" s="31">
        <v>44774</v>
      </c>
      <c r="D635" s="8">
        <v>1114</v>
      </c>
      <c r="E635" s="14" t="str">
        <f>VLOOKUP(B635, 'Catégorie des articles'!A:E, 4, FALSE)</f>
        <v>MIX LEGUMES</v>
      </c>
      <c r="F635" s="14">
        <f t="shared" si="9"/>
        <v>202208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</row>
    <row r="636" spans="1:21" ht="12.75" customHeight="1">
      <c r="A636" s="7">
        <v>143277074</v>
      </c>
      <c r="B636" s="13">
        <v>5540246188200</v>
      </c>
      <c r="C636" s="31">
        <v>44766</v>
      </c>
      <c r="D636" s="8">
        <v>372</v>
      </c>
      <c r="E636" s="14" t="str">
        <f>VLOOKUP(B636, 'Catégorie des articles'!A:E, 4, FALSE)</f>
        <v>CREMERIE</v>
      </c>
      <c r="F636" s="14">
        <f t="shared" si="9"/>
        <v>202207</v>
      </c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</row>
    <row r="637" spans="1:21" ht="12.75" customHeight="1">
      <c r="A637" s="10">
        <v>143277075</v>
      </c>
      <c r="B637" s="15">
        <v>5540246186325</v>
      </c>
      <c r="C637" s="32">
        <v>44767</v>
      </c>
      <c r="D637" s="11">
        <v>418</v>
      </c>
      <c r="E637" s="14" t="str">
        <f>VLOOKUP(B637, 'Catégorie des articles'!A:E, 4, FALSE)</f>
        <v>CREMERIE</v>
      </c>
      <c r="F637" s="14">
        <f t="shared" si="9"/>
        <v>202207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</row>
    <row r="638" spans="1:21" ht="12.75" customHeight="1">
      <c r="A638" s="7">
        <v>143277088</v>
      </c>
      <c r="B638" s="13">
        <v>5540246176294</v>
      </c>
      <c r="C638" s="31">
        <v>44767</v>
      </c>
      <c r="D638" s="8">
        <v>1114</v>
      </c>
      <c r="E638" s="14" t="str">
        <f>VLOOKUP(B638, 'Catégorie des articles'!A:E, 4, FALSE)</f>
        <v>CREMERIE</v>
      </c>
      <c r="F638" s="14">
        <f t="shared" si="9"/>
        <v>202207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</row>
    <row r="639" spans="1:21" ht="12.75" customHeight="1">
      <c r="A639" s="10">
        <v>143277088</v>
      </c>
      <c r="B639" s="15">
        <v>5540246176295</v>
      </c>
      <c r="C639" s="32">
        <v>44767</v>
      </c>
      <c r="D639" s="11">
        <v>4455</v>
      </c>
      <c r="E639" s="14" t="str">
        <f>VLOOKUP(B639, 'Catégorie des articles'!A:E, 4, FALSE)</f>
        <v>CREMERIE</v>
      </c>
      <c r="F639" s="14">
        <f t="shared" si="9"/>
        <v>202207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</row>
    <row r="640" spans="1:21" ht="12.75" customHeight="1">
      <c r="A640" s="7">
        <v>143277088</v>
      </c>
      <c r="B640" s="13">
        <v>5540246188200</v>
      </c>
      <c r="C640" s="31">
        <v>44767</v>
      </c>
      <c r="D640" s="8">
        <v>372</v>
      </c>
      <c r="E640" s="14" t="str">
        <f>VLOOKUP(B640, 'Catégorie des articles'!A:E, 4, FALSE)</f>
        <v>CREMERIE</v>
      </c>
      <c r="F640" s="14">
        <f t="shared" si="9"/>
        <v>202207</v>
      </c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</row>
    <row r="641" spans="1:21" ht="12.75" customHeight="1">
      <c r="A641" s="7">
        <v>143277089</v>
      </c>
      <c r="B641" s="13">
        <v>5540246172978</v>
      </c>
      <c r="C641" s="31">
        <v>44767</v>
      </c>
      <c r="D641" s="8">
        <v>836</v>
      </c>
      <c r="E641" s="14" t="str">
        <f>VLOOKUP(B641, 'Catégorie des articles'!A:E, 4, FALSE)</f>
        <v>CREMERIE</v>
      </c>
      <c r="F641" s="14">
        <f t="shared" si="9"/>
        <v>202207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</row>
    <row r="642" spans="1:21" ht="12.75" customHeight="1">
      <c r="A642" s="7">
        <v>143277089</v>
      </c>
      <c r="B642" s="13">
        <v>5540246174174</v>
      </c>
      <c r="C642" s="31">
        <v>44767</v>
      </c>
      <c r="D642" s="8">
        <v>232</v>
      </c>
      <c r="E642" s="14" t="str">
        <f>VLOOKUP(B642, 'Catégorie des articles'!A:E, 4, FALSE)</f>
        <v>CREMERIE</v>
      </c>
      <c r="F642" s="14">
        <f t="shared" ref="F642:F705" si="10">YEAR(C642)*100 + MONTH(C642)</f>
        <v>202207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</row>
    <row r="643" spans="1:21" ht="12.75" customHeight="1">
      <c r="A643" s="10">
        <v>143277089</v>
      </c>
      <c r="B643" s="15">
        <v>5540246176699</v>
      </c>
      <c r="C643" s="32">
        <v>44767</v>
      </c>
      <c r="D643" s="11">
        <v>2088</v>
      </c>
      <c r="E643" s="14" t="str">
        <f>VLOOKUP(B643, 'Catégorie des articles'!A:E, 4, FALSE)</f>
        <v>CREMERIE</v>
      </c>
      <c r="F643" s="14">
        <f t="shared" si="10"/>
        <v>202207</v>
      </c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</row>
    <row r="644" spans="1:21" ht="12.75" customHeight="1">
      <c r="A644" s="10">
        <v>143277090</v>
      </c>
      <c r="B644" s="15">
        <v>5540246171759</v>
      </c>
      <c r="C644" s="32">
        <v>44771</v>
      </c>
      <c r="D644" s="11">
        <v>1253</v>
      </c>
      <c r="E644" s="14" t="str">
        <f>VLOOKUP(B644, 'Catégorie des articles'!A:E, 4, FALSE)</f>
        <v>MIX LEGUMES</v>
      </c>
      <c r="F644" s="14">
        <f t="shared" si="10"/>
        <v>202207</v>
      </c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</row>
    <row r="645" spans="1:21" ht="12.75" customHeight="1">
      <c r="A645" s="7">
        <v>143277090</v>
      </c>
      <c r="B645" s="13">
        <v>5540246177133</v>
      </c>
      <c r="C645" s="31">
        <v>44771</v>
      </c>
      <c r="D645" s="8">
        <v>2228</v>
      </c>
      <c r="E645" s="14" t="str">
        <f>VLOOKUP(B645, 'Catégorie des articles'!A:E, 4, FALSE)</f>
        <v>MIX LEGUMES</v>
      </c>
      <c r="F645" s="14">
        <f t="shared" si="10"/>
        <v>202207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spans="1:21" ht="12.75" customHeight="1">
      <c r="A646" s="10">
        <v>143277090</v>
      </c>
      <c r="B646" s="15">
        <v>5540246192148</v>
      </c>
      <c r="C646" s="32">
        <v>44771</v>
      </c>
      <c r="D646" s="11">
        <v>25056</v>
      </c>
      <c r="E646" s="14" t="str">
        <f>VLOOKUP(B646, 'Catégorie des articles'!A:E, 4, FALSE)</f>
        <v>MIX LEGUMES</v>
      </c>
      <c r="F646" s="14">
        <f t="shared" si="10"/>
        <v>202207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</row>
    <row r="647" spans="1:21" ht="12.75" customHeight="1">
      <c r="A647" s="7">
        <v>143277090</v>
      </c>
      <c r="B647" s="13">
        <v>5540246192518</v>
      </c>
      <c r="C647" s="31">
        <v>44771</v>
      </c>
      <c r="D647" s="8">
        <v>4385</v>
      </c>
      <c r="E647" s="14" t="str">
        <f>VLOOKUP(B647, 'Catégorie des articles'!A:E, 4, FALSE)</f>
        <v>MIX LEGUMES</v>
      </c>
      <c r="F647" s="14">
        <f t="shared" si="10"/>
        <v>202207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</row>
    <row r="648" spans="1:21" ht="12.75" customHeight="1">
      <c r="A648" s="10">
        <v>143277091</v>
      </c>
      <c r="B648" s="15">
        <v>5540246183130</v>
      </c>
      <c r="C648" s="32">
        <v>44777</v>
      </c>
      <c r="D648" s="11">
        <v>1128</v>
      </c>
      <c r="E648" s="14" t="str">
        <f>VLOOKUP(B648, 'Catégorie des articles'!A:E, 4, FALSE)</f>
        <v>MIX LEGUMES</v>
      </c>
      <c r="F648" s="14">
        <f t="shared" si="10"/>
        <v>202208</v>
      </c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</row>
    <row r="649" spans="1:21" ht="12.75" customHeight="1">
      <c r="A649" s="7">
        <v>143277091</v>
      </c>
      <c r="B649" s="13">
        <v>5540246183537</v>
      </c>
      <c r="C649" s="31">
        <v>44777</v>
      </c>
      <c r="D649" s="8">
        <v>961</v>
      </c>
      <c r="E649" s="14" t="str">
        <f>VLOOKUP(B649, 'Catégorie des articles'!A:E, 4, FALSE)</f>
        <v>MIX LEGUMES</v>
      </c>
      <c r="F649" s="14">
        <f t="shared" si="10"/>
        <v>202208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</row>
    <row r="650" spans="1:21" ht="12.75" customHeight="1">
      <c r="A650" s="10">
        <v>143277091</v>
      </c>
      <c r="B650" s="15">
        <v>5540246183538</v>
      </c>
      <c r="C650" s="32">
        <v>44777</v>
      </c>
      <c r="D650" s="11">
        <v>919</v>
      </c>
      <c r="E650" s="14" t="str">
        <f>VLOOKUP(B650, 'Catégorie des articles'!A:E, 4, FALSE)</f>
        <v>MIX LEGUMES</v>
      </c>
      <c r="F650" s="14">
        <f t="shared" si="10"/>
        <v>202208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</row>
    <row r="651" spans="1:21" ht="12.75" customHeight="1">
      <c r="A651" s="7">
        <v>143277097</v>
      </c>
      <c r="B651" s="13">
        <v>5540246184036</v>
      </c>
      <c r="C651" s="31">
        <v>44778</v>
      </c>
      <c r="D651" s="8">
        <v>130</v>
      </c>
      <c r="E651" s="14" t="str">
        <f>VLOOKUP(B651, 'Catégorie des articles'!A:E, 4, FALSE)</f>
        <v>BOULANGERIE</v>
      </c>
      <c r="F651" s="14">
        <f t="shared" si="10"/>
        <v>202208</v>
      </c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</row>
    <row r="652" spans="1:21" ht="12.75" customHeight="1">
      <c r="A652" s="7">
        <v>143277109</v>
      </c>
      <c r="B652" s="13">
        <v>5540246174174</v>
      </c>
      <c r="C652" s="31">
        <v>44770</v>
      </c>
      <c r="D652" s="8">
        <v>464</v>
      </c>
      <c r="E652" s="14" t="str">
        <f>VLOOKUP(B652, 'Catégorie des articles'!A:E, 4, FALSE)</f>
        <v>CREMERIE</v>
      </c>
      <c r="F652" s="14">
        <f t="shared" si="10"/>
        <v>202207</v>
      </c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</row>
    <row r="653" spans="1:21" ht="12.75" customHeight="1">
      <c r="A653" s="10">
        <v>143277109</v>
      </c>
      <c r="B653" s="15">
        <v>5540246176699</v>
      </c>
      <c r="C653" s="32">
        <v>44770</v>
      </c>
      <c r="D653" s="11">
        <v>836</v>
      </c>
      <c r="E653" s="14" t="str">
        <f>VLOOKUP(B653, 'Catégorie des articles'!A:E, 4, FALSE)</f>
        <v>CREMERIE</v>
      </c>
      <c r="F653" s="14">
        <f t="shared" si="10"/>
        <v>202207</v>
      </c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spans="1:21" ht="12.75" customHeight="1">
      <c r="A654" s="7">
        <v>143277109</v>
      </c>
      <c r="B654" s="13">
        <v>5540246188175</v>
      </c>
      <c r="C654" s="31">
        <v>44770</v>
      </c>
      <c r="D654" s="8">
        <v>232</v>
      </c>
      <c r="E654" s="14" t="str">
        <f>VLOOKUP(B654, 'Catégorie des articles'!A:E, 4, FALSE)</f>
        <v>CREMERIE</v>
      </c>
      <c r="F654" s="14">
        <f t="shared" si="10"/>
        <v>202207</v>
      </c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</row>
    <row r="655" spans="1:21" ht="12.75" customHeight="1">
      <c r="A655" s="7">
        <v>143277109</v>
      </c>
      <c r="B655" s="13">
        <v>5540246192102</v>
      </c>
      <c r="C655" s="31">
        <v>44770</v>
      </c>
      <c r="D655" s="8">
        <v>2005</v>
      </c>
      <c r="E655" s="14" t="str">
        <f>VLOOKUP(B655, 'Catégorie des articles'!A:E, 4, FALSE)</f>
        <v>CREMERIE</v>
      </c>
      <c r="F655" s="14">
        <f t="shared" si="10"/>
        <v>202207</v>
      </c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</row>
    <row r="656" spans="1:21" ht="12.75" customHeight="1">
      <c r="A656" s="7">
        <v>143277110</v>
      </c>
      <c r="B656" s="13">
        <v>5540246176294</v>
      </c>
      <c r="C656" s="31">
        <v>44770</v>
      </c>
      <c r="D656" s="8">
        <v>1485</v>
      </c>
      <c r="E656" s="14" t="str">
        <f>VLOOKUP(B656, 'Catégorie des articles'!A:E, 4, FALSE)</f>
        <v>CREMERIE</v>
      </c>
      <c r="F656" s="14">
        <f t="shared" si="10"/>
        <v>202207</v>
      </c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</row>
    <row r="657" spans="1:21" ht="12.75" customHeight="1">
      <c r="A657" s="10">
        <v>143277110</v>
      </c>
      <c r="B657" s="15">
        <v>5540246176295</v>
      </c>
      <c r="C657" s="32">
        <v>44770</v>
      </c>
      <c r="D657" s="11">
        <v>7424</v>
      </c>
      <c r="E657" s="14" t="str">
        <f>VLOOKUP(B657, 'Catégorie des articles'!A:E, 4, FALSE)</f>
        <v>CREMERIE</v>
      </c>
      <c r="F657" s="14">
        <f t="shared" si="10"/>
        <v>202207</v>
      </c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</row>
    <row r="658" spans="1:21" ht="12.75" customHeight="1">
      <c r="A658" s="10">
        <v>143277110</v>
      </c>
      <c r="B658" s="15">
        <v>5540246187987</v>
      </c>
      <c r="C658" s="32">
        <v>44770</v>
      </c>
      <c r="D658" s="11">
        <v>2228</v>
      </c>
      <c r="E658" s="14" t="str">
        <f>VLOOKUP(B658, 'Catégorie des articles'!A:E, 4, FALSE)</f>
        <v>CREMERIE</v>
      </c>
      <c r="F658" s="14">
        <f t="shared" si="10"/>
        <v>202207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</row>
    <row r="659" spans="1:21" ht="12.75" customHeight="1">
      <c r="A659" s="7">
        <v>143277110</v>
      </c>
      <c r="B659" s="13">
        <v>5540246188200</v>
      </c>
      <c r="C659" s="31">
        <v>44770</v>
      </c>
      <c r="D659" s="8">
        <v>743</v>
      </c>
      <c r="E659" s="14" t="str">
        <f>VLOOKUP(B659, 'Catégorie des articles'!A:E, 4, FALSE)</f>
        <v>CREMERIE</v>
      </c>
      <c r="F659" s="14">
        <f t="shared" si="10"/>
        <v>202207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</row>
    <row r="660" spans="1:21" ht="12.75" customHeight="1">
      <c r="A660" s="7">
        <v>143277123</v>
      </c>
      <c r="B660" s="13">
        <v>5540246176294</v>
      </c>
      <c r="C660" s="31">
        <v>44771</v>
      </c>
      <c r="D660" s="8">
        <v>743</v>
      </c>
      <c r="E660" s="14" t="str">
        <f>VLOOKUP(B660, 'Catégorie des articles'!A:E, 4, FALSE)</f>
        <v>CREMERIE</v>
      </c>
      <c r="F660" s="14">
        <f t="shared" si="10"/>
        <v>202207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</row>
    <row r="661" spans="1:21" ht="12.75" customHeight="1">
      <c r="A661" s="10">
        <v>143277123</v>
      </c>
      <c r="B661" s="15">
        <v>5540246176295</v>
      </c>
      <c r="C661" s="32">
        <v>44771</v>
      </c>
      <c r="D661" s="11">
        <v>1485</v>
      </c>
      <c r="E661" s="14" t="str">
        <f>VLOOKUP(B661, 'Catégorie des articles'!A:E, 4, FALSE)</f>
        <v>CREMERIE</v>
      </c>
      <c r="F661" s="14">
        <f t="shared" si="10"/>
        <v>202207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</row>
    <row r="662" spans="1:21" ht="12.75" customHeight="1">
      <c r="A662" s="10">
        <v>143277123</v>
      </c>
      <c r="B662" s="15">
        <v>5540246188200</v>
      </c>
      <c r="C662" s="32">
        <v>44771</v>
      </c>
      <c r="D662" s="11">
        <v>557</v>
      </c>
      <c r="E662" s="14" t="str">
        <f>VLOOKUP(B662, 'Catégorie des articles'!A:E, 4, FALSE)</f>
        <v>CREMERIE</v>
      </c>
      <c r="F662" s="14">
        <f t="shared" si="10"/>
        <v>202207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spans="1:21" ht="12.75" customHeight="1">
      <c r="A663" s="7">
        <v>143277124</v>
      </c>
      <c r="B663" s="13">
        <v>5540246172978</v>
      </c>
      <c r="C663" s="31">
        <v>44771</v>
      </c>
      <c r="D663" s="8">
        <v>836</v>
      </c>
      <c r="E663" s="14" t="str">
        <f>VLOOKUP(B663, 'Catégorie des articles'!A:E, 4, FALSE)</f>
        <v>CREMERIE</v>
      </c>
      <c r="F663" s="14">
        <f t="shared" si="10"/>
        <v>202207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</row>
    <row r="664" spans="1:21" ht="12.75" customHeight="1">
      <c r="A664" s="7">
        <v>143277124</v>
      </c>
      <c r="B664" s="13">
        <v>5540246176699</v>
      </c>
      <c r="C664" s="31">
        <v>44771</v>
      </c>
      <c r="D664" s="8">
        <v>2088</v>
      </c>
      <c r="E664" s="14" t="str">
        <f>VLOOKUP(B664, 'Catégorie des articles'!A:E, 4, FALSE)</f>
        <v>CREMERIE</v>
      </c>
      <c r="F664" s="14">
        <f t="shared" si="10"/>
        <v>202207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</row>
    <row r="665" spans="1:21" ht="12.75" customHeight="1">
      <c r="A665" s="10">
        <v>143277124</v>
      </c>
      <c r="B665" s="15">
        <v>5540246188175</v>
      </c>
      <c r="C665" s="32">
        <v>44771</v>
      </c>
      <c r="D665" s="11">
        <v>116</v>
      </c>
      <c r="E665" s="14" t="str">
        <f>VLOOKUP(B665, 'Catégorie des articles'!A:E, 4, FALSE)</f>
        <v>CREMERIE</v>
      </c>
      <c r="F665" s="14">
        <f t="shared" si="10"/>
        <v>202207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</row>
    <row r="666" spans="1:21" ht="12.75" customHeight="1">
      <c r="A666" s="10">
        <v>143287132</v>
      </c>
      <c r="B666" s="15">
        <v>5540246172978</v>
      </c>
      <c r="C666" s="32">
        <v>44772</v>
      </c>
      <c r="D666" s="11">
        <v>836</v>
      </c>
      <c r="E666" s="14" t="str">
        <f>VLOOKUP(B666, 'Catégorie des articles'!A:E, 4, FALSE)</f>
        <v>CREMERIE</v>
      </c>
      <c r="F666" s="14">
        <f t="shared" si="10"/>
        <v>202207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</row>
    <row r="667" spans="1:21" ht="12.75" customHeight="1">
      <c r="A667" s="7">
        <v>143287132</v>
      </c>
      <c r="B667" s="13">
        <v>5540246176699</v>
      </c>
      <c r="C667" s="31">
        <v>44772</v>
      </c>
      <c r="D667" s="8">
        <v>1044</v>
      </c>
      <c r="E667" s="14" t="str">
        <f>VLOOKUP(B667, 'Catégorie des articles'!A:E, 4, FALSE)</f>
        <v>CREMERIE</v>
      </c>
      <c r="F667" s="14">
        <f t="shared" si="10"/>
        <v>202207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</row>
    <row r="668" spans="1:21" ht="12.75" customHeight="1">
      <c r="A668" s="10">
        <v>143287132</v>
      </c>
      <c r="B668" s="15">
        <v>5540246188175</v>
      </c>
      <c r="C668" s="32">
        <v>44772</v>
      </c>
      <c r="D668" s="11">
        <v>116</v>
      </c>
      <c r="E668" s="14" t="str">
        <f>VLOOKUP(B668, 'Catégorie des articles'!A:E, 4, FALSE)</f>
        <v>CREMERIE</v>
      </c>
      <c r="F668" s="14">
        <f t="shared" si="10"/>
        <v>202207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spans="1:21" ht="12.75" customHeight="1">
      <c r="A669" s="7">
        <v>143287133</v>
      </c>
      <c r="B669" s="13">
        <v>5540246187987</v>
      </c>
      <c r="C669" s="31">
        <v>44772</v>
      </c>
      <c r="D669" s="8">
        <v>1114</v>
      </c>
      <c r="E669" s="14" t="str">
        <f>VLOOKUP(B669, 'Catégorie des articles'!A:E, 4, FALSE)</f>
        <v>CREMERIE</v>
      </c>
      <c r="F669" s="14">
        <f t="shared" si="10"/>
        <v>202207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</row>
    <row r="670" spans="1:21" ht="12.75" customHeight="1">
      <c r="A670" s="10">
        <v>143287136</v>
      </c>
      <c r="B670" s="15">
        <v>5540246185562</v>
      </c>
      <c r="C670" s="32">
        <v>44774</v>
      </c>
      <c r="D670" s="11">
        <v>70</v>
      </c>
      <c r="E670" s="14" t="str">
        <f>VLOOKUP(B670, 'Catégorie des articles'!A:E, 4, FALSE)</f>
        <v>CREMERIE</v>
      </c>
      <c r="F670" s="14">
        <f t="shared" si="10"/>
        <v>202208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1:21" ht="12.75" customHeight="1">
      <c r="A671" s="7">
        <v>143287152</v>
      </c>
      <c r="B671" s="13">
        <v>5540246173472</v>
      </c>
      <c r="C671" s="31">
        <v>44781</v>
      </c>
      <c r="D671" s="8">
        <v>418</v>
      </c>
      <c r="E671" s="14" t="str">
        <f>VLOOKUP(B671, 'Catégorie des articles'!A:E, 4, FALSE)</f>
        <v>CREMERIE</v>
      </c>
      <c r="F671" s="14">
        <f t="shared" si="10"/>
        <v>202208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</row>
    <row r="672" spans="1:21" ht="12.75" customHeight="1">
      <c r="A672" s="10">
        <v>143287152</v>
      </c>
      <c r="B672" s="15">
        <v>5540246175047</v>
      </c>
      <c r="C672" s="32">
        <v>44781</v>
      </c>
      <c r="D672" s="11">
        <v>279</v>
      </c>
      <c r="E672" s="14" t="str">
        <f>VLOOKUP(B672, 'Catégorie des articles'!A:E, 4, FALSE)</f>
        <v>CREMERIE</v>
      </c>
      <c r="F672" s="14">
        <f t="shared" si="10"/>
        <v>202208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</row>
    <row r="673" spans="1:21" ht="12.75" customHeight="1">
      <c r="A673" s="7">
        <v>143287152</v>
      </c>
      <c r="B673" s="13">
        <v>5540246175049</v>
      </c>
      <c r="C673" s="31">
        <v>44781</v>
      </c>
      <c r="D673" s="8">
        <v>418</v>
      </c>
      <c r="E673" s="14" t="str">
        <f>VLOOKUP(B673, 'Catégorie des articles'!A:E, 4, FALSE)</f>
        <v>CREMERIE</v>
      </c>
      <c r="F673" s="14">
        <f t="shared" si="10"/>
        <v>202208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</row>
    <row r="674" spans="1:21" ht="12.75" customHeight="1">
      <c r="A674" s="10">
        <v>143287152</v>
      </c>
      <c r="B674" s="15">
        <v>5540246175050</v>
      </c>
      <c r="C674" s="32">
        <v>44781</v>
      </c>
      <c r="D674" s="11">
        <v>418</v>
      </c>
      <c r="E674" s="14" t="str">
        <f>VLOOKUP(B674, 'Catégorie des articles'!A:E, 4, FALSE)</f>
        <v>CREMERIE</v>
      </c>
      <c r="F674" s="14">
        <f t="shared" si="10"/>
        <v>202208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</row>
    <row r="675" spans="1:21" ht="12.75" customHeight="1">
      <c r="A675" s="7">
        <v>143287152</v>
      </c>
      <c r="B675" s="13">
        <v>5540246190743</v>
      </c>
      <c r="C675" s="31">
        <v>44781</v>
      </c>
      <c r="D675" s="8">
        <v>140</v>
      </c>
      <c r="E675" s="14" t="str">
        <f>VLOOKUP(B675, 'Catégorie des articles'!A:E, 4, FALSE)</f>
        <v>CREMERIE</v>
      </c>
      <c r="F675" s="14">
        <f t="shared" si="10"/>
        <v>202208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</row>
    <row r="676" spans="1:21" ht="12.75" customHeight="1">
      <c r="A676" s="7">
        <v>143287159</v>
      </c>
      <c r="B676" s="13">
        <v>5540246171933</v>
      </c>
      <c r="C676" s="31">
        <v>44773</v>
      </c>
      <c r="D676" s="8">
        <v>335</v>
      </c>
      <c r="E676" s="14" t="str">
        <f>VLOOKUP(B676, 'Catégorie des articles'!A:E, 4, FALSE)</f>
        <v>CREMERIE</v>
      </c>
      <c r="F676" s="14">
        <f t="shared" si="10"/>
        <v>202207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</row>
    <row r="677" spans="1:21" ht="12.75" customHeight="1">
      <c r="A677" s="10">
        <v>143287159</v>
      </c>
      <c r="B677" s="15">
        <v>5540246176294</v>
      </c>
      <c r="C677" s="32">
        <v>44773</v>
      </c>
      <c r="D677" s="11">
        <v>743</v>
      </c>
      <c r="E677" s="14" t="str">
        <f>VLOOKUP(B677, 'Catégorie des articles'!A:E, 4, FALSE)</f>
        <v>CREMERIE</v>
      </c>
      <c r="F677" s="14">
        <f t="shared" si="10"/>
        <v>202207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spans="1:21" ht="12.75" customHeight="1">
      <c r="A678" s="7">
        <v>143287159</v>
      </c>
      <c r="B678" s="13">
        <v>5540246187987</v>
      </c>
      <c r="C678" s="31">
        <v>44773</v>
      </c>
      <c r="D678" s="8">
        <v>1671</v>
      </c>
      <c r="E678" s="14" t="str">
        <f>VLOOKUP(B678, 'Catégorie des articles'!A:E, 4, FALSE)</f>
        <v>CREMERIE</v>
      </c>
      <c r="F678" s="14">
        <f t="shared" si="10"/>
        <v>202207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</row>
    <row r="679" spans="1:21" ht="12.75" customHeight="1">
      <c r="A679" s="7">
        <v>143287163</v>
      </c>
      <c r="B679" s="13">
        <v>5540246172978</v>
      </c>
      <c r="C679" s="31">
        <v>44773</v>
      </c>
      <c r="D679" s="8">
        <v>836</v>
      </c>
      <c r="E679" s="14" t="str">
        <f>VLOOKUP(B679, 'Catégorie des articles'!A:E, 4, FALSE)</f>
        <v>CREMERIE</v>
      </c>
      <c r="F679" s="14">
        <f t="shared" si="10"/>
        <v>202207</v>
      </c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</row>
    <row r="680" spans="1:21" ht="12.75" customHeight="1">
      <c r="A680" s="10">
        <v>143287163</v>
      </c>
      <c r="B680" s="15">
        <v>5540246176699</v>
      </c>
      <c r="C680" s="32">
        <v>44773</v>
      </c>
      <c r="D680" s="11">
        <v>836</v>
      </c>
      <c r="E680" s="14" t="str">
        <f>VLOOKUP(B680, 'Catégorie des articles'!A:E, 4, FALSE)</f>
        <v>CREMERIE</v>
      </c>
      <c r="F680" s="14">
        <f t="shared" si="10"/>
        <v>202207</v>
      </c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</row>
    <row r="681" spans="1:21" ht="12.75" customHeight="1">
      <c r="A681" s="10">
        <v>143287169</v>
      </c>
      <c r="B681" s="15">
        <v>5540246183587</v>
      </c>
      <c r="C681" s="32">
        <v>44791</v>
      </c>
      <c r="D681" s="11">
        <v>502</v>
      </c>
      <c r="E681" s="14" t="str">
        <f>VLOOKUP(B681, 'Catégorie des articles'!A:E, 4, FALSE)</f>
        <v>MIX LEGUMES</v>
      </c>
      <c r="F681" s="14">
        <f t="shared" si="10"/>
        <v>202208</v>
      </c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</row>
    <row r="682" spans="1:21" ht="12.75" customHeight="1">
      <c r="A682" s="7">
        <v>143287169</v>
      </c>
      <c r="B682" s="13">
        <v>5540246183589</v>
      </c>
      <c r="C682" s="31">
        <v>44791</v>
      </c>
      <c r="D682" s="8">
        <v>650</v>
      </c>
      <c r="E682" s="14" t="str">
        <f>VLOOKUP(B682, 'Catégorie des articles'!A:E, 4, FALSE)</f>
        <v>MIX LEGUMES</v>
      </c>
      <c r="F682" s="14">
        <f t="shared" si="10"/>
        <v>202208</v>
      </c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</row>
    <row r="683" spans="1:21" ht="12.75" customHeight="1">
      <c r="A683" s="10">
        <v>143287172</v>
      </c>
      <c r="B683" s="15">
        <v>5540246180522</v>
      </c>
      <c r="C683" s="32">
        <v>44781</v>
      </c>
      <c r="D683" s="11">
        <v>891</v>
      </c>
      <c r="E683" s="14" t="str">
        <f>VLOOKUP(B683, 'Catégorie des articles'!A:E, 4, FALSE)</f>
        <v>BOULANGERIE</v>
      </c>
      <c r="F683" s="14">
        <f t="shared" si="10"/>
        <v>202208</v>
      </c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</row>
    <row r="684" spans="1:21" ht="12.75" customHeight="1">
      <c r="A684" s="10">
        <v>143287173</v>
      </c>
      <c r="B684" s="15">
        <v>5540246194632</v>
      </c>
      <c r="C684" s="32">
        <v>44784</v>
      </c>
      <c r="D684" s="11">
        <v>669</v>
      </c>
      <c r="E684" s="14" t="str">
        <f>VLOOKUP(B684, 'Catégorie des articles'!A:E, 4, FALSE)</f>
        <v>BOULANGERIE</v>
      </c>
      <c r="F684" s="14">
        <f t="shared" si="10"/>
        <v>202208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</row>
    <row r="685" spans="1:21" ht="12.75" customHeight="1">
      <c r="A685" s="10">
        <v>143287181</v>
      </c>
      <c r="B685" s="15">
        <v>5540246176294</v>
      </c>
      <c r="C685" s="32">
        <v>44774</v>
      </c>
      <c r="D685" s="11">
        <v>743</v>
      </c>
      <c r="E685" s="14" t="str">
        <f>VLOOKUP(B685, 'Catégorie des articles'!A:E, 4, FALSE)</f>
        <v>CREMERIE</v>
      </c>
      <c r="F685" s="14">
        <f t="shared" si="10"/>
        <v>202208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</row>
    <row r="686" spans="1:21" ht="12.75" customHeight="1">
      <c r="A686" s="7">
        <v>143287181</v>
      </c>
      <c r="B686" s="13">
        <v>5540246176295</v>
      </c>
      <c r="C686" s="31">
        <v>44774</v>
      </c>
      <c r="D686" s="8">
        <v>2970</v>
      </c>
      <c r="E686" s="14" t="str">
        <f>VLOOKUP(B686, 'Catégorie des articles'!A:E, 4, FALSE)</f>
        <v>CREMERIE</v>
      </c>
      <c r="F686" s="14">
        <f t="shared" si="10"/>
        <v>202208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</row>
    <row r="687" spans="1:21" ht="12.75" customHeight="1">
      <c r="A687" s="10">
        <v>143287181</v>
      </c>
      <c r="B687" s="15">
        <v>5540246187987</v>
      </c>
      <c r="C687" s="32">
        <v>44774</v>
      </c>
      <c r="D687" s="11">
        <v>1671</v>
      </c>
      <c r="E687" s="14" t="str">
        <f>VLOOKUP(B687, 'Catégorie des articles'!A:E, 4, FALSE)</f>
        <v>CREMERIE</v>
      </c>
      <c r="F687" s="14">
        <f t="shared" si="10"/>
        <v>202208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</row>
    <row r="688" spans="1:21" ht="12.75" customHeight="1">
      <c r="A688" s="7">
        <v>143287181</v>
      </c>
      <c r="B688" s="13">
        <v>5540246188200</v>
      </c>
      <c r="C688" s="31">
        <v>44774</v>
      </c>
      <c r="D688" s="8">
        <v>372</v>
      </c>
      <c r="E688" s="14" t="str">
        <f>VLOOKUP(B688, 'Catégorie des articles'!A:E, 4, FALSE)</f>
        <v>CREMERIE</v>
      </c>
      <c r="F688" s="14">
        <f t="shared" si="10"/>
        <v>202208</v>
      </c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</row>
    <row r="689" spans="1:21" ht="12.75" customHeight="1">
      <c r="A689" s="7">
        <v>143287185</v>
      </c>
      <c r="B689" s="13">
        <v>5540246172669</v>
      </c>
      <c r="C689" s="31">
        <v>44774</v>
      </c>
      <c r="D689" s="8">
        <v>279</v>
      </c>
      <c r="E689" s="14" t="str">
        <f>VLOOKUP(B689, 'Catégorie des articles'!A:E, 4, FALSE)</f>
        <v>CREMERIE</v>
      </c>
      <c r="F689" s="14">
        <f t="shared" si="10"/>
        <v>202208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</row>
    <row r="690" spans="1:21" ht="12.75" customHeight="1">
      <c r="A690" s="10">
        <v>143287185</v>
      </c>
      <c r="B690" s="15">
        <v>5540246172978</v>
      </c>
      <c r="C690" s="32">
        <v>44774</v>
      </c>
      <c r="D690" s="11">
        <v>836</v>
      </c>
      <c r="E690" s="14" t="str">
        <f>VLOOKUP(B690, 'Catégorie des articles'!A:E, 4, FALSE)</f>
        <v>CREMERIE</v>
      </c>
      <c r="F690" s="14">
        <f t="shared" si="10"/>
        <v>202208</v>
      </c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spans="1:21" ht="12.75" customHeight="1">
      <c r="A691" s="7">
        <v>143287185</v>
      </c>
      <c r="B691" s="13">
        <v>5540246174174</v>
      </c>
      <c r="C691" s="31">
        <v>44774</v>
      </c>
      <c r="D691" s="8">
        <v>232</v>
      </c>
      <c r="E691" s="14" t="str">
        <f>VLOOKUP(B691, 'Catégorie des articles'!A:E, 4, FALSE)</f>
        <v>CREMERIE</v>
      </c>
      <c r="F691" s="14">
        <f t="shared" si="10"/>
        <v>202208</v>
      </c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</row>
    <row r="692" spans="1:21" ht="12.75" customHeight="1">
      <c r="A692" s="7">
        <v>143287208</v>
      </c>
      <c r="B692" s="13">
        <v>5540246171933</v>
      </c>
      <c r="C692" s="31">
        <v>44777</v>
      </c>
      <c r="D692" s="8">
        <v>1114</v>
      </c>
      <c r="E692" s="14" t="str">
        <f>VLOOKUP(B692, 'Catégorie des articles'!A:E, 4, FALSE)</f>
        <v>CREMERIE</v>
      </c>
      <c r="F692" s="14">
        <f t="shared" si="10"/>
        <v>202208</v>
      </c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</row>
    <row r="693" spans="1:21" ht="12.75" customHeight="1">
      <c r="A693" s="10">
        <v>143287208</v>
      </c>
      <c r="B693" s="15">
        <v>5540246176294</v>
      </c>
      <c r="C693" s="32">
        <v>44777</v>
      </c>
      <c r="D693" s="11">
        <v>1485</v>
      </c>
      <c r="E693" s="14" t="str">
        <f>VLOOKUP(B693, 'Catégorie des articles'!A:E, 4, FALSE)</f>
        <v>CREMERIE</v>
      </c>
      <c r="F693" s="14">
        <f t="shared" si="10"/>
        <v>202208</v>
      </c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</row>
    <row r="694" spans="1:21" ht="12.75" customHeight="1">
      <c r="A694" s="7">
        <v>143287208</v>
      </c>
      <c r="B694" s="13">
        <v>5540246176295</v>
      </c>
      <c r="C694" s="31">
        <v>44777</v>
      </c>
      <c r="D694" s="8">
        <v>3564</v>
      </c>
      <c r="E694" s="14" t="str">
        <f>VLOOKUP(B694, 'Catégorie des articles'!A:E, 4, FALSE)</f>
        <v>CREMERIE</v>
      </c>
      <c r="F694" s="14">
        <f t="shared" si="10"/>
        <v>202208</v>
      </c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</row>
    <row r="695" spans="1:21" ht="12.75" customHeight="1">
      <c r="A695" s="7">
        <v>143287208</v>
      </c>
      <c r="B695" s="13">
        <v>5540246187987</v>
      </c>
      <c r="C695" s="31">
        <v>44777</v>
      </c>
      <c r="D695" s="8">
        <v>3898</v>
      </c>
      <c r="E695" s="14" t="str">
        <f>VLOOKUP(B695, 'Catégorie des articles'!A:E, 4, FALSE)</f>
        <v>CREMERIE</v>
      </c>
      <c r="F695" s="14">
        <f t="shared" si="10"/>
        <v>202208</v>
      </c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</row>
    <row r="696" spans="1:21" ht="12.75" customHeight="1">
      <c r="A696" s="10">
        <v>143287208</v>
      </c>
      <c r="B696" s="15">
        <v>5540246188200</v>
      </c>
      <c r="C696" s="32">
        <v>44777</v>
      </c>
      <c r="D696" s="11">
        <v>743</v>
      </c>
      <c r="E696" s="14" t="str">
        <f>VLOOKUP(B696, 'Catégorie des articles'!A:E, 4, FALSE)</f>
        <v>CREMERIE</v>
      </c>
      <c r="F696" s="14">
        <f t="shared" si="10"/>
        <v>202208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</row>
    <row r="697" spans="1:21" ht="12.75" customHeight="1">
      <c r="A697" s="10">
        <v>143287212</v>
      </c>
      <c r="B697" s="15">
        <v>5540246171933</v>
      </c>
      <c r="C697" s="32">
        <v>44774</v>
      </c>
      <c r="D697" s="11">
        <v>557</v>
      </c>
      <c r="E697" s="14" t="str">
        <f>VLOOKUP(B697, 'Catégorie des articles'!A:E, 4, FALSE)</f>
        <v>CREMERIE</v>
      </c>
      <c r="F697" s="14">
        <f t="shared" si="10"/>
        <v>202208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</row>
    <row r="698" spans="1:21" ht="12.75" customHeight="1">
      <c r="A698" s="7">
        <v>143287212</v>
      </c>
      <c r="B698" s="13">
        <v>5540246176294</v>
      </c>
      <c r="C698" s="31">
        <v>44774</v>
      </c>
      <c r="D698" s="8">
        <v>743</v>
      </c>
      <c r="E698" s="14" t="str">
        <f>VLOOKUP(B698, 'Catégorie des articles'!A:E, 4, FALSE)</f>
        <v>CREMERIE</v>
      </c>
      <c r="F698" s="14">
        <f t="shared" si="10"/>
        <v>202208</v>
      </c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</row>
    <row r="699" spans="1:21" ht="12.75" customHeight="1">
      <c r="A699" s="10">
        <v>143287212</v>
      </c>
      <c r="B699" s="15">
        <v>5540246176295</v>
      </c>
      <c r="C699" s="32">
        <v>44774</v>
      </c>
      <c r="D699" s="11">
        <v>2228</v>
      </c>
      <c r="E699" s="14" t="str">
        <f>VLOOKUP(B699, 'Catégorie des articles'!A:E, 4, FALSE)</f>
        <v>CREMERIE</v>
      </c>
      <c r="F699" s="14">
        <f t="shared" si="10"/>
        <v>202208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</row>
    <row r="700" spans="1:21" ht="12.75" customHeight="1">
      <c r="A700" s="7">
        <v>143287212</v>
      </c>
      <c r="B700" s="13">
        <v>5540246187987</v>
      </c>
      <c r="C700" s="31">
        <v>44774</v>
      </c>
      <c r="D700" s="8">
        <v>2228</v>
      </c>
      <c r="E700" s="14" t="str">
        <f>VLOOKUP(B700, 'Catégorie des articles'!A:E, 4, FALSE)</f>
        <v>CREMERIE</v>
      </c>
      <c r="F700" s="14">
        <f t="shared" si="10"/>
        <v>202208</v>
      </c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</row>
    <row r="701" spans="1:21" ht="12.75" customHeight="1">
      <c r="A701" s="10">
        <v>143287212</v>
      </c>
      <c r="B701" s="15">
        <v>5540246188200</v>
      </c>
      <c r="C701" s="32">
        <v>44774</v>
      </c>
      <c r="D701" s="11">
        <v>186</v>
      </c>
      <c r="E701" s="14" t="str">
        <f>VLOOKUP(B701, 'Catégorie des articles'!A:E, 4, FALSE)</f>
        <v>CREMERIE</v>
      </c>
      <c r="F701" s="14">
        <f t="shared" si="10"/>
        <v>202208</v>
      </c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</row>
    <row r="702" spans="1:21" ht="12.75" customHeight="1">
      <c r="A702" s="10">
        <v>143287213</v>
      </c>
      <c r="B702" s="15">
        <v>5540246176699</v>
      </c>
      <c r="C702" s="32">
        <v>44774</v>
      </c>
      <c r="D702" s="11">
        <v>1253</v>
      </c>
      <c r="E702" s="14" t="str">
        <f>VLOOKUP(B702, 'Catégorie des articles'!A:E, 4, FALSE)</f>
        <v>CREMERIE</v>
      </c>
      <c r="F702" s="14">
        <f t="shared" si="10"/>
        <v>202208</v>
      </c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</row>
    <row r="703" spans="1:21" ht="12.75" customHeight="1">
      <c r="A703" s="7">
        <v>143287214</v>
      </c>
      <c r="B703" s="13">
        <v>5540246172978</v>
      </c>
      <c r="C703" s="31">
        <v>44777</v>
      </c>
      <c r="D703" s="8">
        <v>836</v>
      </c>
      <c r="E703" s="14" t="str">
        <f>VLOOKUP(B703, 'Catégorie des articles'!A:E, 4, FALSE)</f>
        <v>CREMERIE</v>
      </c>
      <c r="F703" s="14">
        <f t="shared" si="10"/>
        <v>202208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</row>
    <row r="704" spans="1:21" ht="12.75" customHeight="1">
      <c r="A704" s="10">
        <v>143287214</v>
      </c>
      <c r="B704" s="15">
        <v>5540246174174</v>
      </c>
      <c r="C704" s="32">
        <v>44777</v>
      </c>
      <c r="D704" s="11">
        <v>232</v>
      </c>
      <c r="E704" s="14" t="str">
        <f>VLOOKUP(B704, 'Catégorie des articles'!A:E, 4, FALSE)</f>
        <v>CREMERIE</v>
      </c>
      <c r="F704" s="14">
        <f t="shared" si="10"/>
        <v>202208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</row>
    <row r="705" spans="1:21" ht="12.75" customHeight="1">
      <c r="A705" s="10">
        <v>143287214</v>
      </c>
      <c r="B705" s="15">
        <v>5540246176699</v>
      </c>
      <c r="C705" s="32">
        <v>44777</v>
      </c>
      <c r="D705" s="11">
        <v>2088</v>
      </c>
      <c r="E705" s="14" t="str">
        <f>VLOOKUP(B705, 'Catégorie des articles'!A:E, 4, FALSE)</f>
        <v>CREMERIE</v>
      </c>
      <c r="F705" s="14">
        <f t="shared" si="10"/>
        <v>202208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</row>
    <row r="706" spans="1:21" ht="12.75" customHeight="1">
      <c r="A706" s="7">
        <v>143287219</v>
      </c>
      <c r="B706" s="13">
        <v>5540246174095</v>
      </c>
      <c r="C706" s="31">
        <v>44778</v>
      </c>
      <c r="D706" s="8">
        <v>70</v>
      </c>
      <c r="E706" s="14" t="str">
        <f>VLOOKUP(B706, 'Catégorie des articles'!A:E, 4, FALSE)</f>
        <v>CREMERIE</v>
      </c>
      <c r="F706" s="14">
        <f t="shared" ref="F706:F769" si="11">YEAR(C706)*100 + MONTH(C706)</f>
        <v>202208</v>
      </c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</row>
    <row r="707" spans="1:21" ht="12.75" customHeight="1">
      <c r="A707" s="7">
        <v>143287220</v>
      </c>
      <c r="B707" s="13">
        <v>5540246181061</v>
      </c>
      <c r="C707" s="31">
        <v>44779</v>
      </c>
      <c r="D707" s="8">
        <v>3871</v>
      </c>
      <c r="E707" s="14" t="str">
        <f>VLOOKUP(B707, 'Catégorie des articles'!A:E, 4, FALSE)</f>
        <v>VOLAILLE</v>
      </c>
      <c r="F707" s="14">
        <f t="shared" si="11"/>
        <v>202208</v>
      </c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</row>
    <row r="708" spans="1:21" ht="12.75" customHeight="1">
      <c r="A708" s="10">
        <v>143287220</v>
      </c>
      <c r="B708" s="15">
        <v>5540246183547</v>
      </c>
      <c r="C708" s="32">
        <v>44779</v>
      </c>
      <c r="D708" s="11">
        <v>2228</v>
      </c>
      <c r="E708" s="14" t="str">
        <f>VLOOKUP(B708, 'Catégorie des articles'!A:E, 4, FALSE)</f>
        <v>VOLAILLE</v>
      </c>
      <c r="F708" s="14">
        <f t="shared" si="11"/>
        <v>202208</v>
      </c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</row>
    <row r="709" spans="1:21" ht="12.75" customHeight="1">
      <c r="A709" s="7">
        <v>143287220</v>
      </c>
      <c r="B709" s="13">
        <v>5540246185278</v>
      </c>
      <c r="C709" s="31">
        <v>44779</v>
      </c>
      <c r="D709" s="8">
        <v>1120</v>
      </c>
      <c r="E709" s="14" t="str">
        <f>VLOOKUP(B709, 'Catégorie des articles'!A:E, 4, FALSE)</f>
        <v>VOLAILLE</v>
      </c>
      <c r="F709" s="14">
        <f t="shared" si="11"/>
        <v>202208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</row>
    <row r="710" spans="1:21" ht="12.75" customHeight="1">
      <c r="A710" s="7">
        <v>143287222</v>
      </c>
      <c r="B710" s="13">
        <v>5540246183558</v>
      </c>
      <c r="C710" s="31">
        <v>44785</v>
      </c>
      <c r="D710" s="8">
        <v>2599</v>
      </c>
      <c r="E710" s="14" t="str">
        <f>VLOOKUP(B710, 'Catégorie des articles'!A:E, 4, FALSE)</f>
        <v>MIX LEGUMES</v>
      </c>
      <c r="F710" s="14">
        <f t="shared" si="11"/>
        <v>202208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</row>
    <row r="711" spans="1:21" ht="12.75" customHeight="1">
      <c r="A711" s="10">
        <v>143287222</v>
      </c>
      <c r="B711" s="15">
        <v>5540246183560</v>
      </c>
      <c r="C711" s="32">
        <v>44785</v>
      </c>
      <c r="D711" s="11">
        <v>223</v>
      </c>
      <c r="E711" s="14" t="str">
        <f>VLOOKUP(B711, 'Catégorie des articles'!A:E, 4, FALSE)</f>
        <v>MIX LEGUMES</v>
      </c>
      <c r="F711" s="14">
        <f t="shared" si="11"/>
        <v>202208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</row>
    <row r="712" spans="1:21" ht="12.75" customHeight="1">
      <c r="A712" s="7">
        <v>143287222</v>
      </c>
      <c r="B712" s="13">
        <v>5540246192209</v>
      </c>
      <c r="C712" s="31">
        <v>44785</v>
      </c>
      <c r="D712" s="8">
        <v>1114</v>
      </c>
      <c r="E712" s="14" t="str">
        <f>VLOOKUP(B712, 'Catégorie des articles'!A:E, 4, FALSE)</f>
        <v>MIX LEGUMES</v>
      </c>
      <c r="F712" s="14">
        <f t="shared" si="11"/>
        <v>202208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</row>
    <row r="713" spans="1:21" ht="12.75" customHeight="1">
      <c r="A713" s="10">
        <v>143287222</v>
      </c>
      <c r="B713" s="15">
        <v>5540246192462</v>
      </c>
      <c r="C713" s="32">
        <v>44785</v>
      </c>
      <c r="D713" s="11">
        <v>1114</v>
      </c>
      <c r="E713" s="14" t="str">
        <f>VLOOKUP(B713, 'Catégorie des articles'!A:E, 4, FALSE)</f>
        <v>MIX LEGUMES</v>
      </c>
      <c r="F713" s="14">
        <f t="shared" si="11"/>
        <v>202208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</row>
    <row r="714" spans="1:21" ht="12.75" customHeight="1">
      <c r="A714" s="7">
        <v>143287223</v>
      </c>
      <c r="B714" s="13">
        <v>5540246192264</v>
      </c>
      <c r="C714" s="31">
        <v>44801</v>
      </c>
      <c r="D714" s="8">
        <v>1485</v>
      </c>
      <c r="E714" s="14" t="str">
        <f>VLOOKUP(B714, 'Catégorie des articles'!A:E, 4, FALSE)</f>
        <v>CREMERIE</v>
      </c>
      <c r="F714" s="14">
        <f t="shared" si="11"/>
        <v>202208</v>
      </c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</row>
    <row r="715" spans="1:21" ht="12.75" customHeight="1">
      <c r="A715" s="10">
        <v>143287223</v>
      </c>
      <c r="B715" s="15">
        <v>5540246192265</v>
      </c>
      <c r="C715" s="32">
        <v>44801</v>
      </c>
      <c r="D715" s="11">
        <v>297</v>
      </c>
      <c r="E715" s="14" t="str">
        <f>VLOOKUP(B715, 'Catégorie des articles'!A:E, 4, FALSE)</f>
        <v>CREMERIE</v>
      </c>
      <c r="F715" s="14">
        <f t="shared" si="11"/>
        <v>202208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</row>
    <row r="716" spans="1:21" ht="12.75" customHeight="1">
      <c r="A716" s="10">
        <v>143287228</v>
      </c>
      <c r="B716" s="15">
        <v>5540246188583</v>
      </c>
      <c r="C716" s="32">
        <v>44777</v>
      </c>
      <c r="D716" s="11">
        <v>2228</v>
      </c>
      <c r="E716" s="14" t="str">
        <f>VLOOKUP(B716, 'Catégorie des articles'!A:E, 4, FALSE)</f>
        <v>BOULANGERIE</v>
      </c>
      <c r="F716" s="14">
        <f t="shared" si="11"/>
        <v>202208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</row>
    <row r="717" spans="1:21" ht="12.75" customHeight="1">
      <c r="A717" s="7">
        <v>143287229</v>
      </c>
      <c r="B717" s="13">
        <v>5540246170256</v>
      </c>
      <c r="C717" s="31">
        <v>44780</v>
      </c>
      <c r="D717" s="8">
        <v>3880</v>
      </c>
      <c r="E717" s="14" t="str">
        <f>VLOOKUP(B717, 'Catégorie des articles'!A:E, 4, FALSE)</f>
        <v>BOULANGERIE</v>
      </c>
      <c r="F717" s="14">
        <f t="shared" si="11"/>
        <v>202208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</row>
    <row r="718" spans="1:21" ht="12.75" customHeight="1">
      <c r="A718" s="10">
        <v>143287248</v>
      </c>
      <c r="B718" s="15">
        <v>5540246172978</v>
      </c>
      <c r="C718" s="32">
        <v>44778</v>
      </c>
      <c r="D718" s="11">
        <v>836</v>
      </c>
      <c r="E718" s="14" t="str">
        <f>VLOOKUP(B718, 'Catégorie des articles'!A:E, 4, FALSE)</f>
        <v>CREMERIE</v>
      </c>
      <c r="F718" s="14">
        <f t="shared" si="11"/>
        <v>202208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</row>
    <row r="719" spans="1:21" ht="12.75" customHeight="1">
      <c r="A719" s="10">
        <v>143287248</v>
      </c>
      <c r="B719" s="15">
        <v>5540246176699</v>
      </c>
      <c r="C719" s="32">
        <v>44778</v>
      </c>
      <c r="D719" s="11">
        <v>2088</v>
      </c>
      <c r="E719" s="14" t="str">
        <f>VLOOKUP(B719, 'Catégorie des articles'!A:E, 4, FALSE)</f>
        <v>CREMERIE</v>
      </c>
      <c r="F719" s="14">
        <f t="shared" si="11"/>
        <v>202208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</row>
    <row r="720" spans="1:21" ht="12.75" customHeight="1">
      <c r="A720" s="7">
        <v>143287249</v>
      </c>
      <c r="B720" s="13">
        <v>5540246185429</v>
      </c>
      <c r="C720" s="31">
        <v>44780</v>
      </c>
      <c r="D720" s="8">
        <v>195</v>
      </c>
      <c r="E720" s="14" t="str">
        <f>VLOOKUP(B720, 'Catégorie des articles'!A:E, 4, FALSE)</f>
        <v>CREMERIE</v>
      </c>
      <c r="F720" s="14">
        <f t="shared" si="11"/>
        <v>202208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</row>
    <row r="721" spans="1:21" ht="12.75" customHeight="1">
      <c r="A721" s="10">
        <v>143287252</v>
      </c>
      <c r="B721" s="15">
        <v>5540246194330</v>
      </c>
      <c r="C721" s="32">
        <v>44781</v>
      </c>
      <c r="D721" s="11">
        <v>9169</v>
      </c>
      <c r="E721" s="14" t="str">
        <f>VLOOKUP(B721, 'Catégorie des articles'!A:E, 4, FALSE)</f>
        <v>MIX LEGUMES</v>
      </c>
      <c r="F721" s="14">
        <f t="shared" si="11"/>
        <v>202208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</row>
    <row r="722" spans="1:21" ht="12.75" customHeight="1">
      <c r="A722" s="10">
        <v>143287255</v>
      </c>
      <c r="B722" s="15">
        <v>5540246171759</v>
      </c>
      <c r="C722" s="32">
        <v>44779</v>
      </c>
      <c r="D722" s="11">
        <v>5012</v>
      </c>
      <c r="E722" s="14" t="str">
        <f>VLOOKUP(B722, 'Catégorie des articles'!A:E, 4, FALSE)</f>
        <v>MIX LEGUMES</v>
      </c>
      <c r="F722" s="14">
        <f t="shared" si="11"/>
        <v>202208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</row>
    <row r="723" spans="1:21" ht="12.75" customHeight="1">
      <c r="A723" s="7">
        <v>143287255</v>
      </c>
      <c r="B723" s="13">
        <v>5540246177133</v>
      </c>
      <c r="C723" s="31">
        <v>44779</v>
      </c>
      <c r="D723" s="8">
        <v>4455</v>
      </c>
      <c r="E723" s="14" t="str">
        <f>VLOOKUP(B723, 'Catégorie des articles'!A:E, 4, FALSE)</f>
        <v>MIX LEGUMES</v>
      </c>
      <c r="F723" s="14">
        <f t="shared" si="11"/>
        <v>202208</v>
      </c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</row>
    <row r="724" spans="1:21" ht="12.75" customHeight="1">
      <c r="A724" s="10">
        <v>143287255</v>
      </c>
      <c r="B724" s="15">
        <v>5540246192148</v>
      </c>
      <c r="C724" s="32">
        <v>44779</v>
      </c>
      <c r="D724" s="11">
        <v>16704</v>
      </c>
      <c r="E724" s="14" t="str">
        <f>VLOOKUP(B724, 'Catégorie des articles'!A:E, 4, FALSE)</f>
        <v>MIX LEGUMES</v>
      </c>
      <c r="F724" s="14">
        <f t="shared" si="11"/>
        <v>202208</v>
      </c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</row>
    <row r="725" spans="1:21" ht="12.75" customHeight="1">
      <c r="A725" s="7">
        <v>143287262</v>
      </c>
      <c r="B725" s="13">
        <v>5540246176294</v>
      </c>
      <c r="C725" s="31">
        <v>44779</v>
      </c>
      <c r="D725" s="8">
        <v>743</v>
      </c>
      <c r="E725" s="14" t="str">
        <f>VLOOKUP(B725, 'Catégorie des articles'!A:E, 4, FALSE)</f>
        <v>CREMERIE</v>
      </c>
      <c r="F725" s="14">
        <f t="shared" si="11"/>
        <v>202208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</row>
    <row r="726" spans="1:21" ht="12.75" customHeight="1">
      <c r="A726" s="7">
        <v>143297271</v>
      </c>
      <c r="B726" s="13">
        <v>5540246176295</v>
      </c>
      <c r="C726" s="31">
        <v>44779</v>
      </c>
      <c r="D726" s="8">
        <v>4455</v>
      </c>
      <c r="E726" s="14" t="str">
        <f>VLOOKUP(B726, 'Catégorie des articles'!A:E, 4, FALSE)</f>
        <v>CREMERIE</v>
      </c>
      <c r="F726" s="14">
        <f t="shared" si="11"/>
        <v>202208</v>
      </c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</row>
    <row r="727" spans="1:21" ht="12.75" customHeight="1">
      <c r="A727" s="7">
        <v>143297271</v>
      </c>
      <c r="B727" s="13">
        <v>5540246188200</v>
      </c>
      <c r="C727" s="31">
        <v>44779</v>
      </c>
      <c r="D727" s="8">
        <v>743</v>
      </c>
      <c r="E727" s="14" t="str">
        <f>VLOOKUP(B727, 'Catégorie des articles'!A:E, 4, FALSE)</f>
        <v>CREMERIE</v>
      </c>
      <c r="F727" s="14">
        <f t="shared" si="11"/>
        <v>202208</v>
      </c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</row>
    <row r="728" spans="1:21" ht="12.75" customHeight="1">
      <c r="A728" s="7">
        <v>143297272</v>
      </c>
      <c r="B728" s="13">
        <v>5540246174174</v>
      </c>
      <c r="C728" s="31">
        <v>44779</v>
      </c>
      <c r="D728" s="8">
        <v>232</v>
      </c>
      <c r="E728" s="14" t="str">
        <f>VLOOKUP(B728, 'Catégorie des articles'!A:E, 4, FALSE)</f>
        <v>CREMERIE</v>
      </c>
      <c r="F728" s="14">
        <f t="shared" si="11"/>
        <v>202208</v>
      </c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</row>
    <row r="729" spans="1:21" ht="12.75" customHeight="1">
      <c r="A729" s="7">
        <v>143297272</v>
      </c>
      <c r="B729" s="13">
        <v>5540246176699</v>
      </c>
      <c r="C729" s="31">
        <v>44779</v>
      </c>
      <c r="D729" s="8">
        <v>2088</v>
      </c>
      <c r="E729" s="14" t="str">
        <f>VLOOKUP(B729, 'Catégorie des articles'!A:E, 4, FALSE)</f>
        <v>CREMERIE</v>
      </c>
      <c r="F729" s="14">
        <f t="shared" si="11"/>
        <v>202208</v>
      </c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</row>
    <row r="730" spans="1:21" ht="12.75" customHeight="1">
      <c r="A730" s="10">
        <v>143297272</v>
      </c>
      <c r="B730" s="15">
        <v>5540246192102</v>
      </c>
      <c r="C730" s="32">
        <v>44779</v>
      </c>
      <c r="D730" s="11">
        <v>2005</v>
      </c>
      <c r="E730" s="14" t="str">
        <f>VLOOKUP(B730, 'Catégorie des articles'!A:E, 4, FALSE)</f>
        <v>CREMERIE</v>
      </c>
      <c r="F730" s="14">
        <f t="shared" si="11"/>
        <v>202208</v>
      </c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</row>
    <row r="731" spans="1:21" ht="12.75" customHeight="1">
      <c r="A731" s="7">
        <v>143297273</v>
      </c>
      <c r="B731" s="13">
        <v>5540246174095</v>
      </c>
      <c r="C731" s="31">
        <v>44784</v>
      </c>
      <c r="D731" s="8">
        <v>70</v>
      </c>
      <c r="E731" s="14" t="str">
        <f>VLOOKUP(B731, 'Catégorie des articles'!A:E, 4, FALSE)</f>
        <v>CREMERIE</v>
      </c>
      <c r="F731" s="14">
        <f t="shared" si="11"/>
        <v>202208</v>
      </c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</row>
    <row r="732" spans="1:21" ht="12.75" customHeight="1">
      <c r="A732" s="10">
        <v>143297273</v>
      </c>
      <c r="B732" s="15">
        <v>5540246175047</v>
      </c>
      <c r="C732" s="32">
        <v>44784</v>
      </c>
      <c r="D732" s="11">
        <v>279</v>
      </c>
      <c r="E732" s="14" t="str">
        <f>VLOOKUP(B732, 'Catégorie des articles'!A:E, 4, FALSE)</f>
        <v>CREMERIE</v>
      </c>
      <c r="F732" s="14">
        <f t="shared" si="11"/>
        <v>202208</v>
      </c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</row>
    <row r="733" spans="1:21" ht="12.75" customHeight="1">
      <c r="A733" s="7">
        <v>143297273</v>
      </c>
      <c r="B733" s="13">
        <v>5540246175049</v>
      </c>
      <c r="C733" s="31">
        <v>44784</v>
      </c>
      <c r="D733" s="8">
        <v>557</v>
      </c>
      <c r="E733" s="14" t="str">
        <f>VLOOKUP(B733, 'Catégorie des articles'!A:E, 4, FALSE)</f>
        <v>CREMERIE</v>
      </c>
      <c r="F733" s="14">
        <f t="shared" si="11"/>
        <v>202208</v>
      </c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</row>
    <row r="734" spans="1:21" ht="12.75" customHeight="1">
      <c r="A734" s="10">
        <v>143297273</v>
      </c>
      <c r="B734" s="15">
        <v>5540246175050</v>
      </c>
      <c r="C734" s="32">
        <v>44784</v>
      </c>
      <c r="D734" s="11">
        <v>557</v>
      </c>
      <c r="E734" s="14" t="str">
        <f>VLOOKUP(B734, 'Catégorie des articles'!A:E, 4, FALSE)</f>
        <v>CREMERIE</v>
      </c>
      <c r="F734" s="14">
        <f t="shared" si="11"/>
        <v>202208</v>
      </c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</row>
    <row r="735" spans="1:21" ht="12.75" customHeight="1">
      <c r="A735" s="7">
        <v>143297273</v>
      </c>
      <c r="B735" s="13">
        <v>5540246190743</v>
      </c>
      <c r="C735" s="31">
        <v>44784</v>
      </c>
      <c r="D735" s="8">
        <v>279</v>
      </c>
      <c r="E735" s="14" t="str">
        <f>VLOOKUP(B735, 'Catégorie des articles'!A:E, 4, FALSE)</f>
        <v>CREMERIE</v>
      </c>
      <c r="F735" s="14">
        <f t="shared" si="11"/>
        <v>202208</v>
      </c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</row>
    <row r="736" spans="1:21" ht="12.75" customHeight="1">
      <c r="A736" s="7">
        <v>143297289</v>
      </c>
      <c r="B736" s="13">
        <v>5540246176294</v>
      </c>
      <c r="C736" s="31">
        <v>44780</v>
      </c>
      <c r="D736" s="8">
        <v>1411</v>
      </c>
      <c r="E736" s="14" t="str">
        <f>VLOOKUP(B736, 'Catégorie des articles'!A:E, 4, FALSE)</f>
        <v>CREMERIE</v>
      </c>
      <c r="F736" s="14">
        <f t="shared" si="11"/>
        <v>202208</v>
      </c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</row>
    <row r="737" spans="1:21" ht="12.75" customHeight="1">
      <c r="A737" s="10">
        <v>143297289</v>
      </c>
      <c r="B737" s="15">
        <v>5540246176295</v>
      </c>
      <c r="C737" s="32">
        <v>44780</v>
      </c>
      <c r="D737" s="11">
        <v>7424</v>
      </c>
      <c r="E737" s="14" t="str">
        <f>VLOOKUP(B737, 'Catégorie des articles'!A:E, 4, FALSE)</f>
        <v>CREMERIE</v>
      </c>
      <c r="F737" s="14">
        <f t="shared" si="11"/>
        <v>202208</v>
      </c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</row>
    <row r="738" spans="1:21" ht="12.75" customHeight="1">
      <c r="A738" s="10">
        <v>143297289</v>
      </c>
      <c r="B738" s="15">
        <v>5540246187987</v>
      </c>
      <c r="C738" s="32">
        <v>44780</v>
      </c>
      <c r="D738" s="11">
        <v>2228</v>
      </c>
      <c r="E738" s="14" t="str">
        <f>VLOOKUP(B738, 'Catégorie des articles'!A:E, 4, FALSE)</f>
        <v>CREMERIE</v>
      </c>
      <c r="F738" s="14">
        <f t="shared" si="11"/>
        <v>202208</v>
      </c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</row>
    <row r="739" spans="1:21" ht="12.75" customHeight="1">
      <c r="A739" s="7">
        <v>143297289</v>
      </c>
      <c r="B739" s="13">
        <v>5540246188200</v>
      </c>
      <c r="C739" s="31">
        <v>44780</v>
      </c>
      <c r="D739" s="8">
        <v>1485</v>
      </c>
      <c r="E739" s="14" t="str">
        <f>VLOOKUP(B739, 'Catégorie des articles'!A:E, 4, FALSE)</f>
        <v>CREMERIE</v>
      </c>
      <c r="F739" s="14">
        <f t="shared" si="11"/>
        <v>202208</v>
      </c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</row>
    <row r="740" spans="1:21" ht="12.75" customHeight="1">
      <c r="A740" s="7">
        <v>143297291</v>
      </c>
      <c r="B740" s="13">
        <v>5540246172539</v>
      </c>
      <c r="C740" s="31">
        <v>44780</v>
      </c>
      <c r="D740" s="8">
        <v>35</v>
      </c>
      <c r="E740" s="14" t="str">
        <f>VLOOKUP(B740, 'Catégorie des articles'!A:E, 4, FALSE)</f>
        <v>CREMERIE</v>
      </c>
      <c r="F740" s="14">
        <f t="shared" si="11"/>
        <v>202208</v>
      </c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</row>
    <row r="741" spans="1:21" ht="12.75" customHeight="1">
      <c r="A741" s="10">
        <v>143297291</v>
      </c>
      <c r="B741" s="15">
        <v>5540246174174</v>
      </c>
      <c r="C741" s="32">
        <v>44780</v>
      </c>
      <c r="D741" s="11">
        <v>464</v>
      </c>
      <c r="E741" s="14" t="str">
        <f>VLOOKUP(B741, 'Catégorie des articles'!A:E, 4, FALSE)</f>
        <v>CREMERIE</v>
      </c>
      <c r="F741" s="14">
        <f t="shared" si="11"/>
        <v>202208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</row>
    <row r="742" spans="1:21" ht="12.75" customHeight="1">
      <c r="A742" s="10">
        <v>143297291</v>
      </c>
      <c r="B742" s="15">
        <v>5540246176699</v>
      </c>
      <c r="C742" s="32">
        <v>44780</v>
      </c>
      <c r="D742" s="11">
        <v>3132</v>
      </c>
      <c r="E742" s="14" t="str">
        <f>VLOOKUP(B742, 'Catégorie des articles'!A:E, 4, FALSE)</f>
        <v>CREMERIE</v>
      </c>
      <c r="F742" s="14">
        <f t="shared" si="11"/>
        <v>202208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</row>
    <row r="743" spans="1:21" ht="12.75" customHeight="1">
      <c r="A743" s="7">
        <v>143297303</v>
      </c>
      <c r="B743" s="13">
        <v>5540246183130</v>
      </c>
      <c r="C743" s="31">
        <v>44785</v>
      </c>
      <c r="D743" s="8">
        <v>1128</v>
      </c>
      <c r="E743" s="14" t="str">
        <f>VLOOKUP(B743, 'Catégorie des articles'!A:E, 4, FALSE)</f>
        <v>MIX LEGUMES</v>
      </c>
      <c r="F743" s="14">
        <f t="shared" si="11"/>
        <v>202208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</row>
    <row r="744" spans="1:21" ht="12.75" customHeight="1">
      <c r="A744" s="10">
        <v>143297303</v>
      </c>
      <c r="B744" s="15">
        <v>5540246183552</v>
      </c>
      <c r="C744" s="32">
        <v>44785</v>
      </c>
      <c r="D744" s="11">
        <v>2172</v>
      </c>
      <c r="E744" s="14" t="str">
        <f>VLOOKUP(B744, 'Catégorie des articles'!A:E, 4, FALSE)</f>
        <v>MIX LEGUMES</v>
      </c>
      <c r="F744" s="14">
        <f t="shared" si="11"/>
        <v>202208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</row>
    <row r="745" spans="1:21" ht="12.75" customHeight="1">
      <c r="A745" s="7">
        <v>143297306</v>
      </c>
      <c r="B745" s="13">
        <v>5540246193316</v>
      </c>
      <c r="C745" s="31">
        <v>44784</v>
      </c>
      <c r="D745" s="8">
        <v>335</v>
      </c>
      <c r="E745" s="14" t="str">
        <f>VLOOKUP(B745, 'Catégorie des articles'!A:E, 4, FALSE)</f>
        <v>BOULANGERIE</v>
      </c>
      <c r="F745" s="14">
        <f t="shared" si="11"/>
        <v>202208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</row>
    <row r="746" spans="1:21" ht="12.75" customHeight="1">
      <c r="A746" s="7">
        <v>143297322</v>
      </c>
      <c r="B746" s="13">
        <v>5540246172669</v>
      </c>
      <c r="C746" s="31">
        <v>44781</v>
      </c>
      <c r="D746" s="8">
        <v>279</v>
      </c>
      <c r="E746" s="14" t="str">
        <f>VLOOKUP(B746, 'Catégorie des articles'!A:E, 4, FALSE)</f>
        <v>CREMERIE</v>
      </c>
      <c r="F746" s="14">
        <f t="shared" si="11"/>
        <v>202208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</row>
    <row r="747" spans="1:21" ht="12.75" customHeight="1">
      <c r="A747" s="10">
        <v>143297322</v>
      </c>
      <c r="B747" s="15">
        <v>5540246172978</v>
      </c>
      <c r="C747" s="32">
        <v>44781</v>
      </c>
      <c r="D747" s="11">
        <v>2506</v>
      </c>
      <c r="E747" s="14" t="str">
        <f>VLOOKUP(B747, 'Catégorie des articles'!A:E, 4, FALSE)</f>
        <v>CREMERIE</v>
      </c>
      <c r="F747" s="14">
        <f t="shared" si="11"/>
        <v>202208</v>
      </c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</row>
    <row r="748" spans="1:21" ht="12.75" customHeight="1">
      <c r="A748" s="10">
        <v>143297322</v>
      </c>
      <c r="B748" s="15">
        <v>5540246176699</v>
      </c>
      <c r="C748" s="32">
        <v>44781</v>
      </c>
      <c r="D748" s="11">
        <v>3132</v>
      </c>
      <c r="E748" s="14" t="str">
        <f>VLOOKUP(B748, 'Catégorie des articles'!A:E, 4, FALSE)</f>
        <v>CREMERIE</v>
      </c>
      <c r="F748" s="14">
        <f t="shared" si="11"/>
        <v>202208</v>
      </c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</row>
    <row r="749" spans="1:21" ht="12.75" customHeight="1">
      <c r="A749" s="7">
        <v>143297322</v>
      </c>
      <c r="B749" s="13">
        <v>5540246188175</v>
      </c>
      <c r="C749" s="31">
        <v>44781</v>
      </c>
      <c r="D749" s="8">
        <v>232</v>
      </c>
      <c r="E749" s="14" t="str">
        <f>VLOOKUP(B749, 'Catégorie des articles'!A:E, 4, FALSE)</f>
        <v>CREMERIE</v>
      </c>
      <c r="F749" s="14">
        <f t="shared" si="11"/>
        <v>202208</v>
      </c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</row>
    <row r="750" spans="1:21" ht="12.75" customHeight="1">
      <c r="A750" s="7">
        <v>143297322</v>
      </c>
      <c r="B750" s="13">
        <v>5540246192102</v>
      </c>
      <c r="C750" s="31">
        <v>44781</v>
      </c>
      <c r="D750" s="8">
        <v>2005</v>
      </c>
      <c r="E750" s="14" t="str">
        <f>VLOOKUP(B750, 'Catégorie des articles'!A:E, 4, FALSE)</f>
        <v>CREMERIE</v>
      </c>
      <c r="F750" s="14">
        <f t="shared" si="11"/>
        <v>202208</v>
      </c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</row>
    <row r="751" spans="1:21" ht="12.75" customHeight="1">
      <c r="A751" s="7">
        <v>143297326</v>
      </c>
      <c r="B751" s="13">
        <v>5540246171933</v>
      </c>
      <c r="C751" s="31">
        <v>44781</v>
      </c>
      <c r="D751" s="8">
        <v>1114</v>
      </c>
      <c r="E751" s="14" t="str">
        <f>VLOOKUP(B751, 'Catégorie des articles'!A:E, 4, FALSE)</f>
        <v>CREMERIE</v>
      </c>
      <c r="F751" s="14">
        <f t="shared" si="11"/>
        <v>202208</v>
      </c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</row>
    <row r="752" spans="1:21" ht="12.75" customHeight="1">
      <c r="A752" s="10">
        <v>143297326</v>
      </c>
      <c r="B752" s="15">
        <v>5540246176295</v>
      </c>
      <c r="C752" s="32">
        <v>44781</v>
      </c>
      <c r="D752" s="11">
        <v>11136</v>
      </c>
      <c r="E752" s="14" t="str">
        <f>VLOOKUP(B752, 'Catégorie des articles'!A:E, 4, FALSE)</f>
        <v>CREMERIE</v>
      </c>
      <c r="F752" s="14">
        <f t="shared" si="11"/>
        <v>202208</v>
      </c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</row>
    <row r="753" spans="1:21" ht="12.75" customHeight="1">
      <c r="A753" s="10">
        <v>143297326</v>
      </c>
      <c r="B753" s="15">
        <v>5540246187987</v>
      </c>
      <c r="C753" s="32">
        <v>44781</v>
      </c>
      <c r="D753" s="11">
        <v>3341</v>
      </c>
      <c r="E753" s="14" t="str">
        <f>VLOOKUP(B753, 'Catégorie des articles'!A:E, 4, FALSE)</f>
        <v>CREMERIE</v>
      </c>
      <c r="F753" s="14">
        <f t="shared" si="11"/>
        <v>202208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</row>
    <row r="754" spans="1:21" ht="12.75" customHeight="1">
      <c r="A754" s="7">
        <v>143297326</v>
      </c>
      <c r="B754" s="13">
        <v>5540246188200</v>
      </c>
      <c r="C754" s="31">
        <v>44781</v>
      </c>
      <c r="D754" s="8">
        <v>1448</v>
      </c>
      <c r="E754" s="14" t="str">
        <f>VLOOKUP(B754, 'Catégorie des articles'!A:E, 4, FALSE)</f>
        <v>CREMERIE</v>
      </c>
      <c r="F754" s="14">
        <f t="shared" si="11"/>
        <v>202208</v>
      </c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</row>
    <row r="755" spans="1:21" ht="12.75" customHeight="1">
      <c r="A755" s="10">
        <v>143297348</v>
      </c>
      <c r="B755" s="15">
        <v>5540246176294</v>
      </c>
      <c r="C755" s="32">
        <v>44784</v>
      </c>
      <c r="D755" s="11">
        <v>1485</v>
      </c>
      <c r="E755" s="14" t="str">
        <f>VLOOKUP(B755, 'Catégorie des articles'!A:E, 4, FALSE)</f>
        <v>CREMERIE</v>
      </c>
      <c r="F755" s="14">
        <f t="shared" si="11"/>
        <v>202208</v>
      </c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</row>
    <row r="756" spans="1:21" ht="12.75" customHeight="1">
      <c r="A756" s="7">
        <v>143297348</v>
      </c>
      <c r="B756" s="13">
        <v>5540246176295</v>
      </c>
      <c r="C756" s="31">
        <v>44784</v>
      </c>
      <c r="D756" s="8">
        <v>7424</v>
      </c>
      <c r="E756" s="14" t="str">
        <f>VLOOKUP(B756, 'Catégorie des articles'!A:E, 4, FALSE)</f>
        <v>CREMERIE</v>
      </c>
      <c r="F756" s="14">
        <f t="shared" si="11"/>
        <v>202208</v>
      </c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</row>
    <row r="757" spans="1:21" ht="12.75" customHeight="1">
      <c r="A757" s="10">
        <v>143297348</v>
      </c>
      <c r="B757" s="15">
        <v>5540246187987</v>
      </c>
      <c r="C757" s="32">
        <v>44784</v>
      </c>
      <c r="D757" s="11">
        <v>4455</v>
      </c>
      <c r="E757" s="14" t="str">
        <f>VLOOKUP(B757, 'Catégorie des articles'!A:E, 4, FALSE)</f>
        <v>CREMERIE</v>
      </c>
      <c r="F757" s="14">
        <f t="shared" si="11"/>
        <v>202208</v>
      </c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</row>
    <row r="758" spans="1:21" ht="12.75" customHeight="1">
      <c r="A758" s="7">
        <v>143297348</v>
      </c>
      <c r="B758" s="13">
        <v>5540246188200</v>
      </c>
      <c r="C758" s="31">
        <v>44784</v>
      </c>
      <c r="D758" s="8">
        <v>743</v>
      </c>
      <c r="E758" s="14" t="str">
        <f>VLOOKUP(B758, 'Catégorie des articles'!A:E, 4, FALSE)</f>
        <v>CREMERIE</v>
      </c>
      <c r="F758" s="14">
        <f t="shared" si="11"/>
        <v>202208</v>
      </c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</row>
    <row r="759" spans="1:21" ht="12.75" customHeight="1">
      <c r="A759" s="10">
        <v>143297349</v>
      </c>
      <c r="B759" s="15">
        <v>5540246172978</v>
      </c>
      <c r="C759" s="32">
        <v>44784</v>
      </c>
      <c r="D759" s="11">
        <v>836</v>
      </c>
      <c r="E759" s="14" t="str">
        <f>VLOOKUP(B759, 'Catégorie des articles'!A:E, 4, FALSE)</f>
        <v>CREMERIE</v>
      </c>
      <c r="F759" s="14">
        <f t="shared" si="11"/>
        <v>202208</v>
      </c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</row>
    <row r="760" spans="1:21" ht="12.75" customHeight="1">
      <c r="A760" s="10">
        <v>143297349</v>
      </c>
      <c r="B760" s="15">
        <v>5540246174174</v>
      </c>
      <c r="C760" s="32">
        <v>44784</v>
      </c>
      <c r="D760" s="11">
        <v>696</v>
      </c>
      <c r="E760" s="14" t="str">
        <f>VLOOKUP(B760, 'Catégorie des articles'!A:E, 4, FALSE)</f>
        <v>CREMERIE</v>
      </c>
      <c r="F760" s="14">
        <f t="shared" si="11"/>
        <v>202208</v>
      </c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</row>
    <row r="761" spans="1:21" ht="12.75" customHeight="1">
      <c r="A761" s="10">
        <v>143297349</v>
      </c>
      <c r="B761" s="15">
        <v>5540246176699</v>
      </c>
      <c r="C761" s="32">
        <v>44784</v>
      </c>
      <c r="D761" s="11">
        <v>3132</v>
      </c>
      <c r="E761" s="14" t="str">
        <f>VLOOKUP(B761, 'Catégorie des articles'!A:E, 4, FALSE)</f>
        <v>CREMERIE</v>
      </c>
      <c r="F761" s="14">
        <f t="shared" si="11"/>
        <v>202208</v>
      </c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</row>
    <row r="762" spans="1:21" ht="12.75" customHeight="1">
      <c r="A762" s="10">
        <v>143297349</v>
      </c>
      <c r="B762" s="15">
        <v>5540246188175</v>
      </c>
      <c r="C762" s="32">
        <v>44784</v>
      </c>
      <c r="D762" s="11">
        <v>232</v>
      </c>
      <c r="E762" s="14" t="str">
        <f>VLOOKUP(B762, 'Catégorie des articles'!A:E, 4, FALSE)</f>
        <v>CREMERIE</v>
      </c>
      <c r="F762" s="14">
        <f t="shared" si="11"/>
        <v>202208</v>
      </c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</row>
    <row r="763" spans="1:21" ht="12.75" customHeight="1">
      <c r="A763" s="10">
        <v>143297351</v>
      </c>
      <c r="B763" s="15">
        <v>5540246173472</v>
      </c>
      <c r="C763" s="32">
        <v>44787</v>
      </c>
      <c r="D763" s="11">
        <v>418</v>
      </c>
      <c r="E763" s="14" t="str">
        <f>VLOOKUP(B763, 'Catégorie des articles'!A:E, 4, FALSE)</f>
        <v>CREMERIE</v>
      </c>
      <c r="F763" s="14">
        <f t="shared" si="11"/>
        <v>202208</v>
      </c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</row>
    <row r="764" spans="1:21" ht="12.75" customHeight="1">
      <c r="A764" s="7">
        <v>143297351</v>
      </c>
      <c r="B764" s="13">
        <v>5540246175049</v>
      </c>
      <c r="C764" s="31">
        <v>44787</v>
      </c>
      <c r="D764" s="8">
        <v>279</v>
      </c>
      <c r="E764" s="14" t="str">
        <f>VLOOKUP(B764, 'Catégorie des articles'!A:E, 4, FALSE)</f>
        <v>CREMERIE</v>
      </c>
      <c r="F764" s="14">
        <f t="shared" si="11"/>
        <v>202208</v>
      </c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</row>
    <row r="765" spans="1:21" ht="12.75" customHeight="1">
      <c r="A765" s="10">
        <v>143297351</v>
      </c>
      <c r="B765" s="15">
        <v>5540246175050</v>
      </c>
      <c r="C765" s="32">
        <v>44787</v>
      </c>
      <c r="D765" s="11">
        <v>279</v>
      </c>
      <c r="E765" s="14" t="str">
        <f>VLOOKUP(B765, 'Catégorie des articles'!A:E, 4, FALSE)</f>
        <v>CREMERIE</v>
      </c>
      <c r="F765" s="14">
        <f t="shared" si="11"/>
        <v>202208</v>
      </c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</row>
    <row r="766" spans="1:21" ht="12.75" customHeight="1">
      <c r="A766" s="7">
        <v>143297351</v>
      </c>
      <c r="B766" s="13">
        <v>5540246190743</v>
      </c>
      <c r="C766" s="31">
        <v>44787</v>
      </c>
      <c r="D766" s="8">
        <v>418</v>
      </c>
      <c r="E766" s="14" t="str">
        <f>VLOOKUP(B766, 'Catégorie des articles'!A:E, 4, FALSE)</f>
        <v>CREMERIE</v>
      </c>
      <c r="F766" s="14">
        <f t="shared" si="11"/>
        <v>202208</v>
      </c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</row>
    <row r="767" spans="1:21" ht="12.75" customHeight="1">
      <c r="A767" s="10">
        <v>143297353</v>
      </c>
      <c r="B767" s="15">
        <v>5540246185429</v>
      </c>
      <c r="C767" s="32">
        <v>44786</v>
      </c>
      <c r="D767" s="11">
        <v>140</v>
      </c>
      <c r="E767" s="14" t="str">
        <f>VLOOKUP(B767, 'Catégorie des articles'!A:E, 4, FALSE)</f>
        <v>CREMERIE</v>
      </c>
      <c r="F767" s="14">
        <f t="shared" si="11"/>
        <v>202208</v>
      </c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</row>
    <row r="768" spans="1:21" ht="12.75" customHeight="1">
      <c r="A768" s="7">
        <v>143297353</v>
      </c>
      <c r="B768" s="13">
        <v>5540246185562</v>
      </c>
      <c r="C768" s="31">
        <v>44786</v>
      </c>
      <c r="D768" s="8">
        <v>140</v>
      </c>
      <c r="E768" s="14" t="str">
        <f>VLOOKUP(B768, 'Catégorie des articles'!A:E, 4, FALSE)</f>
        <v>CREMERIE</v>
      </c>
      <c r="F768" s="14">
        <f t="shared" si="11"/>
        <v>202208</v>
      </c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</row>
    <row r="769" spans="1:21" ht="12.75" customHeight="1">
      <c r="A769" s="7">
        <v>143297362</v>
      </c>
      <c r="B769" s="13">
        <v>5540246194330</v>
      </c>
      <c r="C769" s="31">
        <v>44788</v>
      </c>
      <c r="D769" s="8">
        <v>4585</v>
      </c>
      <c r="E769" s="14" t="str">
        <f>VLOOKUP(B769, 'Catégorie des articles'!A:E, 4, FALSE)</f>
        <v>MIX LEGUMES</v>
      </c>
      <c r="F769" s="14">
        <f t="shared" si="11"/>
        <v>202208</v>
      </c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</row>
    <row r="770" spans="1:21" ht="12.75" customHeight="1">
      <c r="A770" s="7">
        <v>143297375</v>
      </c>
      <c r="B770" s="13">
        <v>5540246172539</v>
      </c>
      <c r="C770" s="31">
        <v>44785</v>
      </c>
      <c r="D770" s="8">
        <v>24</v>
      </c>
      <c r="E770" s="14" t="str">
        <f>VLOOKUP(B770, 'Catégorie des articles'!A:E, 4, FALSE)</f>
        <v>CREMERIE</v>
      </c>
      <c r="F770" s="14">
        <f t="shared" ref="F770:F833" si="12">YEAR(C770)*100 + MONTH(C770)</f>
        <v>202208</v>
      </c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</row>
    <row r="771" spans="1:21" ht="12.75" customHeight="1">
      <c r="A771" s="10">
        <v>143297375</v>
      </c>
      <c r="B771" s="15">
        <v>5540246172978</v>
      </c>
      <c r="C771" s="32">
        <v>44785</v>
      </c>
      <c r="D771" s="11">
        <v>836</v>
      </c>
      <c r="E771" s="14" t="str">
        <f>VLOOKUP(B771, 'Catégorie des articles'!A:E, 4, FALSE)</f>
        <v>CREMERIE</v>
      </c>
      <c r="F771" s="14">
        <f t="shared" si="12"/>
        <v>202208</v>
      </c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</row>
    <row r="772" spans="1:21" ht="12.75" customHeight="1">
      <c r="A772" s="7">
        <v>143297375</v>
      </c>
      <c r="B772" s="13">
        <v>5540246174174</v>
      </c>
      <c r="C772" s="31">
        <v>44785</v>
      </c>
      <c r="D772" s="8">
        <v>232</v>
      </c>
      <c r="E772" s="14" t="str">
        <f>VLOOKUP(B772, 'Catégorie des articles'!A:E, 4, FALSE)</f>
        <v>CREMERIE</v>
      </c>
      <c r="F772" s="14">
        <f t="shared" si="12"/>
        <v>202208</v>
      </c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</row>
    <row r="773" spans="1:21" ht="12.75" customHeight="1">
      <c r="A773" s="7">
        <v>143297375</v>
      </c>
      <c r="B773" s="13">
        <v>5540246176699</v>
      </c>
      <c r="C773" s="31">
        <v>44785</v>
      </c>
      <c r="D773" s="8">
        <v>2088</v>
      </c>
      <c r="E773" s="14" t="str">
        <f>VLOOKUP(B773, 'Catégorie des articles'!A:E, 4, FALSE)</f>
        <v>CREMERIE</v>
      </c>
      <c r="F773" s="14">
        <f t="shared" si="12"/>
        <v>202208</v>
      </c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</row>
    <row r="774" spans="1:21" ht="12.75" customHeight="1">
      <c r="A774" s="10">
        <v>143297376</v>
      </c>
      <c r="B774" s="15">
        <v>5540246171933</v>
      </c>
      <c r="C774" s="32">
        <v>44785</v>
      </c>
      <c r="D774" s="11">
        <v>1114</v>
      </c>
      <c r="E774" s="14" t="str">
        <f>VLOOKUP(B774, 'Catégorie des articles'!A:E, 4, FALSE)</f>
        <v>CREMERIE</v>
      </c>
      <c r="F774" s="14">
        <f t="shared" si="12"/>
        <v>202208</v>
      </c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</row>
    <row r="775" spans="1:21" ht="12.75" customHeight="1">
      <c r="A775" s="7">
        <v>143297376</v>
      </c>
      <c r="B775" s="13">
        <v>5540246176295</v>
      </c>
      <c r="C775" s="31">
        <v>44785</v>
      </c>
      <c r="D775" s="8">
        <v>4455</v>
      </c>
      <c r="E775" s="14" t="str">
        <f>VLOOKUP(B775, 'Catégorie des articles'!A:E, 4, FALSE)</f>
        <v>CREMERIE</v>
      </c>
      <c r="F775" s="14">
        <f t="shared" si="12"/>
        <v>202208</v>
      </c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</row>
    <row r="776" spans="1:21" ht="12.75" customHeight="1">
      <c r="A776" s="10">
        <v>143297376</v>
      </c>
      <c r="B776" s="15">
        <v>5540246188200</v>
      </c>
      <c r="C776" s="32">
        <v>44785</v>
      </c>
      <c r="D776" s="11">
        <v>743</v>
      </c>
      <c r="E776" s="14" t="str">
        <f>VLOOKUP(B776, 'Catégorie des articles'!A:E, 4, FALSE)</f>
        <v>CREMERIE</v>
      </c>
      <c r="F776" s="14">
        <f t="shared" si="12"/>
        <v>202208</v>
      </c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</row>
    <row r="777" spans="1:21" ht="12.75" customHeight="1">
      <c r="A777" s="10">
        <v>143297384</v>
      </c>
      <c r="B777" s="15">
        <v>5540246183547</v>
      </c>
      <c r="C777" s="32">
        <v>44793</v>
      </c>
      <c r="D777" s="11">
        <v>5568</v>
      </c>
      <c r="E777" s="14" t="str">
        <f>VLOOKUP(B777, 'Catégorie des articles'!A:E, 4, FALSE)</f>
        <v>VOLAILLE</v>
      </c>
      <c r="F777" s="14">
        <f t="shared" si="12"/>
        <v>202208</v>
      </c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</row>
    <row r="778" spans="1:21" ht="12.75" customHeight="1">
      <c r="A778" s="7">
        <v>143297384</v>
      </c>
      <c r="B778" s="13">
        <v>5540246185278</v>
      </c>
      <c r="C778" s="31">
        <v>44793</v>
      </c>
      <c r="D778" s="8">
        <v>2239</v>
      </c>
      <c r="E778" s="14" t="str">
        <f>VLOOKUP(B778, 'Catégorie des articles'!A:E, 4, FALSE)</f>
        <v>VOLAILLE</v>
      </c>
      <c r="F778" s="14">
        <f t="shared" si="12"/>
        <v>202208</v>
      </c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</row>
    <row r="779" spans="1:21" ht="12.75" customHeight="1">
      <c r="A779" s="7">
        <v>143297385</v>
      </c>
      <c r="B779" s="13">
        <v>5540246171759</v>
      </c>
      <c r="C779" s="31">
        <v>44787</v>
      </c>
      <c r="D779" s="8">
        <v>1253</v>
      </c>
      <c r="E779" s="14" t="str">
        <f>VLOOKUP(B779, 'Catégorie des articles'!A:E, 4, FALSE)</f>
        <v>MIX LEGUMES</v>
      </c>
      <c r="F779" s="14">
        <f t="shared" si="12"/>
        <v>202208</v>
      </c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</row>
    <row r="780" spans="1:21" ht="12.75" customHeight="1">
      <c r="A780" s="10">
        <v>143297385</v>
      </c>
      <c r="B780" s="15">
        <v>5540246177133</v>
      </c>
      <c r="C780" s="32">
        <v>44787</v>
      </c>
      <c r="D780" s="11">
        <v>3341</v>
      </c>
      <c r="E780" s="14" t="str">
        <f>VLOOKUP(B780, 'Catégorie des articles'!A:E, 4, FALSE)</f>
        <v>MIX LEGUMES</v>
      </c>
      <c r="F780" s="14">
        <f t="shared" si="12"/>
        <v>202208</v>
      </c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</row>
    <row r="781" spans="1:21" ht="12.75" customHeight="1">
      <c r="A781" s="7">
        <v>143297385</v>
      </c>
      <c r="B781" s="13">
        <v>5540246192148</v>
      </c>
      <c r="C781" s="31">
        <v>44787</v>
      </c>
      <c r="D781" s="8">
        <v>27840</v>
      </c>
      <c r="E781" s="14" t="str">
        <f>VLOOKUP(B781, 'Catégorie des articles'!A:E, 4, FALSE)</f>
        <v>MIX LEGUMES</v>
      </c>
      <c r="F781" s="14">
        <f t="shared" si="12"/>
        <v>202208</v>
      </c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</row>
    <row r="782" spans="1:21" ht="12.75" customHeight="1">
      <c r="A782" s="7">
        <v>143297387</v>
      </c>
      <c r="B782" s="13">
        <v>5540246194790</v>
      </c>
      <c r="C782" s="31">
        <v>44809</v>
      </c>
      <c r="D782" s="8">
        <v>2631</v>
      </c>
      <c r="E782" s="14" t="str">
        <f>VLOOKUP(B782, 'Catégorie des articles'!A:E, 4, FALSE)</f>
        <v>MIX LEGUMES</v>
      </c>
      <c r="F782" s="14">
        <f t="shared" si="12"/>
        <v>202209</v>
      </c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</row>
    <row r="783" spans="1:21" ht="12.75" customHeight="1">
      <c r="A783" s="7">
        <v>143297394</v>
      </c>
      <c r="B783" s="13">
        <v>5540246194632</v>
      </c>
      <c r="C783" s="31">
        <v>44791</v>
      </c>
      <c r="D783" s="8">
        <v>836</v>
      </c>
      <c r="E783" s="14" t="str">
        <f>VLOOKUP(B783, 'Catégorie des articles'!A:E, 4, FALSE)</f>
        <v>BOULANGERIE</v>
      </c>
      <c r="F783" s="14">
        <f t="shared" si="12"/>
        <v>202208</v>
      </c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</row>
    <row r="784" spans="1:21" ht="12.75" customHeight="1">
      <c r="A784" s="10">
        <v>143297395</v>
      </c>
      <c r="B784" s="15">
        <v>5540246177376</v>
      </c>
      <c r="C784" s="32">
        <v>44800</v>
      </c>
      <c r="D784" s="11">
        <v>1337</v>
      </c>
      <c r="E784" s="14" t="str">
        <f>VLOOKUP(B784, 'Catégorie des articles'!A:E, 4, FALSE)</f>
        <v>BOULANGERIE</v>
      </c>
      <c r="F784" s="14">
        <f t="shared" si="12"/>
        <v>202208</v>
      </c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</row>
    <row r="785" spans="1:21" ht="12.75" customHeight="1">
      <c r="A785" s="10">
        <v>143297398</v>
      </c>
      <c r="B785" s="15">
        <v>5540246194467</v>
      </c>
      <c r="C785" s="32">
        <v>44798</v>
      </c>
      <c r="D785" s="11">
        <v>17818</v>
      </c>
      <c r="E785" s="14" t="str">
        <f>VLOOKUP(B785, 'Catégorie des articles'!A:E, 4, FALSE)</f>
        <v>BOULANGERIE</v>
      </c>
      <c r="F785" s="14">
        <f t="shared" si="12"/>
        <v>202208</v>
      </c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</row>
    <row r="786" spans="1:21" ht="12.75" customHeight="1">
      <c r="A786" s="7">
        <v>143297399</v>
      </c>
      <c r="B786" s="13">
        <v>5540246191596</v>
      </c>
      <c r="C786" s="31">
        <v>44800</v>
      </c>
      <c r="D786" s="8">
        <v>149</v>
      </c>
      <c r="E786" s="14" t="str">
        <f>VLOOKUP(B786, 'Catégorie des articles'!A:E, 4, FALSE)</f>
        <v>BOULANGERIE</v>
      </c>
      <c r="F786" s="14">
        <f t="shared" si="12"/>
        <v>202208</v>
      </c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</row>
    <row r="787" spans="1:21" ht="12.75" customHeight="1">
      <c r="A787" s="7">
        <v>143307413</v>
      </c>
      <c r="B787" s="13">
        <v>5540246174174</v>
      </c>
      <c r="C787" s="31">
        <v>44786</v>
      </c>
      <c r="D787" s="8">
        <v>232</v>
      </c>
      <c r="E787" s="14" t="str">
        <f>VLOOKUP(B787, 'Catégorie des articles'!A:E, 4, FALSE)</f>
        <v>CREMERIE</v>
      </c>
      <c r="F787" s="14">
        <f t="shared" si="12"/>
        <v>202208</v>
      </c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</row>
    <row r="788" spans="1:21" ht="12.75" customHeight="1">
      <c r="A788" s="10">
        <v>143307413</v>
      </c>
      <c r="B788" s="15">
        <v>5540246176699</v>
      </c>
      <c r="C788" s="32">
        <v>44786</v>
      </c>
      <c r="D788" s="11">
        <v>3132</v>
      </c>
      <c r="E788" s="14" t="str">
        <f>VLOOKUP(B788, 'Catégorie des articles'!A:E, 4, FALSE)</f>
        <v>CREMERIE</v>
      </c>
      <c r="F788" s="14">
        <f t="shared" si="12"/>
        <v>202208</v>
      </c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</row>
    <row r="789" spans="1:21" ht="12.75" customHeight="1">
      <c r="A789" s="7">
        <v>143307414</v>
      </c>
      <c r="B789" s="13">
        <v>5540246171933</v>
      </c>
      <c r="C789" s="31">
        <v>44786</v>
      </c>
      <c r="D789" s="8">
        <v>557</v>
      </c>
      <c r="E789" s="14" t="str">
        <f>VLOOKUP(B789, 'Catégorie des articles'!A:E, 4, FALSE)</f>
        <v>CREMERIE</v>
      </c>
      <c r="F789" s="14">
        <f t="shared" si="12"/>
        <v>202208</v>
      </c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</row>
    <row r="790" spans="1:21" ht="12.75" customHeight="1">
      <c r="A790" s="10">
        <v>143307424</v>
      </c>
      <c r="B790" s="15">
        <v>5540246187995</v>
      </c>
      <c r="C790" s="32">
        <v>44837</v>
      </c>
      <c r="D790" s="11">
        <v>1170</v>
      </c>
      <c r="E790" s="14" t="str">
        <f>VLOOKUP(B790, 'Catégorie des articles'!A:E, 4, FALSE)</f>
        <v>EMBALLAGES</v>
      </c>
      <c r="F790" s="14">
        <f t="shared" si="12"/>
        <v>202210</v>
      </c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</row>
    <row r="791" spans="1:21" ht="12.75" customHeight="1">
      <c r="A791" s="7">
        <v>143307424</v>
      </c>
      <c r="B791" s="13">
        <v>5540246187997</v>
      </c>
      <c r="C791" s="31">
        <v>44837</v>
      </c>
      <c r="D791" s="8">
        <v>376</v>
      </c>
      <c r="E791" s="14" t="str">
        <f>VLOOKUP(B791, 'Catégorie des articles'!A:E, 4, FALSE)</f>
        <v>EMBALLAGES</v>
      </c>
      <c r="F791" s="14">
        <f t="shared" si="12"/>
        <v>202210</v>
      </c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</row>
    <row r="792" spans="1:21" ht="12.75" customHeight="1">
      <c r="A792" s="10">
        <v>143307424</v>
      </c>
      <c r="B792" s="15">
        <v>5540246187998</v>
      </c>
      <c r="C792" s="32">
        <v>44837</v>
      </c>
      <c r="D792" s="11">
        <v>627</v>
      </c>
      <c r="E792" s="14" t="str">
        <f>VLOOKUP(B792, 'Catégorie des articles'!A:E, 4, FALSE)</f>
        <v>EMBALLAGES</v>
      </c>
      <c r="F792" s="14">
        <f t="shared" si="12"/>
        <v>202210</v>
      </c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</row>
    <row r="793" spans="1:21" ht="12.75" customHeight="1">
      <c r="A793" s="7">
        <v>143307434</v>
      </c>
      <c r="B793" s="13">
        <v>5540246176295</v>
      </c>
      <c r="C793" s="31">
        <v>44787</v>
      </c>
      <c r="D793" s="8">
        <v>4455</v>
      </c>
      <c r="E793" s="14" t="str">
        <f>VLOOKUP(B793, 'Catégorie des articles'!A:E, 4, FALSE)</f>
        <v>CREMERIE</v>
      </c>
      <c r="F793" s="14">
        <f t="shared" si="12"/>
        <v>202208</v>
      </c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</row>
    <row r="794" spans="1:21" ht="12.75" customHeight="1">
      <c r="A794" s="10">
        <v>143307435</v>
      </c>
      <c r="B794" s="15">
        <v>5540246172978</v>
      </c>
      <c r="C794" s="32">
        <v>44787</v>
      </c>
      <c r="D794" s="11">
        <v>836</v>
      </c>
      <c r="E794" s="14" t="str">
        <f>VLOOKUP(B794, 'Catégorie des articles'!A:E, 4, FALSE)</f>
        <v>CREMERIE</v>
      </c>
      <c r="F794" s="14">
        <f t="shared" si="12"/>
        <v>202208</v>
      </c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</row>
    <row r="795" spans="1:21" ht="12.75" customHeight="1">
      <c r="A795" s="10">
        <v>143307435</v>
      </c>
      <c r="B795" s="15">
        <v>5540246176699</v>
      </c>
      <c r="C795" s="32">
        <v>44787</v>
      </c>
      <c r="D795" s="11">
        <v>2088</v>
      </c>
      <c r="E795" s="14" t="str">
        <f>VLOOKUP(B795, 'Catégorie des articles'!A:E, 4, FALSE)</f>
        <v>CREMERIE</v>
      </c>
      <c r="F795" s="14">
        <f t="shared" si="12"/>
        <v>202208</v>
      </c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</row>
    <row r="796" spans="1:21" ht="12.75" customHeight="1">
      <c r="A796" s="7">
        <v>143307435</v>
      </c>
      <c r="B796" s="13">
        <v>5540246192102</v>
      </c>
      <c r="C796" s="31">
        <v>44787</v>
      </c>
      <c r="D796" s="8">
        <v>2005</v>
      </c>
      <c r="E796" s="14" t="str">
        <f>VLOOKUP(B796, 'Catégorie des articles'!A:E, 4, FALSE)</f>
        <v>CREMERIE</v>
      </c>
      <c r="F796" s="14">
        <f t="shared" si="12"/>
        <v>202208</v>
      </c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</row>
    <row r="797" spans="1:21" ht="12.75" customHeight="1">
      <c r="A797" s="10">
        <v>143307439</v>
      </c>
      <c r="B797" s="15">
        <v>5540246188224</v>
      </c>
      <c r="C797" s="32">
        <v>44794</v>
      </c>
      <c r="D797" s="11">
        <v>1207</v>
      </c>
      <c r="E797" s="14" t="str">
        <f>VLOOKUP(B797, 'Catégorie des articles'!A:E, 4, FALSE)</f>
        <v>VOLAILLE</v>
      </c>
      <c r="F797" s="14">
        <f t="shared" si="12"/>
        <v>202208</v>
      </c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</row>
    <row r="798" spans="1:21" ht="12.75" customHeight="1">
      <c r="A798" s="7">
        <v>143307440</v>
      </c>
      <c r="B798" s="13">
        <v>5540246193878</v>
      </c>
      <c r="C798" s="31">
        <v>44822</v>
      </c>
      <c r="D798" s="8">
        <v>14141</v>
      </c>
      <c r="E798" s="14" t="str">
        <f>VLOOKUP(B798, 'Catégorie des articles'!A:E, 4, FALSE)</f>
        <v>VOLAILLE</v>
      </c>
      <c r="F798" s="14">
        <f t="shared" si="12"/>
        <v>202209</v>
      </c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</row>
    <row r="799" spans="1:21" ht="12.75" customHeight="1">
      <c r="A799" s="7">
        <v>143307441</v>
      </c>
      <c r="B799" s="13">
        <v>5540246171759</v>
      </c>
      <c r="C799" s="31">
        <v>44793</v>
      </c>
      <c r="D799" s="8">
        <v>2506</v>
      </c>
      <c r="E799" s="14" t="str">
        <f>VLOOKUP(B799, 'Catégorie des articles'!A:E, 4, FALSE)</f>
        <v>MIX LEGUMES</v>
      </c>
      <c r="F799" s="14">
        <f t="shared" si="12"/>
        <v>202208</v>
      </c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</row>
    <row r="800" spans="1:21" ht="12.75" customHeight="1">
      <c r="A800" s="10">
        <v>143307441</v>
      </c>
      <c r="B800" s="15">
        <v>5540246177133</v>
      </c>
      <c r="C800" s="32">
        <v>44793</v>
      </c>
      <c r="D800" s="11">
        <v>4455</v>
      </c>
      <c r="E800" s="14" t="str">
        <f>VLOOKUP(B800, 'Catégorie des articles'!A:E, 4, FALSE)</f>
        <v>MIX LEGUMES</v>
      </c>
      <c r="F800" s="14">
        <f t="shared" si="12"/>
        <v>202208</v>
      </c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</row>
    <row r="801" spans="1:21" ht="12.75" customHeight="1">
      <c r="A801" s="7">
        <v>143307441</v>
      </c>
      <c r="B801" s="13">
        <v>5540246192148</v>
      </c>
      <c r="C801" s="31">
        <v>44793</v>
      </c>
      <c r="D801" s="8">
        <v>23664</v>
      </c>
      <c r="E801" s="14" t="str">
        <f>VLOOKUP(B801, 'Catégorie des articles'!A:E, 4, FALSE)</f>
        <v>MIX LEGUMES</v>
      </c>
      <c r="F801" s="14">
        <f t="shared" si="12"/>
        <v>202208</v>
      </c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</row>
    <row r="802" spans="1:21" ht="12.75" customHeight="1">
      <c r="A802" s="10">
        <v>143307442</v>
      </c>
      <c r="B802" s="15">
        <v>5540246194632</v>
      </c>
      <c r="C802" s="32">
        <v>44799</v>
      </c>
      <c r="D802" s="11">
        <v>836</v>
      </c>
      <c r="E802" s="14" t="str">
        <f>VLOOKUP(B802, 'Catégorie des articles'!A:E, 4, FALSE)</f>
        <v>BOULANGERIE</v>
      </c>
      <c r="F802" s="14">
        <f t="shared" si="12"/>
        <v>202208</v>
      </c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</row>
    <row r="803" spans="1:21" ht="12.75" customHeight="1">
      <c r="A803" s="7">
        <v>143307449</v>
      </c>
      <c r="B803" s="13">
        <v>5540246171933</v>
      </c>
      <c r="C803" s="31">
        <v>44788</v>
      </c>
      <c r="D803" s="8">
        <v>836</v>
      </c>
      <c r="E803" s="14" t="str">
        <f>VLOOKUP(B803, 'Catégorie des articles'!A:E, 4, FALSE)</f>
        <v>CREMERIE</v>
      </c>
      <c r="F803" s="14">
        <f t="shared" si="12"/>
        <v>202208</v>
      </c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</row>
    <row r="804" spans="1:21" ht="12.75" customHeight="1">
      <c r="A804" s="7">
        <v>143307449</v>
      </c>
      <c r="B804" s="13">
        <v>5540246176295</v>
      </c>
      <c r="C804" s="31">
        <v>44788</v>
      </c>
      <c r="D804" s="8">
        <v>4455</v>
      </c>
      <c r="E804" s="14" t="str">
        <f>VLOOKUP(B804, 'Catégorie des articles'!A:E, 4, FALSE)</f>
        <v>CREMERIE</v>
      </c>
      <c r="F804" s="14">
        <f t="shared" si="12"/>
        <v>202208</v>
      </c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</row>
    <row r="805" spans="1:21" ht="12.75" customHeight="1">
      <c r="A805" s="7">
        <v>143307449</v>
      </c>
      <c r="B805" s="13">
        <v>5540246188200</v>
      </c>
      <c r="C805" s="31">
        <v>44788</v>
      </c>
      <c r="D805" s="8">
        <v>1485</v>
      </c>
      <c r="E805" s="14" t="str">
        <f>VLOOKUP(B805, 'Catégorie des articles'!A:E, 4, FALSE)</f>
        <v>CREMERIE</v>
      </c>
      <c r="F805" s="14">
        <f t="shared" si="12"/>
        <v>202208</v>
      </c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</row>
    <row r="806" spans="1:21" ht="12.75" customHeight="1">
      <c r="A806" s="7">
        <v>143307451</v>
      </c>
      <c r="B806" s="13">
        <v>5540246172669</v>
      </c>
      <c r="C806" s="31">
        <v>44788</v>
      </c>
      <c r="D806" s="8">
        <v>140</v>
      </c>
      <c r="E806" s="14" t="str">
        <f>VLOOKUP(B806, 'Catégorie des articles'!A:E, 4, FALSE)</f>
        <v>CREMERIE</v>
      </c>
      <c r="F806" s="14">
        <f t="shared" si="12"/>
        <v>202208</v>
      </c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</row>
    <row r="807" spans="1:21" ht="12.75" customHeight="1">
      <c r="A807" s="10">
        <v>143307451</v>
      </c>
      <c r="B807" s="15">
        <v>5540246172978</v>
      </c>
      <c r="C807" s="32">
        <v>44788</v>
      </c>
      <c r="D807" s="11">
        <v>1671</v>
      </c>
      <c r="E807" s="14" t="str">
        <f>VLOOKUP(B807, 'Catégorie des articles'!A:E, 4, FALSE)</f>
        <v>CREMERIE</v>
      </c>
      <c r="F807" s="14">
        <f t="shared" si="12"/>
        <v>202208</v>
      </c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</row>
    <row r="808" spans="1:21" ht="12.75" customHeight="1">
      <c r="A808" s="7">
        <v>143307451</v>
      </c>
      <c r="B808" s="13">
        <v>5540246174174</v>
      </c>
      <c r="C808" s="31">
        <v>44788</v>
      </c>
      <c r="D808" s="8">
        <v>232</v>
      </c>
      <c r="E808" s="14" t="str">
        <f>VLOOKUP(B808, 'Catégorie des articles'!A:E, 4, FALSE)</f>
        <v>CREMERIE</v>
      </c>
      <c r="F808" s="14">
        <f t="shared" si="12"/>
        <v>202208</v>
      </c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</row>
    <row r="809" spans="1:21" ht="12.75" customHeight="1">
      <c r="A809" s="7">
        <v>143307451</v>
      </c>
      <c r="B809" s="13">
        <v>5540246176699</v>
      </c>
      <c r="C809" s="31">
        <v>44788</v>
      </c>
      <c r="D809" s="8">
        <v>2088</v>
      </c>
      <c r="E809" s="14" t="str">
        <f>VLOOKUP(B809, 'Catégorie des articles'!A:E, 4, FALSE)</f>
        <v>CREMERIE</v>
      </c>
      <c r="F809" s="14">
        <f t="shared" si="12"/>
        <v>202208</v>
      </c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</row>
    <row r="810" spans="1:21" ht="12.75" customHeight="1">
      <c r="A810" s="7">
        <v>143307461</v>
      </c>
      <c r="B810" s="13">
        <v>5540246180522</v>
      </c>
      <c r="C810" s="31">
        <v>44801</v>
      </c>
      <c r="D810" s="8">
        <v>891</v>
      </c>
      <c r="E810" s="14" t="str">
        <f>VLOOKUP(B810, 'Catégorie des articles'!A:E, 4, FALSE)</f>
        <v>BOULANGERIE</v>
      </c>
      <c r="F810" s="14">
        <f t="shared" si="12"/>
        <v>202208</v>
      </c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</row>
    <row r="811" spans="1:21" ht="12.75" customHeight="1">
      <c r="A811" s="10">
        <v>143307474</v>
      </c>
      <c r="B811" s="15">
        <v>5540246190727</v>
      </c>
      <c r="C811" s="32">
        <v>44807</v>
      </c>
      <c r="D811" s="11">
        <v>439</v>
      </c>
      <c r="E811" s="14" t="str">
        <f>VLOOKUP(B811, 'Catégorie des articles'!A:E, 4, FALSE)</f>
        <v>BOULANGERIE</v>
      </c>
      <c r="F811" s="14">
        <f t="shared" si="12"/>
        <v>202209</v>
      </c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</row>
    <row r="812" spans="1:21" ht="12.75" customHeight="1">
      <c r="A812" s="7">
        <v>143307475</v>
      </c>
      <c r="B812" s="13">
        <v>5540246183558</v>
      </c>
      <c r="C812" s="31">
        <v>44802</v>
      </c>
      <c r="D812" s="8">
        <v>2599</v>
      </c>
      <c r="E812" s="14" t="str">
        <f>VLOOKUP(B812, 'Catégorie des articles'!A:E, 4, FALSE)</f>
        <v>MIX LEGUMES</v>
      </c>
      <c r="F812" s="14">
        <f t="shared" si="12"/>
        <v>202208</v>
      </c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</row>
    <row r="813" spans="1:21" ht="12.75" customHeight="1">
      <c r="A813" s="10">
        <v>143307475</v>
      </c>
      <c r="B813" s="15">
        <v>5540246192209</v>
      </c>
      <c r="C813" s="32">
        <v>44802</v>
      </c>
      <c r="D813" s="11">
        <v>1114</v>
      </c>
      <c r="E813" s="14" t="str">
        <f>VLOOKUP(B813, 'Catégorie des articles'!A:E, 4, FALSE)</f>
        <v>MIX LEGUMES</v>
      </c>
      <c r="F813" s="14">
        <f t="shared" si="12"/>
        <v>202208</v>
      </c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</row>
    <row r="814" spans="1:21" ht="12.75" customHeight="1">
      <c r="A814" s="7">
        <v>143307475</v>
      </c>
      <c r="B814" s="13">
        <v>5540246192831</v>
      </c>
      <c r="C814" s="31">
        <v>44802</v>
      </c>
      <c r="D814" s="8">
        <v>1300</v>
      </c>
      <c r="E814" s="14" t="str">
        <f>VLOOKUP(B814, 'Catégorie des articles'!A:E, 4, FALSE)</f>
        <v>MIX LEGUMES</v>
      </c>
      <c r="F814" s="14">
        <f t="shared" si="12"/>
        <v>202208</v>
      </c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</row>
    <row r="815" spans="1:21" ht="12.75" customHeight="1">
      <c r="A815" s="10">
        <v>143307480</v>
      </c>
      <c r="B815" s="15">
        <v>5540246181061</v>
      </c>
      <c r="C815" s="32">
        <v>44801</v>
      </c>
      <c r="D815" s="11">
        <v>5513</v>
      </c>
      <c r="E815" s="14" t="str">
        <f>VLOOKUP(B815, 'Catégorie des articles'!A:E, 4, FALSE)</f>
        <v>VOLAILLE</v>
      </c>
      <c r="F815" s="14">
        <f t="shared" si="12"/>
        <v>202208</v>
      </c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</row>
    <row r="816" spans="1:21" ht="12.75" customHeight="1">
      <c r="A816" s="7">
        <v>143307480</v>
      </c>
      <c r="B816" s="13">
        <v>5540246183547</v>
      </c>
      <c r="C816" s="31">
        <v>44801</v>
      </c>
      <c r="D816" s="8">
        <v>5568</v>
      </c>
      <c r="E816" s="14" t="str">
        <f>VLOOKUP(B816, 'Catégorie des articles'!A:E, 4, FALSE)</f>
        <v>VOLAILLE</v>
      </c>
      <c r="F816" s="14">
        <f t="shared" si="12"/>
        <v>202208</v>
      </c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</row>
    <row r="817" spans="1:21" ht="12.75" customHeight="1">
      <c r="A817" s="10">
        <v>143307480</v>
      </c>
      <c r="B817" s="15">
        <v>5540246185278</v>
      </c>
      <c r="C817" s="32">
        <v>44801</v>
      </c>
      <c r="D817" s="11">
        <v>1120</v>
      </c>
      <c r="E817" s="14" t="str">
        <f>VLOOKUP(B817, 'Catégorie des articles'!A:E, 4, FALSE)</f>
        <v>VOLAILLE</v>
      </c>
      <c r="F817" s="14">
        <f t="shared" si="12"/>
        <v>202208</v>
      </c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</row>
    <row r="818" spans="1:21" ht="12.75" customHeight="1">
      <c r="A818" s="7">
        <v>143307481</v>
      </c>
      <c r="B818" s="13">
        <v>5540246170256</v>
      </c>
      <c r="C818" s="31">
        <v>44802</v>
      </c>
      <c r="D818" s="8">
        <v>3351</v>
      </c>
      <c r="E818" s="14" t="str">
        <f>VLOOKUP(B818, 'Catégorie des articles'!A:E, 4, FALSE)</f>
        <v>BOULANGERIE</v>
      </c>
      <c r="F818" s="14">
        <f t="shared" si="12"/>
        <v>202208</v>
      </c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</row>
    <row r="819" spans="1:21" ht="12.75" customHeight="1">
      <c r="A819" s="10">
        <v>143307486</v>
      </c>
      <c r="B819" s="15">
        <v>5540246171933</v>
      </c>
      <c r="C819" s="32">
        <v>44791</v>
      </c>
      <c r="D819" s="11">
        <v>836</v>
      </c>
      <c r="E819" s="14" t="str">
        <f>VLOOKUP(B819, 'Catégorie des articles'!A:E, 4, FALSE)</f>
        <v>CREMERIE</v>
      </c>
      <c r="F819" s="14">
        <f t="shared" si="12"/>
        <v>202208</v>
      </c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</row>
    <row r="820" spans="1:21" ht="12.75" customHeight="1">
      <c r="A820" s="7">
        <v>143307487</v>
      </c>
      <c r="B820" s="13">
        <v>5540246172669</v>
      </c>
      <c r="C820" s="31">
        <v>44791</v>
      </c>
      <c r="D820" s="8">
        <v>140</v>
      </c>
      <c r="E820" s="14" t="str">
        <f>VLOOKUP(B820, 'Catégorie des articles'!A:E, 4, FALSE)</f>
        <v>CREMERIE</v>
      </c>
      <c r="F820" s="14">
        <f t="shared" si="12"/>
        <v>202208</v>
      </c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</row>
    <row r="821" spans="1:21" ht="12.75" customHeight="1">
      <c r="A821" s="10">
        <v>143307487</v>
      </c>
      <c r="B821" s="15">
        <v>5540246172978</v>
      </c>
      <c r="C821" s="32">
        <v>44791</v>
      </c>
      <c r="D821" s="11">
        <v>836</v>
      </c>
      <c r="E821" s="14" t="str">
        <f>VLOOKUP(B821, 'Catégorie des articles'!A:E, 4, FALSE)</f>
        <v>CREMERIE</v>
      </c>
      <c r="F821" s="14">
        <f t="shared" si="12"/>
        <v>202208</v>
      </c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</row>
    <row r="822" spans="1:21" ht="12.75" customHeight="1">
      <c r="A822" s="10">
        <v>143307487</v>
      </c>
      <c r="B822" s="15">
        <v>5540246174174</v>
      </c>
      <c r="C822" s="32">
        <v>44791</v>
      </c>
      <c r="D822" s="11">
        <v>232</v>
      </c>
      <c r="E822" s="14" t="str">
        <f>VLOOKUP(B822, 'Catégorie des articles'!A:E, 4, FALSE)</f>
        <v>CREMERIE</v>
      </c>
      <c r="F822" s="14">
        <f t="shared" si="12"/>
        <v>202208</v>
      </c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</row>
    <row r="823" spans="1:21" ht="12.75" customHeight="1">
      <c r="A823" s="10">
        <v>143307487</v>
      </c>
      <c r="B823" s="15">
        <v>5540246176699</v>
      </c>
      <c r="C823" s="32">
        <v>44791</v>
      </c>
      <c r="D823" s="11">
        <v>2088</v>
      </c>
      <c r="E823" s="14" t="str">
        <f>VLOOKUP(B823, 'Catégorie des articles'!A:E, 4, FALSE)</f>
        <v>CREMERIE</v>
      </c>
      <c r="F823" s="14">
        <f t="shared" si="12"/>
        <v>202208</v>
      </c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</row>
    <row r="824" spans="1:21" ht="12.75" customHeight="1">
      <c r="A824" s="10">
        <v>143307487</v>
      </c>
      <c r="B824" s="15">
        <v>5540246188175</v>
      </c>
      <c r="C824" s="32">
        <v>44791</v>
      </c>
      <c r="D824" s="11">
        <v>116</v>
      </c>
      <c r="E824" s="14" t="str">
        <f>VLOOKUP(B824, 'Catégorie des articles'!A:E, 4, FALSE)</f>
        <v>CREMERIE</v>
      </c>
      <c r="F824" s="14">
        <f t="shared" si="12"/>
        <v>202208</v>
      </c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</row>
    <row r="825" spans="1:21" ht="12.75" customHeight="1">
      <c r="A825" s="7">
        <v>143307489</v>
      </c>
      <c r="B825" s="13">
        <v>5540246174095</v>
      </c>
      <c r="C825" s="31">
        <v>44794</v>
      </c>
      <c r="D825" s="8">
        <v>140</v>
      </c>
      <c r="E825" s="14" t="str">
        <f>VLOOKUP(B825, 'Catégorie des articles'!A:E, 4, FALSE)</f>
        <v>CREMERIE</v>
      </c>
      <c r="F825" s="14">
        <f t="shared" si="12"/>
        <v>202208</v>
      </c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</row>
    <row r="826" spans="1:21" ht="12.75" customHeight="1">
      <c r="A826" s="10">
        <v>143307490</v>
      </c>
      <c r="B826" s="15">
        <v>5540246185429</v>
      </c>
      <c r="C826" s="32">
        <v>44793</v>
      </c>
      <c r="D826" s="11">
        <v>140</v>
      </c>
      <c r="E826" s="14" t="str">
        <f>VLOOKUP(B826, 'Catégorie des articles'!A:E, 4, FALSE)</f>
        <v>CREMERIE</v>
      </c>
      <c r="F826" s="14">
        <f t="shared" si="12"/>
        <v>202208</v>
      </c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</row>
    <row r="827" spans="1:21" ht="12.75" customHeight="1">
      <c r="A827" s="7">
        <v>143307490</v>
      </c>
      <c r="B827" s="13">
        <v>5540246186325</v>
      </c>
      <c r="C827" s="31">
        <v>44793</v>
      </c>
      <c r="D827" s="8">
        <v>140</v>
      </c>
      <c r="E827" s="14" t="str">
        <f>VLOOKUP(B827, 'Catégorie des articles'!A:E, 4, FALSE)</f>
        <v>CREMERIE</v>
      </c>
      <c r="F827" s="14">
        <f t="shared" si="12"/>
        <v>202208</v>
      </c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</row>
    <row r="828" spans="1:21" ht="12.75" customHeight="1">
      <c r="A828" s="10">
        <v>143307494</v>
      </c>
      <c r="B828" s="15">
        <v>5540246194330</v>
      </c>
      <c r="C828" s="32">
        <v>44794</v>
      </c>
      <c r="D828" s="11">
        <v>4585</v>
      </c>
      <c r="E828" s="14" t="str">
        <f>VLOOKUP(B828, 'Catégorie des articles'!A:E, 4, FALSE)</f>
        <v>MIX LEGUMES</v>
      </c>
      <c r="F828" s="14">
        <f t="shared" si="12"/>
        <v>202208</v>
      </c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</row>
    <row r="829" spans="1:21" ht="12.75" customHeight="1">
      <c r="A829" s="10">
        <v>143307502</v>
      </c>
      <c r="B829" s="15">
        <v>5540246187987</v>
      </c>
      <c r="C829" s="32">
        <v>44791</v>
      </c>
      <c r="D829" s="11">
        <v>3341</v>
      </c>
      <c r="E829" s="14" t="str">
        <f>VLOOKUP(B829, 'Catégorie des articles'!A:E, 4, FALSE)</f>
        <v>CREMERIE</v>
      </c>
      <c r="F829" s="14">
        <f t="shared" si="12"/>
        <v>202208</v>
      </c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</row>
    <row r="830" spans="1:21" ht="12.75" customHeight="1">
      <c r="A830" s="10">
        <v>143307513</v>
      </c>
      <c r="B830" s="15">
        <v>5540246187987</v>
      </c>
      <c r="C830" s="32">
        <v>44792</v>
      </c>
      <c r="D830" s="11">
        <v>1114</v>
      </c>
      <c r="E830" s="14" t="str">
        <f>VLOOKUP(B830, 'Catégorie des articles'!A:E, 4, FALSE)</f>
        <v>CREMERIE</v>
      </c>
      <c r="F830" s="14">
        <f t="shared" si="12"/>
        <v>202208</v>
      </c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</row>
    <row r="831" spans="1:21" ht="12.75" customHeight="1">
      <c r="A831" s="7">
        <v>143307514</v>
      </c>
      <c r="B831" s="13">
        <v>5540246172978</v>
      </c>
      <c r="C831" s="31">
        <v>44792</v>
      </c>
      <c r="D831" s="8">
        <v>836</v>
      </c>
      <c r="E831" s="14" t="str">
        <f>VLOOKUP(B831, 'Catégorie des articles'!A:E, 4, FALSE)</f>
        <v>CREMERIE</v>
      </c>
      <c r="F831" s="14">
        <f t="shared" si="12"/>
        <v>202208</v>
      </c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</row>
    <row r="832" spans="1:21" ht="12.75" customHeight="1">
      <c r="A832" s="10">
        <v>143307514</v>
      </c>
      <c r="B832" s="15">
        <v>5540246176699</v>
      </c>
      <c r="C832" s="32">
        <v>44792</v>
      </c>
      <c r="D832" s="11">
        <v>1044</v>
      </c>
      <c r="E832" s="14" t="str">
        <f>VLOOKUP(B832, 'Catégorie des articles'!A:E, 4, FALSE)</f>
        <v>CREMERIE</v>
      </c>
      <c r="F832" s="14">
        <f t="shared" si="12"/>
        <v>202208</v>
      </c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</row>
    <row r="833" spans="1:21" ht="12.75" customHeight="1">
      <c r="A833" s="10">
        <v>143307514</v>
      </c>
      <c r="B833" s="15">
        <v>5540246188175</v>
      </c>
      <c r="C833" s="32">
        <v>44792</v>
      </c>
      <c r="D833" s="11">
        <v>70</v>
      </c>
      <c r="E833" s="14" t="str">
        <f>VLOOKUP(B833, 'Catégorie des articles'!A:E, 4, FALSE)</f>
        <v>CREMERIE</v>
      </c>
      <c r="F833" s="14">
        <f t="shared" si="12"/>
        <v>202208</v>
      </c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</row>
    <row r="834" spans="1:21" ht="12.75" customHeight="1">
      <c r="A834" s="10">
        <v>143307519</v>
      </c>
      <c r="B834" s="15">
        <v>5540246195096</v>
      </c>
      <c r="C834" s="32">
        <v>44795</v>
      </c>
      <c r="D834" s="11">
        <v>5012</v>
      </c>
      <c r="E834" s="14" t="str">
        <f>VLOOKUP(B834, 'Catégorie des articles'!A:E, 4, FALSE)</f>
        <v>MIX LEGUMES</v>
      </c>
      <c r="F834" s="14">
        <f t="shared" ref="F834:F897" si="13">YEAR(C834)*100 + MONTH(C834)</f>
        <v>202208</v>
      </c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</row>
    <row r="835" spans="1:21" ht="12.75" customHeight="1">
      <c r="A835" s="10">
        <v>143307521</v>
      </c>
      <c r="B835" s="15">
        <v>5540246183130</v>
      </c>
      <c r="C835" s="32">
        <v>44799</v>
      </c>
      <c r="D835" s="11">
        <v>2256</v>
      </c>
      <c r="E835" s="14" t="str">
        <f>VLOOKUP(B835, 'Catégorie des articles'!A:E, 4, FALSE)</f>
        <v>MIX LEGUMES</v>
      </c>
      <c r="F835" s="14">
        <f t="shared" si="13"/>
        <v>202208</v>
      </c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</row>
    <row r="836" spans="1:21" ht="12.75" customHeight="1">
      <c r="A836" s="7">
        <v>143307521</v>
      </c>
      <c r="B836" s="13">
        <v>5540246183538</v>
      </c>
      <c r="C836" s="31">
        <v>44799</v>
      </c>
      <c r="D836" s="8">
        <v>919</v>
      </c>
      <c r="E836" s="14" t="str">
        <f>VLOOKUP(B836, 'Catégorie des articles'!A:E, 4, FALSE)</f>
        <v>MIX LEGUMES</v>
      </c>
      <c r="F836" s="14">
        <f t="shared" si="13"/>
        <v>202208</v>
      </c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</row>
    <row r="837" spans="1:21" ht="12.75" customHeight="1">
      <c r="A837" s="10">
        <v>143307521</v>
      </c>
      <c r="B837" s="15">
        <v>5540246183555</v>
      </c>
      <c r="C837" s="32">
        <v>44799</v>
      </c>
      <c r="D837" s="11">
        <v>543</v>
      </c>
      <c r="E837" s="14" t="str">
        <f>VLOOKUP(B837, 'Catégorie des articles'!A:E, 4, FALSE)</f>
        <v>MIX LEGUMES</v>
      </c>
      <c r="F837" s="14">
        <f t="shared" si="13"/>
        <v>202208</v>
      </c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</row>
    <row r="838" spans="1:21" ht="12.75" customHeight="1">
      <c r="A838" s="10">
        <v>143307522</v>
      </c>
      <c r="B838" s="15">
        <v>5540246171759</v>
      </c>
      <c r="C838" s="32">
        <v>44798</v>
      </c>
      <c r="D838" s="11">
        <v>2506</v>
      </c>
      <c r="E838" s="14" t="str">
        <f>VLOOKUP(B838, 'Catégorie des articles'!A:E, 4, FALSE)</f>
        <v>MIX LEGUMES</v>
      </c>
      <c r="F838" s="14">
        <f t="shared" si="13"/>
        <v>202208</v>
      </c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</row>
    <row r="839" spans="1:21" ht="12.75" customHeight="1">
      <c r="A839" s="7">
        <v>143307522</v>
      </c>
      <c r="B839" s="13">
        <v>5540246177133</v>
      </c>
      <c r="C839" s="31">
        <v>44798</v>
      </c>
      <c r="D839" s="8">
        <v>2228</v>
      </c>
      <c r="E839" s="14" t="str">
        <f>VLOOKUP(B839, 'Catégorie des articles'!A:E, 4, FALSE)</f>
        <v>MIX LEGUMES</v>
      </c>
      <c r="F839" s="14">
        <f t="shared" si="13"/>
        <v>202208</v>
      </c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</row>
    <row r="840" spans="1:21" ht="12.75" customHeight="1">
      <c r="A840" s="10">
        <v>143307522</v>
      </c>
      <c r="B840" s="15">
        <v>5540246192148</v>
      </c>
      <c r="C840" s="32">
        <v>44798</v>
      </c>
      <c r="D840" s="11">
        <v>27840</v>
      </c>
      <c r="E840" s="14" t="str">
        <f>VLOOKUP(B840, 'Catégorie des articles'!A:E, 4, FALSE)</f>
        <v>MIX LEGUMES</v>
      </c>
      <c r="F840" s="14">
        <f t="shared" si="13"/>
        <v>202208</v>
      </c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</row>
    <row r="841" spans="1:21" ht="12.75" customHeight="1">
      <c r="A841" s="10">
        <v>143307525</v>
      </c>
      <c r="B841" s="15">
        <v>5540246194632</v>
      </c>
      <c r="C841" s="32">
        <v>44802</v>
      </c>
      <c r="D841" s="11">
        <v>1003</v>
      </c>
      <c r="E841" s="14" t="str">
        <f>VLOOKUP(B841, 'Catégorie des articles'!A:E, 4, FALSE)</f>
        <v>BOULANGERIE</v>
      </c>
      <c r="F841" s="14">
        <f t="shared" si="13"/>
        <v>202208</v>
      </c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</row>
    <row r="842" spans="1:21" ht="12.75" customHeight="1">
      <c r="A842" s="10">
        <v>143307527</v>
      </c>
      <c r="B842" s="15">
        <v>5540246173906</v>
      </c>
      <c r="C842" s="32">
        <v>44801</v>
      </c>
      <c r="D842" s="11">
        <v>1634</v>
      </c>
      <c r="E842" s="14" t="str">
        <f>VLOOKUP(B842, 'Catégorie des articles'!A:E, 4, FALSE)</f>
        <v>VOLAILLE</v>
      </c>
      <c r="F842" s="14">
        <f t="shared" si="13"/>
        <v>202208</v>
      </c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</row>
    <row r="843" spans="1:21" ht="12.75" customHeight="1">
      <c r="A843" s="7">
        <v>143307527</v>
      </c>
      <c r="B843" s="13">
        <v>5540246181016</v>
      </c>
      <c r="C843" s="31">
        <v>44801</v>
      </c>
      <c r="D843" s="8">
        <v>3564</v>
      </c>
      <c r="E843" s="14" t="str">
        <f>VLOOKUP(B843, 'Catégorie des articles'!A:E, 4, FALSE)</f>
        <v>VOLAILLE</v>
      </c>
      <c r="F843" s="14">
        <f t="shared" si="13"/>
        <v>202208</v>
      </c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</row>
    <row r="844" spans="1:21" ht="12.75" customHeight="1">
      <c r="A844" s="10">
        <v>143307530</v>
      </c>
      <c r="B844" s="15">
        <v>5540246183844</v>
      </c>
      <c r="C844" s="32">
        <v>44798</v>
      </c>
      <c r="D844" s="11">
        <v>140</v>
      </c>
      <c r="E844" s="14" t="str">
        <f>VLOOKUP(B844, 'Catégorie des articles'!A:E, 4, FALSE)</f>
        <v>BOULANGERIE</v>
      </c>
      <c r="F844" s="14">
        <f t="shared" si="13"/>
        <v>202208</v>
      </c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</row>
    <row r="845" spans="1:21" ht="12.75" customHeight="1">
      <c r="A845" s="7">
        <v>143317554</v>
      </c>
      <c r="B845" s="13">
        <v>5540246176294</v>
      </c>
      <c r="C845" s="31">
        <v>44793</v>
      </c>
      <c r="D845" s="8">
        <v>2970</v>
      </c>
      <c r="E845" s="14" t="str">
        <f>VLOOKUP(B845, 'Catégorie des articles'!A:E, 4, FALSE)</f>
        <v>CREMERIE</v>
      </c>
      <c r="F845" s="14">
        <f t="shared" si="13"/>
        <v>202208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</row>
    <row r="846" spans="1:21" ht="12.75" customHeight="1">
      <c r="A846" s="10">
        <v>143317554</v>
      </c>
      <c r="B846" s="15">
        <v>5540246176295</v>
      </c>
      <c r="C846" s="32">
        <v>44793</v>
      </c>
      <c r="D846" s="11">
        <v>7424</v>
      </c>
      <c r="E846" s="14" t="str">
        <f>VLOOKUP(B846, 'Catégorie des articles'!A:E, 4, FALSE)</f>
        <v>CREMERIE</v>
      </c>
      <c r="F846" s="14">
        <f t="shared" si="13"/>
        <v>202208</v>
      </c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</row>
    <row r="847" spans="1:21" ht="12.75" customHeight="1">
      <c r="A847" s="10">
        <v>143317554</v>
      </c>
      <c r="B847" s="15">
        <v>5540246187987</v>
      </c>
      <c r="C847" s="32">
        <v>44793</v>
      </c>
      <c r="D847" s="11">
        <v>4455</v>
      </c>
      <c r="E847" s="14" t="str">
        <f>VLOOKUP(B847, 'Catégorie des articles'!A:E, 4, FALSE)</f>
        <v>CREMERIE</v>
      </c>
      <c r="F847" s="14">
        <f t="shared" si="13"/>
        <v>202208</v>
      </c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</row>
    <row r="848" spans="1:21" ht="12.75" customHeight="1">
      <c r="A848" s="7">
        <v>143317554</v>
      </c>
      <c r="B848" s="13">
        <v>5540246188200</v>
      </c>
      <c r="C848" s="31">
        <v>44793</v>
      </c>
      <c r="D848" s="8">
        <v>1485</v>
      </c>
      <c r="E848" s="14" t="str">
        <f>VLOOKUP(B848, 'Catégorie des articles'!A:E, 4, FALSE)</f>
        <v>CREMERIE</v>
      </c>
      <c r="F848" s="14">
        <f t="shared" si="13"/>
        <v>202208</v>
      </c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</row>
    <row r="849" spans="1:21" ht="12.75" customHeight="1">
      <c r="A849" s="7">
        <v>143317555</v>
      </c>
      <c r="B849" s="13">
        <v>5540246172978</v>
      </c>
      <c r="C849" s="31">
        <v>44793</v>
      </c>
      <c r="D849" s="8">
        <v>836</v>
      </c>
      <c r="E849" s="14" t="str">
        <f>VLOOKUP(B849, 'Catégorie des articles'!A:E, 4, FALSE)</f>
        <v>CREMERIE</v>
      </c>
      <c r="F849" s="14">
        <f t="shared" si="13"/>
        <v>202208</v>
      </c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</row>
    <row r="850" spans="1:21" ht="12.75" customHeight="1">
      <c r="A850" s="10">
        <v>143317555</v>
      </c>
      <c r="B850" s="15">
        <v>5540246174174</v>
      </c>
      <c r="C850" s="32">
        <v>44793</v>
      </c>
      <c r="D850" s="11">
        <v>232</v>
      </c>
      <c r="E850" s="14" t="str">
        <f>VLOOKUP(B850, 'Catégorie des articles'!A:E, 4, FALSE)</f>
        <v>CREMERIE</v>
      </c>
      <c r="F850" s="14">
        <f t="shared" si="13"/>
        <v>202208</v>
      </c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</row>
    <row r="851" spans="1:21" ht="12.75" customHeight="1">
      <c r="A851" s="10">
        <v>143317555</v>
      </c>
      <c r="B851" s="15">
        <v>5540246176699</v>
      </c>
      <c r="C851" s="32">
        <v>44793</v>
      </c>
      <c r="D851" s="11">
        <v>2088</v>
      </c>
      <c r="E851" s="14" t="str">
        <f>VLOOKUP(B851, 'Catégorie des articles'!A:E, 4, FALSE)</f>
        <v>CREMERIE</v>
      </c>
      <c r="F851" s="14">
        <f t="shared" si="13"/>
        <v>202208</v>
      </c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</row>
    <row r="852" spans="1:21" ht="12.75" customHeight="1">
      <c r="A852" s="7">
        <v>143317561</v>
      </c>
      <c r="B852" s="13">
        <v>5540246173472</v>
      </c>
      <c r="C852" s="31">
        <v>44799</v>
      </c>
      <c r="D852" s="8">
        <v>279</v>
      </c>
      <c r="E852" s="14" t="str">
        <f>VLOOKUP(B852, 'Catégorie des articles'!A:E, 4, FALSE)</f>
        <v>CREMERIE</v>
      </c>
      <c r="F852" s="14">
        <f t="shared" si="13"/>
        <v>202208</v>
      </c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</row>
    <row r="853" spans="1:21" ht="12.75" customHeight="1">
      <c r="A853" s="10">
        <v>143317561</v>
      </c>
      <c r="B853" s="15">
        <v>5540246175049</v>
      </c>
      <c r="C853" s="32">
        <v>44799</v>
      </c>
      <c r="D853" s="11">
        <v>696</v>
      </c>
      <c r="E853" s="14" t="str">
        <f>VLOOKUP(B853, 'Catégorie des articles'!A:E, 4, FALSE)</f>
        <v>CREMERIE</v>
      </c>
      <c r="F853" s="14">
        <f t="shared" si="13"/>
        <v>202208</v>
      </c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</row>
    <row r="854" spans="1:21" ht="12.75" customHeight="1">
      <c r="A854" s="7">
        <v>143317561</v>
      </c>
      <c r="B854" s="13">
        <v>5540246175050</v>
      </c>
      <c r="C854" s="31">
        <v>44799</v>
      </c>
      <c r="D854" s="8">
        <v>557</v>
      </c>
      <c r="E854" s="14" t="str">
        <f>VLOOKUP(B854, 'Catégorie des articles'!A:E, 4, FALSE)</f>
        <v>CREMERIE</v>
      </c>
      <c r="F854" s="14">
        <f t="shared" si="13"/>
        <v>202208</v>
      </c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</row>
    <row r="855" spans="1:21" ht="12.75" customHeight="1">
      <c r="A855" s="10">
        <v>143317576</v>
      </c>
      <c r="B855" s="15">
        <v>5540246171933</v>
      </c>
      <c r="C855" s="32">
        <v>44794</v>
      </c>
      <c r="D855" s="11">
        <v>557</v>
      </c>
      <c r="E855" s="14" t="str">
        <f>VLOOKUP(B855, 'Catégorie des articles'!A:E, 4, FALSE)</f>
        <v>CREMERIE</v>
      </c>
      <c r="F855" s="14">
        <f t="shared" si="13"/>
        <v>202208</v>
      </c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</row>
    <row r="856" spans="1:21" ht="12.75" customHeight="1">
      <c r="A856" s="7">
        <v>143317576</v>
      </c>
      <c r="B856" s="13">
        <v>5540246176294</v>
      </c>
      <c r="C856" s="31">
        <v>44794</v>
      </c>
      <c r="D856" s="8">
        <v>1485</v>
      </c>
      <c r="E856" s="14" t="str">
        <f>VLOOKUP(B856, 'Catégorie des articles'!A:E, 4, FALSE)</f>
        <v>CREMERIE</v>
      </c>
      <c r="F856" s="14">
        <f t="shared" si="13"/>
        <v>202208</v>
      </c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</row>
    <row r="857" spans="1:21" ht="12.75" customHeight="1">
      <c r="A857" s="10">
        <v>143317576</v>
      </c>
      <c r="B857" s="15">
        <v>5540246176295</v>
      </c>
      <c r="C857" s="32">
        <v>44794</v>
      </c>
      <c r="D857" s="11">
        <v>5568</v>
      </c>
      <c r="E857" s="14" t="str">
        <f>VLOOKUP(B857, 'Catégorie des articles'!A:E, 4, FALSE)</f>
        <v>CREMERIE</v>
      </c>
      <c r="F857" s="14">
        <f t="shared" si="13"/>
        <v>202208</v>
      </c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</row>
    <row r="858" spans="1:21" ht="12.75" customHeight="1">
      <c r="A858" s="10">
        <v>143317576</v>
      </c>
      <c r="B858" s="15">
        <v>5540246188200</v>
      </c>
      <c r="C858" s="32">
        <v>44794</v>
      </c>
      <c r="D858" s="11">
        <v>743</v>
      </c>
      <c r="E858" s="14" t="str">
        <f>VLOOKUP(B858, 'Catégorie des articles'!A:E, 4, FALSE)</f>
        <v>CREMERIE</v>
      </c>
      <c r="F858" s="14">
        <f t="shared" si="13"/>
        <v>202208</v>
      </c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</row>
    <row r="859" spans="1:21" ht="12.75" customHeight="1">
      <c r="A859" s="10">
        <v>143317577</v>
      </c>
      <c r="B859" s="15">
        <v>5540246172539</v>
      </c>
      <c r="C859" s="32">
        <v>44794</v>
      </c>
      <c r="D859" s="11">
        <v>24</v>
      </c>
      <c r="E859" s="14" t="str">
        <f>VLOOKUP(B859, 'Catégorie des articles'!A:E, 4, FALSE)</f>
        <v>CREMERIE</v>
      </c>
      <c r="F859" s="14">
        <f t="shared" si="13"/>
        <v>202208</v>
      </c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</row>
    <row r="860" spans="1:21" ht="12.75" customHeight="1">
      <c r="A860" s="7">
        <v>143317577</v>
      </c>
      <c r="B860" s="13">
        <v>5540246172669</v>
      </c>
      <c r="C860" s="31">
        <v>44794</v>
      </c>
      <c r="D860" s="8">
        <v>279</v>
      </c>
      <c r="E860" s="14" t="str">
        <f>VLOOKUP(B860, 'Catégorie des articles'!A:E, 4, FALSE)</f>
        <v>CREMERIE</v>
      </c>
      <c r="F860" s="14">
        <f t="shared" si="13"/>
        <v>202208</v>
      </c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</row>
    <row r="861" spans="1:21" ht="12.75" customHeight="1">
      <c r="A861" s="10">
        <v>143317577</v>
      </c>
      <c r="B861" s="15">
        <v>5540246172978</v>
      </c>
      <c r="C861" s="32">
        <v>44794</v>
      </c>
      <c r="D861" s="11">
        <v>836</v>
      </c>
      <c r="E861" s="14" t="str">
        <f>VLOOKUP(B861, 'Catégorie des articles'!A:E, 4, FALSE)</f>
        <v>CREMERIE</v>
      </c>
      <c r="F861" s="14">
        <f t="shared" si="13"/>
        <v>202208</v>
      </c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</row>
    <row r="862" spans="1:21" ht="12.75" customHeight="1">
      <c r="A862" s="7">
        <v>143317577</v>
      </c>
      <c r="B862" s="13">
        <v>5540246174174</v>
      </c>
      <c r="C862" s="31">
        <v>44794</v>
      </c>
      <c r="D862" s="8">
        <v>232</v>
      </c>
      <c r="E862" s="14" t="str">
        <f>VLOOKUP(B862, 'Catégorie des articles'!A:E, 4, FALSE)</f>
        <v>CREMERIE</v>
      </c>
      <c r="F862" s="14">
        <f t="shared" si="13"/>
        <v>202208</v>
      </c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</row>
    <row r="863" spans="1:21" ht="12.75" customHeight="1">
      <c r="A863" s="7">
        <v>143317577</v>
      </c>
      <c r="B863" s="13">
        <v>5540246176699</v>
      </c>
      <c r="C863" s="31">
        <v>44794</v>
      </c>
      <c r="D863" s="8">
        <v>1880</v>
      </c>
      <c r="E863" s="14" t="str">
        <f>VLOOKUP(B863, 'Catégorie des articles'!A:E, 4, FALSE)</f>
        <v>CREMERIE</v>
      </c>
      <c r="F863" s="14">
        <f t="shared" si="13"/>
        <v>202208</v>
      </c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</row>
    <row r="864" spans="1:21" ht="12.75" customHeight="1">
      <c r="A864" s="7">
        <v>143317587</v>
      </c>
      <c r="B864" s="13">
        <v>5540246171933</v>
      </c>
      <c r="C864" s="31">
        <v>44795</v>
      </c>
      <c r="D864" s="8">
        <v>557</v>
      </c>
      <c r="E864" s="14" t="str">
        <f>VLOOKUP(B864, 'Catégorie des articles'!A:E, 4, FALSE)</f>
        <v>CREMERIE</v>
      </c>
      <c r="F864" s="14">
        <f t="shared" si="13"/>
        <v>202208</v>
      </c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</row>
    <row r="865" spans="1:21" ht="12.75" customHeight="1">
      <c r="A865" s="7">
        <v>143317587</v>
      </c>
      <c r="B865" s="13">
        <v>5540246188200</v>
      </c>
      <c r="C865" s="31">
        <v>44795</v>
      </c>
      <c r="D865" s="8">
        <v>743</v>
      </c>
      <c r="E865" s="14" t="str">
        <f>VLOOKUP(B865, 'Catégorie des articles'!A:E, 4, FALSE)</f>
        <v>CREMERIE</v>
      </c>
      <c r="F865" s="14">
        <f t="shared" si="13"/>
        <v>202208</v>
      </c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</row>
    <row r="866" spans="1:21" ht="12.75" customHeight="1">
      <c r="A866" s="7">
        <v>143317588</v>
      </c>
      <c r="B866" s="13">
        <v>5540246172978</v>
      </c>
      <c r="C866" s="31">
        <v>44795</v>
      </c>
      <c r="D866" s="8">
        <v>836</v>
      </c>
      <c r="E866" s="14" t="str">
        <f>VLOOKUP(B866, 'Catégorie des articles'!A:E, 4, FALSE)</f>
        <v>CREMERIE</v>
      </c>
      <c r="F866" s="14">
        <f t="shared" si="13"/>
        <v>202208</v>
      </c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</row>
    <row r="867" spans="1:21" ht="12.75" customHeight="1">
      <c r="A867" s="10">
        <v>143317588</v>
      </c>
      <c r="B867" s="15">
        <v>5540246174174</v>
      </c>
      <c r="C867" s="32">
        <v>44795</v>
      </c>
      <c r="D867" s="11">
        <v>232</v>
      </c>
      <c r="E867" s="14" t="str">
        <f>VLOOKUP(B867, 'Catégorie des articles'!A:E, 4, FALSE)</f>
        <v>CREMERIE</v>
      </c>
      <c r="F867" s="14">
        <f t="shared" si="13"/>
        <v>202208</v>
      </c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</row>
    <row r="868" spans="1:21" ht="12.75" customHeight="1">
      <c r="A868" s="7">
        <v>143317588</v>
      </c>
      <c r="B868" s="13">
        <v>5540246176699</v>
      </c>
      <c r="C868" s="31">
        <v>44795</v>
      </c>
      <c r="D868" s="8">
        <v>3132</v>
      </c>
      <c r="E868" s="14" t="str">
        <f>VLOOKUP(B868, 'Catégorie des articles'!A:E, 4, FALSE)</f>
        <v>CREMERIE</v>
      </c>
      <c r="F868" s="14">
        <f t="shared" si="13"/>
        <v>202208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</row>
    <row r="869" spans="1:21" ht="12.75" customHeight="1">
      <c r="A869" s="7">
        <v>143317588</v>
      </c>
      <c r="B869" s="13">
        <v>5540246188175</v>
      </c>
      <c r="C869" s="31">
        <v>44795</v>
      </c>
      <c r="D869" s="8">
        <v>163</v>
      </c>
      <c r="E869" s="14" t="str">
        <f>VLOOKUP(B869, 'Catégorie des articles'!A:E, 4, FALSE)</f>
        <v>CREMERIE</v>
      </c>
      <c r="F869" s="14">
        <f t="shared" si="13"/>
        <v>202208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</row>
    <row r="870" spans="1:21" ht="12.75" customHeight="1">
      <c r="A870" s="7">
        <v>143317598</v>
      </c>
      <c r="B870" s="13">
        <v>5540246173472</v>
      </c>
      <c r="C870" s="31">
        <v>44795</v>
      </c>
      <c r="D870" s="8">
        <v>140</v>
      </c>
      <c r="E870" s="14" t="str">
        <f>VLOOKUP(B870, 'Catégorie des articles'!A:E, 4, FALSE)</f>
        <v>CREMERIE</v>
      </c>
      <c r="F870" s="14">
        <f t="shared" si="13"/>
        <v>202208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</row>
    <row r="871" spans="1:21" ht="12.75" customHeight="1">
      <c r="A871" s="10">
        <v>143317609</v>
      </c>
      <c r="B871" s="15">
        <v>5540246187987</v>
      </c>
      <c r="C871" s="32">
        <v>44798</v>
      </c>
      <c r="D871" s="11">
        <v>2228</v>
      </c>
      <c r="E871" s="14" t="str">
        <f>VLOOKUP(B871, 'Catégorie des articles'!A:E, 4, FALSE)</f>
        <v>CREMERIE</v>
      </c>
      <c r="F871" s="14">
        <f t="shared" si="13"/>
        <v>202208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</row>
    <row r="872" spans="1:21" ht="12.75" customHeight="1">
      <c r="A872" s="7">
        <v>143317609</v>
      </c>
      <c r="B872" s="13">
        <v>5540246188200</v>
      </c>
      <c r="C872" s="31">
        <v>44798</v>
      </c>
      <c r="D872" s="8">
        <v>1485</v>
      </c>
      <c r="E872" s="14" t="str">
        <f>VLOOKUP(B872, 'Catégorie des articles'!A:E, 4, FALSE)</f>
        <v>CREMERIE</v>
      </c>
      <c r="F872" s="14">
        <f t="shared" si="13"/>
        <v>202208</v>
      </c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</row>
    <row r="873" spans="1:21" ht="12.75" customHeight="1">
      <c r="A873" s="7">
        <v>143317610</v>
      </c>
      <c r="B873" s="13">
        <v>5540246174174</v>
      </c>
      <c r="C873" s="31">
        <v>44798</v>
      </c>
      <c r="D873" s="8">
        <v>232</v>
      </c>
      <c r="E873" s="14" t="str">
        <f>VLOOKUP(B873, 'Catégorie des articles'!A:E, 4, FALSE)</f>
        <v>CREMERIE</v>
      </c>
      <c r="F873" s="14">
        <f t="shared" si="13"/>
        <v>202208</v>
      </c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</row>
    <row r="874" spans="1:21" ht="12.75" customHeight="1">
      <c r="A874" s="10">
        <v>143317610</v>
      </c>
      <c r="B874" s="15">
        <v>5540246188175</v>
      </c>
      <c r="C874" s="32">
        <v>44798</v>
      </c>
      <c r="D874" s="11">
        <v>93</v>
      </c>
      <c r="E874" s="14" t="str">
        <f>VLOOKUP(B874, 'Catégorie des articles'!A:E, 4, FALSE)</f>
        <v>CREMERIE</v>
      </c>
      <c r="F874" s="14">
        <f t="shared" si="13"/>
        <v>202208</v>
      </c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</row>
    <row r="875" spans="1:21" ht="12.75" customHeight="1">
      <c r="A875" s="7">
        <v>143317615</v>
      </c>
      <c r="B875" s="13">
        <v>5540246185429</v>
      </c>
      <c r="C875" s="31">
        <v>44801</v>
      </c>
      <c r="D875" s="8">
        <v>70</v>
      </c>
      <c r="E875" s="14" t="str">
        <f>VLOOKUP(B875, 'Catégorie des articles'!A:E, 4, FALSE)</f>
        <v>CREMERIE</v>
      </c>
      <c r="F875" s="14">
        <f t="shared" si="13"/>
        <v>202208</v>
      </c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</row>
    <row r="876" spans="1:21" ht="12.75" customHeight="1">
      <c r="A876" s="10">
        <v>143317615</v>
      </c>
      <c r="B876" s="15">
        <v>5540246186325</v>
      </c>
      <c r="C876" s="32">
        <v>44801</v>
      </c>
      <c r="D876" s="11">
        <v>140</v>
      </c>
      <c r="E876" s="14" t="str">
        <f>VLOOKUP(B876, 'Catégorie des articles'!A:E, 4, FALSE)</f>
        <v>CREMERIE</v>
      </c>
      <c r="F876" s="14">
        <f t="shared" si="13"/>
        <v>202208</v>
      </c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</row>
    <row r="877" spans="1:21" ht="12.75" customHeight="1">
      <c r="A877" s="7">
        <v>143317631</v>
      </c>
      <c r="B877" s="13">
        <v>5540246187882</v>
      </c>
      <c r="C877" s="31">
        <v>44876</v>
      </c>
      <c r="D877" s="8">
        <v>163</v>
      </c>
      <c r="E877" s="14" t="str">
        <f>VLOOKUP(B877, 'Catégorie des articles'!A:E, 4, FALSE)</f>
        <v>EMBALLAGES</v>
      </c>
      <c r="F877" s="14">
        <f t="shared" si="13"/>
        <v>202211</v>
      </c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</row>
    <row r="878" spans="1:21" ht="12.75" customHeight="1">
      <c r="A878" s="7">
        <v>143317631</v>
      </c>
      <c r="B878" s="13">
        <v>5540246187995</v>
      </c>
      <c r="C878" s="31">
        <v>44876</v>
      </c>
      <c r="D878" s="8">
        <v>464</v>
      </c>
      <c r="E878" s="14" t="str">
        <f>VLOOKUP(B878, 'Catégorie des articles'!A:E, 4, FALSE)</f>
        <v>EMBALLAGES</v>
      </c>
      <c r="F878" s="14">
        <f t="shared" si="13"/>
        <v>202211</v>
      </c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</row>
    <row r="879" spans="1:21" ht="12.75" customHeight="1">
      <c r="A879" s="10">
        <v>143317631</v>
      </c>
      <c r="B879" s="15">
        <v>5540246187997</v>
      </c>
      <c r="C879" s="32">
        <v>44876</v>
      </c>
      <c r="D879" s="11">
        <v>205</v>
      </c>
      <c r="E879" s="14" t="str">
        <f>VLOOKUP(B879, 'Catégorie des articles'!A:E, 4, FALSE)</f>
        <v>EMBALLAGES</v>
      </c>
      <c r="F879" s="14">
        <f t="shared" si="13"/>
        <v>202211</v>
      </c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</row>
    <row r="880" spans="1:21" ht="12.75" customHeight="1">
      <c r="A880" s="7">
        <v>143317638</v>
      </c>
      <c r="B880" s="13">
        <v>5540246172539</v>
      </c>
      <c r="C880" s="31">
        <v>44799</v>
      </c>
      <c r="D880" s="8">
        <v>47</v>
      </c>
      <c r="E880" s="14" t="str">
        <f>VLOOKUP(B880, 'Catégorie des articles'!A:E, 4, FALSE)</f>
        <v>CREMERIE</v>
      </c>
      <c r="F880" s="14">
        <f t="shared" si="13"/>
        <v>202208</v>
      </c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</row>
    <row r="881" spans="1:21" ht="12.75" customHeight="1">
      <c r="A881" s="10">
        <v>143317638</v>
      </c>
      <c r="B881" s="15">
        <v>5540246172669</v>
      </c>
      <c r="C881" s="32">
        <v>44799</v>
      </c>
      <c r="D881" s="11">
        <v>279</v>
      </c>
      <c r="E881" s="14" t="str">
        <f>VLOOKUP(B881, 'Catégorie des articles'!A:E, 4, FALSE)</f>
        <v>CREMERIE</v>
      </c>
      <c r="F881" s="14">
        <f t="shared" si="13"/>
        <v>202208</v>
      </c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</row>
    <row r="882" spans="1:21" ht="12.75" customHeight="1">
      <c r="A882" s="7">
        <v>143317638</v>
      </c>
      <c r="B882" s="13">
        <v>5540246176699</v>
      </c>
      <c r="C882" s="31">
        <v>44799</v>
      </c>
      <c r="D882" s="8">
        <v>4176</v>
      </c>
      <c r="E882" s="14" t="str">
        <f>VLOOKUP(B882, 'Catégorie des articles'!A:E, 4, FALSE)</f>
        <v>CREMERIE</v>
      </c>
      <c r="F882" s="14">
        <f t="shared" si="13"/>
        <v>202208</v>
      </c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</row>
    <row r="883" spans="1:21" ht="12.75" customHeight="1">
      <c r="A883" s="10">
        <v>143317638</v>
      </c>
      <c r="B883" s="15">
        <v>5540246188175</v>
      </c>
      <c r="C883" s="32">
        <v>44799</v>
      </c>
      <c r="D883" s="11">
        <v>70</v>
      </c>
      <c r="E883" s="14" t="str">
        <f>VLOOKUP(B883, 'Catégorie des articles'!A:E, 4, FALSE)</f>
        <v>CREMERIE</v>
      </c>
      <c r="F883" s="14">
        <f t="shared" si="13"/>
        <v>202208</v>
      </c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</row>
    <row r="884" spans="1:21" ht="12.75" customHeight="1">
      <c r="A884" s="7">
        <v>143317638</v>
      </c>
      <c r="B884" s="13">
        <v>5540246192102</v>
      </c>
      <c r="C884" s="31">
        <v>44799</v>
      </c>
      <c r="D884" s="8">
        <v>4009</v>
      </c>
      <c r="E884" s="14" t="str">
        <f>VLOOKUP(B884, 'Catégorie des articles'!A:E, 4, FALSE)</f>
        <v>CREMERIE</v>
      </c>
      <c r="F884" s="14">
        <f t="shared" si="13"/>
        <v>202208</v>
      </c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</row>
    <row r="885" spans="1:21" ht="12.75" customHeight="1">
      <c r="A885" s="10">
        <v>143317639</v>
      </c>
      <c r="B885" s="15">
        <v>5540246187987</v>
      </c>
      <c r="C885" s="32">
        <v>44799</v>
      </c>
      <c r="D885" s="11">
        <v>1114</v>
      </c>
      <c r="E885" s="14" t="str">
        <f>VLOOKUP(B885, 'Catégorie des articles'!A:E, 4, FALSE)</f>
        <v>CREMERIE</v>
      </c>
      <c r="F885" s="14">
        <f t="shared" si="13"/>
        <v>202208</v>
      </c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</row>
    <row r="886" spans="1:21" ht="12.75" customHeight="1">
      <c r="A886" s="7">
        <v>143317642</v>
      </c>
      <c r="B886" s="13">
        <v>5540246173472</v>
      </c>
      <c r="C886" s="31">
        <v>44802</v>
      </c>
      <c r="D886" s="8">
        <v>279</v>
      </c>
      <c r="E886" s="14" t="str">
        <f>VLOOKUP(B886, 'Catégorie des articles'!A:E, 4, FALSE)</f>
        <v>CREMERIE</v>
      </c>
      <c r="F886" s="14">
        <f t="shared" si="13"/>
        <v>202208</v>
      </c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</row>
    <row r="887" spans="1:21" ht="12.75" customHeight="1">
      <c r="A887" s="10">
        <v>143317642</v>
      </c>
      <c r="B887" s="15">
        <v>5540246175047</v>
      </c>
      <c r="C887" s="32">
        <v>44802</v>
      </c>
      <c r="D887" s="11">
        <v>279</v>
      </c>
      <c r="E887" s="14" t="str">
        <f>VLOOKUP(B887, 'Catégorie des articles'!A:E, 4, FALSE)</f>
        <v>CREMERIE</v>
      </c>
      <c r="F887" s="14">
        <f t="shared" si="13"/>
        <v>202208</v>
      </c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</row>
    <row r="888" spans="1:21" ht="12.75" customHeight="1">
      <c r="A888" s="7">
        <v>143317642</v>
      </c>
      <c r="B888" s="13">
        <v>5540246175049</v>
      </c>
      <c r="C888" s="31">
        <v>44802</v>
      </c>
      <c r="D888" s="8">
        <v>557</v>
      </c>
      <c r="E888" s="14" t="str">
        <f>VLOOKUP(B888, 'Catégorie des articles'!A:E, 4, FALSE)</f>
        <v>CREMERIE</v>
      </c>
      <c r="F888" s="14">
        <f t="shared" si="13"/>
        <v>202208</v>
      </c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</row>
    <row r="889" spans="1:21" ht="12.75" customHeight="1">
      <c r="A889" s="10">
        <v>143317642</v>
      </c>
      <c r="B889" s="15">
        <v>5540246175050</v>
      </c>
      <c r="C889" s="32">
        <v>44802</v>
      </c>
      <c r="D889" s="11">
        <v>557</v>
      </c>
      <c r="E889" s="14" t="str">
        <f>VLOOKUP(B889, 'Catégorie des articles'!A:E, 4, FALSE)</f>
        <v>CREMERIE</v>
      </c>
      <c r="F889" s="14">
        <f t="shared" si="13"/>
        <v>202208</v>
      </c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</row>
    <row r="890" spans="1:21" ht="12.75" customHeight="1">
      <c r="A890" s="7">
        <v>143317642</v>
      </c>
      <c r="B890" s="13">
        <v>5540246190743</v>
      </c>
      <c r="C890" s="31">
        <v>44802</v>
      </c>
      <c r="D890" s="8">
        <v>279</v>
      </c>
      <c r="E890" s="14" t="str">
        <f>VLOOKUP(B890, 'Catégorie des articles'!A:E, 4, FALSE)</f>
        <v>CREMERIE</v>
      </c>
      <c r="F890" s="14">
        <f t="shared" si="13"/>
        <v>202208</v>
      </c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</row>
    <row r="891" spans="1:21" ht="12.75" customHeight="1">
      <c r="A891" s="10">
        <v>143327658</v>
      </c>
      <c r="B891" s="15">
        <v>5540246172978</v>
      </c>
      <c r="C891" s="32">
        <v>44800</v>
      </c>
      <c r="D891" s="11">
        <v>836</v>
      </c>
      <c r="E891" s="14" t="str">
        <f>VLOOKUP(B891, 'Catégorie des articles'!A:E, 4, FALSE)</f>
        <v>CREMERIE</v>
      </c>
      <c r="F891" s="14">
        <f t="shared" si="13"/>
        <v>202208</v>
      </c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</row>
    <row r="892" spans="1:21" ht="12.75" customHeight="1">
      <c r="A892" s="7">
        <v>143327658</v>
      </c>
      <c r="B892" s="13">
        <v>5540246174174</v>
      </c>
      <c r="C892" s="31">
        <v>44800</v>
      </c>
      <c r="D892" s="8">
        <v>232</v>
      </c>
      <c r="E892" s="14" t="str">
        <f>VLOOKUP(B892, 'Catégorie des articles'!A:E, 4, FALSE)</f>
        <v>CREMERIE</v>
      </c>
      <c r="F892" s="14">
        <f t="shared" si="13"/>
        <v>202208</v>
      </c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</row>
    <row r="893" spans="1:21" ht="12.75" customHeight="1">
      <c r="A893" s="7">
        <v>143327658</v>
      </c>
      <c r="B893" s="13">
        <v>5540246176699</v>
      </c>
      <c r="C893" s="31">
        <v>44800</v>
      </c>
      <c r="D893" s="8">
        <v>6264</v>
      </c>
      <c r="E893" s="14" t="str">
        <f>VLOOKUP(B893, 'Catégorie des articles'!A:E, 4, FALSE)</f>
        <v>CREMERIE</v>
      </c>
      <c r="F893" s="14">
        <f t="shared" si="13"/>
        <v>202208</v>
      </c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</row>
    <row r="894" spans="1:21" ht="12.75" customHeight="1">
      <c r="A894" s="10">
        <v>143327660</v>
      </c>
      <c r="B894" s="15">
        <v>5540246176295</v>
      </c>
      <c r="C894" s="32">
        <v>44800</v>
      </c>
      <c r="D894" s="11">
        <v>4455</v>
      </c>
      <c r="E894" s="14" t="str">
        <f>VLOOKUP(B894, 'Catégorie des articles'!A:E, 4, FALSE)</f>
        <v>CREMERIE</v>
      </c>
      <c r="F894" s="14">
        <f t="shared" si="13"/>
        <v>202208</v>
      </c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</row>
    <row r="895" spans="1:21" ht="12.75" customHeight="1">
      <c r="A895" s="7">
        <v>143327660</v>
      </c>
      <c r="B895" s="13">
        <v>5540246188200</v>
      </c>
      <c r="C895" s="31">
        <v>44800</v>
      </c>
      <c r="D895" s="8">
        <v>1485</v>
      </c>
      <c r="E895" s="14" t="str">
        <f>VLOOKUP(B895, 'Catégorie des articles'!A:E, 4, FALSE)</f>
        <v>CREMERIE</v>
      </c>
      <c r="F895" s="14">
        <f t="shared" si="13"/>
        <v>202208</v>
      </c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</row>
    <row r="896" spans="1:21" ht="12.75" customHeight="1">
      <c r="A896" s="7">
        <v>143327661</v>
      </c>
      <c r="B896" s="13">
        <v>5540246194632</v>
      </c>
      <c r="C896" s="31">
        <v>44798</v>
      </c>
      <c r="D896" s="8">
        <v>335</v>
      </c>
      <c r="E896" s="14" t="str">
        <f>VLOOKUP(B896, 'Catégorie des articles'!A:E, 4, FALSE)</f>
        <v>BOULANGERIE</v>
      </c>
      <c r="F896" s="14">
        <f t="shared" si="13"/>
        <v>202208</v>
      </c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</row>
    <row r="897" spans="1:21" ht="12.75" customHeight="1">
      <c r="A897" s="10">
        <v>143327671</v>
      </c>
      <c r="B897" s="15">
        <v>5540246194632</v>
      </c>
      <c r="C897" s="32">
        <v>44807</v>
      </c>
      <c r="D897" s="11">
        <v>1337</v>
      </c>
      <c r="E897" s="14" t="str">
        <f>VLOOKUP(B897, 'Catégorie des articles'!A:E, 4, FALSE)</f>
        <v>BOULANGERIE</v>
      </c>
      <c r="F897" s="14">
        <f t="shared" si="13"/>
        <v>202209</v>
      </c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</row>
    <row r="898" spans="1:21" ht="12.75" customHeight="1">
      <c r="A898" s="7">
        <v>143327673</v>
      </c>
      <c r="B898" s="13">
        <v>5540246184036</v>
      </c>
      <c r="C898" s="31">
        <v>44809</v>
      </c>
      <c r="D898" s="8">
        <v>130</v>
      </c>
      <c r="E898" s="14" t="str">
        <f>VLOOKUP(B898, 'Catégorie des articles'!A:E, 4, FALSE)</f>
        <v>BOULANGERIE</v>
      </c>
      <c r="F898" s="14">
        <f t="shared" ref="F898:F961" si="14">YEAR(C898)*100 + MONTH(C898)</f>
        <v>202209</v>
      </c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</row>
    <row r="899" spans="1:21" ht="12.75" customHeight="1">
      <c r="A899" s="10">
        <v>143327673</v>
      </c>
      <c r="B899" s="15">
        <v>5540246191596</v>
      </c>
      <c r="C899" s="32">
        <v>44809</v>
      </c>
      <c r="D899" s="11">
        <v>75</v>
      </c>
      <c r="E899" s="14" t="str">
        <f>VLOOKUP(B899, 'Catégorie des articles'!A:E, 4, FALSE)</f>
        <v>BOULANGERIE</v>
      </c>
      <c r="F899" s="14">
        <f t="shared" si="14"/>
        <v>202209</v>
      </c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</row>
    <row r="900" spans="1:21" ht="12.75" customHeight="1">
      <c r="A900" s="7">
        <v>143327674</v>
      </c>
      <c r="B900" s="13">
        <v>5540246171759</v>
      </c>
      <c r="C900" s="31">
        <v>44806</v>
      </c>
      <c r="D900" s="8">
        <v>3759</v>
      </c>
      <c r="E900" s="14" t="str">
        <f>VLOOKUP(B900, 'Catégorie des articles'!A:E, 4, FALSE)</f>
        <v>MIX LEGUMES</v>
      </c>
      <c r="F900" s="14">
        <f t="shared" si="14"/>
        <v>202209</v>
      </c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</row>
    <row r="901" spans="1:21" ht="12.75" customHeight="1">
      <c r="A901" s="10">
        <v>143327674</v>
      </c>
      <c r="B901" s="15">
        <v>5540246177133</v>
      </c>
      <c r="C901" s="32">
        <v>44806</v>
      </c>
      <c r="D901" s="11">
        <v>6125</v>
      </c>
      <c r="E901" s="14" t="str">
        <f>VLOOKUP(B901, 'Catégorie des articles'!A:E, 4, FALSE)</f>
        <v>MIX LEGUMES</v>
      </c>
      <c r="F901" s="14">
        <f t="shared" si="14"/>
        <v>202209</v>
      </c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</row>
    <row r="902" spans="1:21" ht="12.75" customHeight="1">
      <c r="A902" s="7">
        <v>143327674</v>
      </c>
      <c r="B902" s="13">
        <v>5540246192148</v>
      </c>
      <c r="C902" s="31">
        <v>44806</v>
      </c>
      <c r="D902" s="8">
        <v>26448</v>
      </c>
      <c r="E902" s="14" t="str">
        <f>VLOOKUP(B902, 'Catégorie des articles'!A:E, 4, FALSE)</f>
        <v>MIX LEGUMES</v>
      </c>
      <c r="F902" s="14">
        <f t="shared" si="14"/>
        <v>202209</v>
      </c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</row>
    <row r="903" spans="1:21" ht="12.75" customHeight="1">
      <c r="A903" s="7">
        <v>143327687</v>
      </c>
      <c r="B903" s="13">
        <v>5540246183587</v>
      </c>
      <c r="C903" s="31">
        <v>44805</v>
      </c>
      <c r="D903" s="8">
        <v>502</v>
      </c>
      <c r="E903" s="14" t="str">
        <f>VLOOKUP(B903, 'Catégorie des articles'!A:E, 4, FALSE)</f>
        <v>MIX LEGUMES</v>
      </c>
      <c r="F903" s="14">
        <f t="shared" si="14"/>
        <v>202209</v>
      </c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</row>
    <row r="904" spans="1:21" ht="12.75" customHeight="1">
      <c r="A904" s="7">
        <v>143327691</v>
      </c>
      <c r="B904" s="13">
        <v>5540246176295</v>
      </c>
      <c r="C904" s="31">
        <v>44801</v>
      </c>
      <c r="D904" s="8">
        <v>7424</v>
      </c>
      <c r="E904" s="14" t="str">
        <f>VLOOKUP(B904, 'Catégorie des articles'!A:E, 4, FALSE)</f>
        <v>CREMERIE</v>
      </c>
      <c r="F904" s="14">
        <f t="shared" si="14"/>
        <v>202208</v>
      </c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</row>
    <row r="905" spans="1:21" ht="12.75" customHeight="1">
      <c r="A905" s="7">
        <v>143327691</v>
      </c>
      <c r="B905" s="13">
        <v>5540246187987</v>
      </c>
      <c r="C905" s="31">
        <v>44801</v>
      </c>
      <c r="D905" s="8">
        <v>3341</v>
      </c>
      <c r="E905" s="14" t="str">
        <f>VLOOKUP(B905, 'Catégorie des articles'!A:E, 4, FALSE)</f>
        <v>CREMERIE</v>
      </c>
      <c r="F905" s="14">
        <f t="shared" si="14"/>
        <v>202208</v>
      </c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</row>
    <row r="906" spans="1:21" ht="12.75" customHeight="1">
      <c r="A906" s="10">
        <v>143327691</v>
      </c>
      <c r="B906" s="15">
        <v>5540246188200</v>
      </c>
      <c r="C906" s="32">
        <v>44801</v>
      </c>
      <c r="D906" s="11">
        <v>1485</v>
      </c>
      <c r="E906" s="14" t="str">
        <f>VLOOKUP(B906, 'Catégorie des articles'!A:E, 4, FALSE)</f>
        <v>CREMERIE</v>
      </c>
      <c r="F906" s="14">
        <f t="shared" si="14"/>
        <v>202208</v>
      </c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</row>
    <row r="907" spans="1:21" ht="12.75" customHeight="1">
      <c r="A907" s="10">
        <v>143327693</v>
      </c>
      <c r="B907" s="15">
        <v>5540246174174</v>
      </c>
      <c r="C907" s="32">
        <v>44801</v>
      </c>
      <c r="D907" s="11">
        <v>232</v>
      </c>
      <c r="E907" s="14" t="str">
        <f>VLOOKUP(B907, 'Catégorie des articles'!A:E, 4, FALSE)</f>
        <v>CREMERIE</v>
      </c>
      <c r="F907" s="14">
        <f t="shared" si="14"/>
        <v>202208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</row>
    <row r="908" spans="1:21" ht="12.75" customHeight="1">
      <c r="A908" s="10">
        <v>143327698</v>
      </c>
      <c r="B908" s="15">
        <v>5540246195241</v>
      </c>
      <c r="C908" s="32">
        <v>44801</v>
      </c>
      <c r="D908" s="11">
        <v>743</v>
      </c>
      <c r="E908" s="14" t="str">
        <f>VLOOKUP(B908, 'Catégorie des articles'!A:E, 4, FALSE)</f>
        <v>MIX LEGUMES</v>
      </c>
      <c r="F908" s="14">
        <f t="shared" si="14"/>
        <v>202208</v>
      </c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</row>
    <row r="909" spans="1:21" ht="12.75" customHeight="1">
      <c r="A909" s="7">
        <v>143327698</v>
      </c>
      <c r="B909" s="13">
        <v>5540246195242</v>
      </c>
      <c r="C909" s="31">
        <v>44801</v>
      </c>
      <c r="D909" s="8">
        <v>743</v>
      </c>
      <c r="E909" s="14" t="str">
        <f>VLOOKUP(B909, 'Catégorie des articles'!A:E, 4, FALSE)</f>
        <v>MIX LEGUMES</v>
      </c>
      <c r="F909" s="14">
        <f t="shared" si="14"/>
        <v>202208</v>
      </c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</row>
    <row r="910" spans="1:21" ht="12.75" customHeight="1">
      <c r="A910" s="10">
        <v>143327702</v>
      </c>
      <c r="B910" s="15">
        <v>5540246181061</v>
      </c>
      <c r="C910" s="32">
        <v>44813</v>
      </c>
      <c r="D910" s="11">
        <v>2205</v>
      </c>
      <c r="E910" s="14" t="str">
        <f>VLOOKUP(B910, 'Catégorie des articles'!A:E, 4, FALSE)</f>
        <v>VOLAILLE</v>
      </c>
      <c r="F910" s="14">
        <f t="shared" si="14"/>
        <v>202209</v>
      </c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</row>
    <row r="911" spans="1:21" ht="12.75" customHeight="1">
      <c r="A911" s="7">
        <v>143327702</v>
      </c>
      <c r="B911" s="13">
        <v>5540246183547</v>
      </c>
      <c r="C911" s="31">
        <v>44813</v>
      </c>
      <c r="D911" s="8">
        <v>5568</v>
      </c>
      <c r="E911" s="14" t="str">
        <f>VLOOKUP(B911, 'Catégorie des articles'!A:E, 4, FALSE)</f>
        <v>VOLAILLE</v>
      </c>
      <c r="F911" s="14">
        <f t="shared" si="14"/>
        <v>202209</v>
      </c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</row>
    <row r="912" spans="1:21" ht="12.75" customHeight="1">
      <c r="A912" s="10">
        <v>143327702</v>
      </c>
      <c r="B912" s="15">
        <v>5540246185278</v>
      </c>
      <c r="C912" s="32">
        <v>44813</v>
      </c>
      <c r="D912" s="11">
        <v>1120</v>
      </c>
      <c r="E912" s="14" t="str">
        <f>VLOOKUP(B912, 'Catégorie des articles'!A:E, 4, FALSE)</f>
        <v>VOLAILLE</v>
      </c>
      <c r="F912" s="14">
        <f t="shared" si="14"/>
        <v>202209</v>
      </c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</row>
    <row r="913" spans="1:21" ht="12.75" customHeight="1">
      <c r="A913" s="7">
        <v>143327703</v>
      </c>
      <c r="B913" s="13">
        <v>5540246173906</v>
      </c>
      <c r="C913" s="31">
        <v>44812</v>
      </c>
      <c r="D913" s="8">
        <v>1634</v>
      </c>
      <c r="E913" s="14" t="str">
        <f>VLOOKUP(B913, 'Catégorie des articles'!A:E, 4, FALSE)</f>
        <v>VOLAILLE</v>
      </c>
      <c r="F913" s="14">
        <f t="shared" si="14"/>
        <v>202209</v>
      </c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</row>
    <row r="914" spans="1:21" ht="12.75" customHeight="1">
      <c r="A914" s="10">
        <v>143327703</v>
      </c>
      <c r="B914" s="15">
        <v>5540246181016</v>
      </c>
      <c r="C914" s="32">
        <v>44812</v>
      </c>
      <c r="D914" s="11">
        <v>5346</v>
      </c>
      <c r="E914" s="14" t="str">
        <f>VLOOKUP(B914, 'Catégorie des articles'!A:E, 4, FALSE)</f>
        <v>VOLAILLE</v>
      </c>
      <c r="F914" s="14">
        <f t="shared" si="14"/>
        <v>202209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</row>
    <row r="915" spans="1:21" ht="12.75" customHeight="1">
      <c r="A915" s="10">
        <v>143327712</v>
      </c>
      <c r="B915" s="15">
        <v>5540246195250</v>
      </c>
      <c r="C915" s="32">
        <v>44802</v>
      </c>
      <c r="D915" s="11">
        <v>335</v>
      </c>
      <c r="E915" s="14" t="str">
        <f>VLOOKUP(B915, 'Catégorie des articles'!A:E, 4, FALSE)</f>
        <v>BOULANGERIE</v>
      </c>
      <c r="F915" s="14">
        <f t="shared" si="14"/>
        <v>202208</v>
      </c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</row>
    <row r="916" spans="1:21" ht="12.75" customHeight="1">
      <c r="A916" s="7">
        <v>143327718</v>
      </c>
      <c r="B916" s="13">
        <v>5540246176294</v>
      </c>
      <c r="C916" s="31">
        <v>44802</v>
      </c>
      <c r="D916" s="8">
        <v>1485</v>
      </c>
      <c r="E916" s="14" t="str">
        <f>VLOOKUP(B916, 'Catégorie des articles'!A:E, 4, FALSE)</f>
        <v>CREMERIE</v>
      </c>
      <c r="F916" s="14">
        <f t="shared" si="14"/>
        <v>202208</v>
      </c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</row>
    <row r="917" spans="1:21" ht="12.75" customHeight="1">
      <c r="A917" s="10">
        <v>143327718</v>
      </c>
      <c r="B917" s="15">
        <v>5540246176295</v>
      </c>
      <c r="C917" s="32">
        <v>44802</v>
      </c>
      <c r="D917" s="11">
        <v>7424</v>
      </c>
      <c r="E917" s="14" t="str">
        <f>VLOOKUP(B917, 'Catégorie des articles'!A:E, 4, FALSE)</f>
        <v>CREMERIE</v>
      </c>
      <c r="F917" s="14">
        <f t="shared" si="14"/>
        <v>202208</v>
      </c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</row>
    <row r="918" spans="1:21" ht="12.75" customHeight="1">
      <c r="A918" s="10">
        <v>143327718</v>
      </c>
      <c r="B918" s="15">
        <v>5540246187987</v>
      </c>
      <c r="C918" s="32">
        <v>44802</v>
      </c>
      <c r="D918" s="11">
        <v>4455</v>
      </c>
      <c r="E918" s="14" t="str">
        <f>VLOOKUP(B918, 'Catégorie des articles'!A:E, 4, FALSE)</f>
        <v>CREMERIE</v>
      </c>
      <c r="F918" s="14">
        <f t="shared" si="14"/>
        <v>202208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</row>
    <row r="919" spans="1:21" ht="12.75" customHeight="1">
      <c r="A919" s="7">
        <v>143327718</v>
      </c>
      <c r="B919" s="13">
        <v>5540246188200</v>
      </c>
      <c r="C919" s="31">
        <v>44802</v>
      </c>
      <c r="D919" s="8">
        <v>1485</v>
      </c>
      <c r="E919" s="14" t="str">
        <f>VLOOKUP(B919, 'Catégorie des articles'!A:E, 4, FALSE)</f>
        <v>CREMERIE</v>
      </c>
      <c r="F919" s="14">
        <f t="shared" si="14"/>
        <v>202208</v>
      </c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</row>
    <row r="920" spans="1:21" ht="12.75" customHeight="1">
      <c r="A920" s="7">
        <v>143327720</v>
      </c>
      <c r="B920" s="13">
        <v>5540246172669</v>
      </c>
      <c r="C920" s="31">
        <v>44802</v>
      </c>
      <c r="D920" s="8">
        <v>279</v>
      </c>
      <c r="E920" s="14" t="str">
        <f>VLOOKUP(B920, 'Catégorie des articles'!A:E, 4, FALSE)</f>
        <v>CREMERIE</v>
      </c>
      <c r="F920" s="14">
        <f t="shared" si="14"/>
        <v>202208</v>
      </c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</row>
    <row r="921" spans="1:21" ht="12.75" customHeight="1">
      <c r="A921" s="10">
        <v>143327720</v>
      </c>
      <c r="B921" s="15">
        <v>5540246172978</v>
      </c>
      <c r="C921" s="32">
        <v>44802</v>
      </c>
      <c r="D921" s="11">
        <v>1671</v>
      </c>
      <c r="E921" s="14" t="str">
        <f>VLOOKUP(B921, 'Catégorie des articles'!A:E, 4, FALSE)</f>
        <v>CREMERIE</v>
      </c>
      <c r="F921" s="14">
        <f t="shared" si="14"/>
        <v>202208</v>
      </c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</row>
    <row r="922" spans="1:21" ht="12.75" customHeight="1">
      <c r="A922" s="7">
        <v>143327720</v>
      </c>
      <c r="B922" s="13">
        <v>5540246174174</v>
      </c>
      <c r="C922" s="31">
        <v>44802</v>
      </c>
      <c r="D922" s="8">
        <v>464</v>
      </c>
      <c r="E922" s="14" t="str">
        <f>VLOOKUP(B922, 'Catégorie des articles'!A:E, 4, FALSE)</f>
        <v>CREMERIE</v>
      </c>
      <c r="F922" s="14">
        <f t="shared" si="14"/>
        <v>202208</v>
      </c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</row>
    <row r="923" spans="1:21" ht="12.75" customHeight="1">
      <c r="A923" s="7">
        <v>143327720</v>
      </c>
      <c r="B923" s="13">
        <v>5540246176699</v>
      </c>
      <c r="C923" s="31">
        <v>44802</v>
      </c>
      <c r="D923" s="8">
        <v>8352</v>
      </c>
      <c r="E923" s="14" t="str">
        <f>VLOOKUP(B923, 'Catégorie des articles'!A:E, 4, FALSE)</f>
        <v>CREMERIE</v>
      </c>
      <c r="F923" s="14">
        <f t="shared" si="14"/>
        <v>202208</v>
      </c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</row>
    <row r="924" spans="1:21" ht="12.75" customHeight="1">
      <c r="A924" s="7">
        <v>143327720</v>
      </c>
      <c r="B924" s="13">
        <v>5540246192102</v>
      </c>
      <c r="C924" s="31">
        <v>44802</v>
      </c>
      <c r="D924" s="8">
        <v>4009</v>
      </c>
      <c r="E924" s="14" t="str">
        <f>VLOOKUP(B924, 'Catégorie des articles'!A:E, 4, FALSE)</f>
        <v>CREMERIE</v>
      </c>
      <c r="F924" s="14">
        <f t="shared" si="14"/>
        <v>202208</v>
      </c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</row>
    <row r="925" spans="1:21" ht="12.75" customHeight="1">
      <c r="A925" s="10">
        <v>143327723</v>
      </c>
      <c r="B925" s="15">
        <v>5540246174095</v>
      </c>
      <c r="C925" s="32">
        <v>44806</v>
      </c>
      <c r="D925" s="11">
        <v>70</v>
      </c>
      <c r="E925" s="14" t="str">
        <f>VLOOKUP(B925, 'Catégorie des articles'!A:E, 4, FALSE)</f>
        <v>CREMERIE</v>
      </c>
      <c r="F925" s="14">
        <f t="shared" si="14"/>
        <v>202209</v>
      </c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</row>
    <row r="926" spans="1:21" ht="12.75" customHeight="1">
      <c r="A926" s="7">
        <v>143327723</v>
      </c>
      <c r="B926" s="13">
        <v>5540246175047</v>
      </c>
      <c r="C926" s="31">
        <v>44806</v>
      </c>
      <c r="D926" s="8">
        <v>418</v>
      </c>
      <c r="E926" s="14" t="str">
        <f>VLOOKUP(B926, 'Catégorie des articles'!A:E, 4, FALSE)</f>
        <v>CREMERIE</v>
      </c>
      <c r="F926" s="14">
        <f t="shared" si="14"/>
        <v>202209</v>
      </c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</row>
    <row r="927" spans="1:21" ht="12.75" customHeight="1">
      <c r="A927" s="10">
        <v>143327723</v>
      </c>
      <c r="B927" s="15">
        <v>5540246175049</v>
      </c>
      <c r="C927" s="32">
        <v>44806</v>
      </c>
      <c r="D927" s="11">
        <v>836</v>
      </c>
      <c r="E927" s="14" t="str">
        <f>VLOOKUP(B927, 'Catégorie des articles'!A:E, 4, FALSE)</f>
        <v>CREMERIE</v>
      </c>
      <c r="F927" s="14">
        <f t="shared" si="14"/>
        <v>202209</v>
      </c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</row>
    <row r="928" spans="1:21" ht="12.75" customHeight="1">
      <c r="A928" s="7">
        <v>143327723</v>
      </c>
      <c r="B928" s="13">
        <v>5540246175050</v>
      </c>
      <c r="C928" s="31">
        <v>44806</v>
      </c>
      <c r="D928" s="8">
        <v>836</v>
      </c>
      <c r="E928" s="14" t="str">
        <f>VLOOKUP(B928, 'Catégorie des articles'!A:E, 4, FALSE)</f>
        <v>CREMERIE</v>
      </c>
      <c r="F928" s="14">
        <f t="shared" si="14"/>
        <v>202209</v>
      </c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</row>
    <row r="929" spans="1:21" ht="12.75" customHeight="1">
      <c r="A929" s="10">
        <v>143327727</v>
      </c>
      <c r="B929" s="15">
        <v>5540246194632</v>
      </c>
      <c r="C929" s="32">
        <v>44801</v>
      </c>
      <c r="D929" s="11">
        <v>335</v>
      </c>
      <c r="E929" s="14" t="str">
        <f>VLOOKUP(B929, 'Catégorie des articles'!A:E, 4, FALSE)</f>
        <v>BOULANGERIE</v>
      </c>
      <c r="F929" s="14">
        <f t="shared" si="14"/>
        <v>202208</v>
      </c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</row>
    <row r="930" spans="1:21" ht="12.75" customHeight="1">
      <c r="A930" s="7">
        <v>143327728</v>
      </c>
      <c r="B930" s="13">
        <v>5540246170256</v>
      </c>
      <c r="C930" s="31">
        <v>44807</v>
      </c>
      <c r="D930" s="8">
        <v>504</v>
      </c>
      <c r="E930" s="14" t="str">
        <f>VLOOKUP(B930, 'Catégorie des articles'!A:E, 4, FALSE)</f>
        <v>BOULANGERIE</v>
      </c>
      <c r="F930" s="14">
        <f t="shared" si="14"/>
        <v>202209</v>
      </c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</row>
    <row r="931" spans="1:21" ht="12.75" customHeight="1">
      <c r="A931" s="10">
        <v>143327728</v>
      </c>
      <c r="B931" s="15">
        <v>5540246171888</v>
      </c>
      <c r="C931" s="32">
        <v>44807</v>
      </c>
      <c r="D931" s="11">
        <v>1170</v>
      </c>
      <c r="E931" s="14" t="str">
        <f>VLOOKUP(B931, 'Catégorie des articles'!A:E, 4, FALSE)</f>
        <v>BOULANGERIE</v>
      </c>
      <c r="F931" s="14">
        <f t="shared" si="14"/>
        <v>202209</v>
      </c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</row>
    <row r="932" spans="1:21" ht="12.75" customHeight="1">
      <c r="A932" s="10">
        <v>143327736</v>
      </c>
      <c r="B932" s="15">
        <v>5540246182684</v>
      </c>
      <c r="C932" s="32">
        <v>44809</v>
      </c>
      <c r="D932" s="11">
        <v>93</v>
      </c>
      <c r="E932" s="14" t="str">
        <f>VLOOKUP(B932, 'Catégorie des articles'!A:E, 4, FALSE)</f>
        <v>BOULANGERIE</v>
      </c>
      <c r="F932" s="14">
        <f t="shared" si="14"/>
        <v>202209</v>
      </c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</row>
    <row r="933" spans="1:21" ht="12.75" customHeight="1">
      <c r="A933" s="7">
        <v>143327736</v>
      </c>
      <c r="B933" s="13">
        <v>5540246183844</v>
      </c>
      <c r="C933" s="31">
        <v>44809</v>
      </c>
      <c r="D933" s="8">
        <v>93</v>
      </c>
      <c r="E933" s="14" t="str">
        <f>VLOOKUP(B933, 'Catégorie des articles'!A:E, 4, FALSE)</f>
        <v>BOULANGERIE</v>
      </c>
      <c r="F933" s="14">
        <f t="shared" si="14"/>
        <v>202209</v>
      </c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</row>
    <row r="934" spans="1:21" ht="12.75" customHeight="1">
      <c r="A934" s="7">
        <v>143327747</v>
      </c>
      <c r="B934" s="13">
        <v>5540246188200</v>
      </c>
      <c r="C934" s="31">
        <v>44805</v>
      </c>
      <c r="D934" s="8">
        <v>2228</v>
      </c>
      <c r="E934" s="14" t="str">
        <f>VLOOKUP(B934, 'Catégorie des articles'!A:E, 4, FALSE)</f>
        <v>CREMERIE</v>
      </c>
      <c r="F934" s="14">
        <f t="shared" si="14"/>
        <v>202209</v>
      </c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</row>
    <row r="935" spans="1:21" ht="12.75" customHeight="1">
      <c r="A935" s="10">
        <v>143327748</v>
      </c>
      <c r="B935" s="15">
        <v>5540246174174</v>
      </c>
      <c r="C935" s="32">
        <v>44805</v>
      </c>
      <c r="D935" s="11">
        <v>360</v>
      </c>
      <c r="E935" s="14" t="str">
        <f>VLOOKUP(B935, 'Catégorie des articles'!A:E, 4, FALSE)</f>
        <v>CREMERIE</v>
      </c>
      <c r="F935" s="14">
        <f t="shared" si="14"/>
        <v>202209</v>
      </c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</row>
    <row r="936" spans="1:21" ht="12.75" customHeight="1">
      <c r="A936" s="10">
        <v>143327748</v>
      </c>
      <c r="B936" s="15">
        <v>5540246176699</v>
      </c>
      <c r="C936" s="32">
        <v>44805</v>
      </c>
      <c r="D936" s="11">
        <v>6264</v>
      </c>
      <c r="E936" s="14" t="str">
        <f>VLOOKUP(B936, 'Catégorie des articles'!A:E, 4, FALSE)</f>
        <v>CREMERIE</v>
      </c>
      <c r="F936" s="14">
        <f t="shared" si="14"/>
        <v>202209</v>
      </c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</row>
    <row r="937" spans="1:21" ht="12.75" customHeight="1">
      <c r="A937" s="10">
        <v>143327748</v>
      </c>
      <c r="B937" s="15">
        <v>5540246188175</v>
      </c>
      <c r="C937" s="32">
        <v>44805</v>
      </c>
      <c r="D937" s="11">
        <v>93</v>
      </c>
      <c r="E937" s="14" t="str">
        <f>VLOOKUP(B937, 'Catégorie des articles'!A:E, 4, FALSE)</f>
        <v>CREMERIE</v>
      </c>
      <c r="F937" s="14">
        <f t="shared" si="14"/>
        <v>202209</v>
      </c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</row>
    <row r="938" spans="1:21" ht="12.75" customHeight="1">
      <c r="A938" s="7">
        <v>143327751</v>
      </c>
      <c r="B938" s="13">
        <v>5540246194632</v>
      </c>
      <c r="C938" s="31">
        <v>44805</v>
      </c>
      <c r="D938" s="8">
        <v>502</v>
      </c>
      <c r="E938" s="14" t="str">
        <f>VLOOKUP(B938, 'Catégorie des articles'!A:E, 4, FALSE)</f>
        <v>BOULANGERIE</v>
      </c>
      <c r="F938" s="14">
        <f t="shared" si="14"/>
        <v>202209</v>
      </c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</row>
    <row r="939" spans="1:21" ht="12.75" customHeight="1">
      <c r="A939" s="10">
        <v>143327755</v>
      </c>
      <c r="B939" s="15">
        <v>5540246194632</v>
      </c>
      <c r="C939" s="32">
        <v>44809</v>
      </c>
      <c r="D939" s="11">
        <v>1420</v>
      </c>
      <c r="E939" s="14" t="str">
        <f>VLOOKUP(B939, 'Catégorie des articles'!A:E, 4, FALSE)</f>
        <v>BOULANGERIE</v>
      </c>
      <c r="F939" s="14">
        <f t="shared" si="14"/>
        <v>202209</v>
      </c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</row>
    <row r="940" spans="1:21" ht="12.75" customHeight="1">
      <c r="A940" s="7">
        <v>143327755</v>
      </c>
      <c r="B940" s="13">
        <v>5540246195250</v>
      </c>
      <c r="C940" s="31">
        <v>44809</v>
      </c>
      <c r="D940" s="8">
        <v>335</v>
      </c>
      <c r="E940" s="14" t="str">
        <f>VLOOKUP(B940, 'Catégorie des articles'!A:E, 4, FALSE)</f>
        <v>BOULANGERIE</v>
      </c>
      <c r="F940" s="14">
        <f t="shared" si="14"/>
        <v>202209</v>
      </c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</row>
    <row r="941" spans="1:21" ht="12.75" customHeight="1">
      <c r="A941" s="7">
        <v>143327756</v>
      </c>
      <c r="B941" s="13">
        <v>5540246171759</v>
      </c>
      <c r="C941" s="31">
        <v>44808</v>
      </c>
      <c r="D941" s="8">
        <v>3759</v>
      </c>
      <c r="E941" s="14" t="str">
        <f>VLOOKUP(B941, 'Catégorie des articles'!A:E, 4, FALSE)</f>
        <v>MIX LEGUMES</v>
      </c>
      <c r="F941" s="14">
        <f t="shared" si="14"/>
        <v>202209</v>
      </c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</row>
    <row r="942" spans="1:21" ht="12.75" customHeight="1">
      <c r="A942" s="10">
        <v>143327756</v>
      </c>
      <c r="B942" s="15">
        <v>5540246177133</v>
      </c>
      <c r="C942" s="32">
        <v>44808</v>
      </c>
      <c r="D942" s="11">
        <v>4455</v>
      </c>
      <c r="E942" s="14" t="str">
        <f>VLOOKUP(B942, 'Catégorie des articles'!A:E, 4, FALSE)</f>
        <v>MIX LEGUMES</v>
      </c>
      <c r="F942" s="14">
        <f t="shared" si="14"/>
        <v>202209</v>
      </c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</row>
    <row r="943" spans="1:21" ht="12.75" customHeight="1">
      <c r="A943" s="7">
        <v>143327756</v>
      </c>
      <c r="B943" s="13">
        <v>5540246192148</v>
      </c>
      <c r="C943" s="31">
        <v>44808</v>
      </c>
      <c r="D943" s="8">
        <v>15312</v>
      </c>
      <c r="E943" s="14" t="str">
        <f>VLOOKUP(B943, 'Catégorie des articles'!A:E, 4, FALSE)</f>
        <v>MIX LEGUMES</v>
      </c>
      <c r="F943" s="14">
        <f t="shared" si="14"/>
        <v>202209</v>
      </c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</row>
    <row r="944" spans="1:21" ht="12.75" customHeight="1">
      <c r="A944" s="10">
        <v>143327757</v>
      </c>
      <c r="B944" s="15">
        <v>5540246183130</v>
      </c>
      <c r="C944" s="32">
        <v>44809</v>
      </c>
      <c r="D944" s="11">
        <v>1692</v>
      </c>
      <c r="E944" s="14" t="str">
        <f>VLOOKUP(B944, 'Catégorie des articles'!A:E, 4, FALSE)</f>
        <v>MIX LEGUMES</v>
      </c>
      <c r="F944" s="14">
        <f t="shared" si="14"/>
        <v>202209</v>
      </c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</row>
    <row r="945" spans="1:21" ht="12.75" customHeight="1">
      <c r="A945" s="7">
        <v>143327757</v>
      </c>
      <c r="B945" s="13">
        <v>5540246183537</v>
      </c>
      <c r="C945" s="31">
        <v>44809</v>
      </c>
      <c r="D945" s="8">
        <v>961</v>
      </c>
      <c r="E945" s="14" t="str">
        <f>VLOOKUP(B945, 'Catégorie des articles'!A:E, 4, FALSE)</f>
        <v>MIX LEGUMES</v>
      </c>
      <c r="F945" s="14">
        <f t="shared" si="14"/>
        <v>202209</v>
      </c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</row>
    <row r="946" spans="1:21" ht="12.75" customHeight="1">
      <c r="A946" s="10">
        <v>143327757</v>
      </c>
      <c r="B946" s="15">
        <v>5540246183541</v>
      </c>
      <c r="C946" s="32">
        <v>44809</v>
      </c>
      <c r="D946" s="11">
        <v>1044</v>
      </c>
      <c r="E946" s="14" t="str">
        <f>VLOOKUP(B946, 'Catégorie des articles'!A:E, 4, FALSE)</f>
        <v>MIX LEGUMES</v>
      </c>
      <c r="F946" s="14">
        <f t="shared" si="14"/>
        <v>202209</v>
      </c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</row>
    <row r="947" spans="1:21" ht="12.75" customHeight="1">
      <c r="A947" s="7">
        <v>143327757</v>
      </c>
      <c r="B947" s="13">
        <v>5540246192571</v>
      </c>
      <c r="C947" s="31">
        <v>44809</v>
      </c>
      <c r="D947" s="8">
        <v>602</v>
      </c>
      <c r="E947" s="14" t="str">
        <f>VLOOKUP(B947, 'Catégorie des articles'!A:E, 4, FALSE)</f>
        <v>MIX LEGUMES</v>
      </c>
      <c r="F947" s="14">
        <f t="shared" si="14"/>
        <v>202209</v>
      </c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</row>
    <row r="948" spans="1:21" ht="12.75" customHeight="1">
      <c r="A948" s="7">
        <v>143327759</v>
      </c>
      <c r="B948" s="13">
        <v>5540246183558</v>
      </c>
      <c r="C948" s="31">
        <v>44808</v>
      </c>
      <c r="D948" s="8">
        <v>5197</v>
      </c>
      <c r="E948" s="14" t="str">
        <f>VLOOKUP(B948, 'Catégorie des articles'!A:E, 4, FALSE)</f>
        <v>MIX LEGUMES</v>
      </c>
      <c r="F948" s="14">
        <f t="shared" si="14"/>
        <v>202209</v>
      </c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</row>
    <row r="949" spans="1:21" ht="12.75" customHeight="1">
      <c r="A949" s="10">
        <v>143327759</v>
      </c>
      <c r="B949" s="15">
        <v>5540246183560</v>
      </c>
      <c r="C949" s="32">
        <v>44808</v>
      </c>
      <c r="D949" s="11">
        <v>223</v>
      </c>
      <c r="E949" s="14" t="str">
        <f>VLOOKUP(B949, 'Catégorie des articles'!A:E, 4, FALSE)</f>
        <v>MIX LEGUMES</v>
      </c>
      <c r="F949" s="14">
        <f t="shared" si="14"/>
        <v>202209</v>
      </c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</row>
    <row r="950" spans="1:21" ht="12.75" customHeight="1">
      <c r="A950" s="7">
        <v>143327759</v>
      </c>
      <c r="B950" s="13">
        <v>5540246192209</v>
      </c>
      <c r="C950" s="31">
        <v>44808</v>
      </c>
      <c r="D950" s="8">
        <v>1114</v>
      </c>
      <c r="E950" s="14" t="str">
        <f>VLOOKUP(B950, 'Catégorie des articles'!A:E, 4, FALSE)</f>
        <v>MIX LEGUMES</v>
      </c>
      <c r="F950" s="14">
        <f t="shared" si="14"/>
        <v>202209</v>
      </c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</row>
    <row r="951" spans="1:21" ht="12.75" customHeight="1">
      <c r="A951" s="10">
        <v>143327759</v>
      </c>
      <c r="B951" s="15">
        <v>5540246192462</v>
      </c>
      <c r="C951" s="32">
        <v>44808</v>
      </c>
      <c r="D951" s="11">
        <v>1114</v>
      </c>
      <c r="E951" s="14" t="str">
        <f>VLOOKUP(B951, 'Catégorie des articles'!A:E, 4, FALSE)</f>
        <v>MIX LEGUMES</v>
      </c>
      <c r="F951" s="14">
        <f t="shared" si="14"/>
        <v>202209</v>
      </c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</row>
    <row r="952" spans="1:21" ht="12.75" customHeight="1">
      <c r="A952" s="10">
        <v>143327763</v>
      </c>
      <c r="B952" s="15">
        <v>5540246173906</v>
      </c>
      <c r="C952" s="32">
        <v>44802</v>
      </c>
      <c r="D952" s="11">
        <v>817</v>
      </c>
      <c r="E952" s="14" t="str">
        <f>VLOOKUP(B952, 'Catégorie des articles'!A:E, 4, FALSE)</f>
        <v>VOLAILLE</v>
      </c>
      <c r="F952" s="14">
        <f t="shared" si="14"/>
        <v>202208</v>
      </c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</row>
    <row r="953" spans="1:21" ht="12.75" customHeight="1">
      <c r="A953" s="7">
        <v>143327779</v>
      </c>
      <c r="B953" s="13">
        <v>5540246171933</v>
      </c>
      <c r="C953" s="31">
        <v>44806</v>
      </c>
      <c r="D953" s="8">
        <v>557</v>
      </c>
      <c r="E953" s="14" t="str">
        <f>VLOOKUP(B953, 'Catégorie des articles'!A:E, 4, FALSE)</f>
        <v>CREMERIE</v>
      </c>
      <c r="F953" s="14">
        <f t="shared" si="14"/>
        <v>202209</v>
      </c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</row>
    <row r="954" spans="1:21" ht="12.75" customHeight="1">
      <c r="A954" s="7">
        <v>143327779</v>
      </c>
      <c r="B954" s="13">
        <v>5540246187987</v>
      </c>
      <c r="C954" s="31">
        <v>44806</v>
      </c>
      <c r="D954" s="8">
        <v>1114</v>
      </c>
      <c r="E954" s="14" t="str">
        <f>VLOOKUP(B954, 'Catégorie des articles'!A:E, 4, FALSE)</f>
        <v>CREMERIE</v>
      </c>
      <c r="F954" s="14">
        <f t="shared" si="14"/>
        <v>202209</v>
      </c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</row>
    <row r="955" spans="1:21" ht="12.75" customHeight="1">
      <c r="A955" s="10">
        <v>143327780</v>
      </c>
      <c r="B955" s="15">
        <v>5540246174174</v>
      </c>
      <c r="C955" s="32">
        <v>44806</v>
      </c>
      <c r="D955" s="11">
        <v>464</v>
      </c>
      <c r="E955" s="14" t="str">
        <f>VLOOKUP(B955, 'Catégorie des articles'!A:E, 4, FALSE)</f>
        <v>CREMERIE</v>
      </c>
      <c r="F955" s="14">
        <f t="shared" si="14"/>
        <v>202209</v>
      </c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</row>
    <row r="956" spans="1:21" ht="12.75" customHeight="1">
      <c r="A956" s="10">
        <v>143327780</v>
      </c>
      <c r="B956" s="15">
        <v>5540246176699</v>
      </c>
      <c r="C956" s="32">
        <v>44806</v>
      </c>
      <c r="D956" s="11">
        <v>6264</v>
      </c>
      <c r="E956" s="14" t="str">
        <f>VLOOKUP(B956, 'Catégorie des articles'!A:E, 4, FALSE)</f>
        <v>CREMERIE</v>
      </c>
      <c r="F956" s="14">
        <f t="shared" si="14"/>
        <v>202209</v>
      </c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</row>
    <row r="957" spans="1:21" ht="12.75" customHeight="1">
      <c r="A957" s="7">
        <v>143327782</v>
      </c>
      <c r="B957" s="13">
        <v>5540246175047</v>
      </c>
      <c r="C957" s="31">
        <v>44809</v>
      </c>
      <c r="D957" s="8">
        <v>557</v>
      </c>
      <c r="E957" s="14" t="str">
        <f>VLOOKUP(B957, 'Catégorie des articles'!A:E, 4, FALSE)</f>
        <v>CREMERIE</v>
      </c>
      <c r="F957" s="14">
        <f t="shared" si="14"/>
        <v>202209</v>
      </c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</row>
    <row r="958" spans="1:21" ht="12.75" customHeight="1">
      <c r="A958" s="10">
        <v>143327782</v>
      </c>
      <c r="B958" s="15">
        <v>5540246175049</v>
      </c>
      <c r="C958" s="32">
        <v>44809</v>
      </c>
      <c r="D958" s="11">
        <v>836</v>
      </c>
      <c r="E958" s="14" t="str">
        <f>VLOOKUP(B958, 'Catégorie des articles'!A:E, 4, FALSE)</f>
        <v>CREMERIE</v>
      </c>
      <c r="F958" s="14">
        <f t="shared" si="14"/>
        <v>202209</v>
      </c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</row>
    <row r="959" spans="1:21" ht="12.75" customHeight="1">
      <c r="A959" s="7">
        <v>143327782</v>
      </c>
      <c r="B959" s="13">
        <v>5540246175050</v>
      </c>
      <c r="C959" s="31">
        <v>44809</v>
      </c>
      <c r="D959" s="8">
        <v>836</v>
      </c>
      <c r="E959" s="14" t="str">
        <f>VLOOKUP(B959, 'Catégorie des articles'!A:E, 4, FALSE)</f>
        <v>CREMERIE</v>
      </c>
      <c r="F959" s="14">
        <f t="shared" si="14"/>
        <v>202209</v>
      </c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</row>
    <row r="960" spans="1:21" ht="12.75" customHeight="1">
      <c r="A960" s="7">
        <v>143327784</v>
      </c>
      <c r="B960" s="13">
        <v>5540246185429</v>
      </c>
      <c r="C960" s="31">
        <v>44808</v>
      </c>
      <c r="D960" s="8">
        <v>140</v>
      </c>
      <c r="E960" s="14" t="str">
        <f>VLOOKUP(B960, 'Catégorie des articles'!A:E, 4, FALSE)</f>
        <v>CREMERIE</v>
      </c>
      <c r="F960" s="14">
        <f t="shared" si="14"/>
        <v>202209</v>
      </c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</row>
    <row r="961" spans="1:21" ht="12.75" customHeight="1">
      <c r="A961" s="10">
        <v>143327784</v>
      </c>
      <c r="B961" s="15">
        <v>5540246185562</v>
      </c>
      <c r="C961" s="32">
        <v>44808</v>
      </c>
      <c r="D961" s="11">
        <v>140</v>
      </c>
      <c r="E961" s="14" t="str">
        <f>VLOOKUP(B961, 'Catégorie des articles'!A:E, 4, FALSE)</f>
        <v>CREMERIE</v>
      </c>
      <c r="F961" s="14">
        <f t="shared" si="14"/>
        <v>202209</v>
      </c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</row>
    <row r="962" spans="1:21" ht="12.75" customHeight="1">
      <c r="A962" s="7">
        <v>143327784</v>
      </c>
      <c r="B962" s="13">
        <v>5540246186325</v>
      </c>
      <c r="C962" s="31">
        <v>44808</v>
      </c>
      <c r="D962" s="8">
        <v>140</v>
      </c>
      <c r="E962" s="14" t="str">
        <f>VLOOKUP(B962, 'Catégorie des articles'!A:E, 4, FALSE)</f>
        <v>CREMERIE</v>
      </c>
      <c r="F962" s="14">
        <f t="shared" ref="F962:F1025" si="15">YEAR(C962)*100 + MONTH(C962)</f>
        <v>202209</v>
      </c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</row>
    <row r="963" spans="1:21" ht="12.75" customHeight="1">
      <c r="A963" s="10">
        <v>143327798</v>
      </c>
      <c r="B963" s="15">
        <v>5540246195242</v>
      </c>
      <c r="C963" s="32">
        <v>44814</v>
      </c>
      <c r="D963" s="11">
        <v>720</v>
      </c>
      <c r="E963" s="14" t="str">
        <f>VLOOKUP(B963, 'Catégorie des articles'!A:E, 4, FALSE)</f>
        <v>MIX LEGUMES</v>
      </c>
      <c r="F963" s="14">
        <f t="shared" si="15"/>
        <v>202209</v>
      </c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</row>
    <row r="964" spans="1:21" ht="12.75" customHeight="1">
      <c r="A964" s="10">
        <v>143327801</v>
      </c>
      <c r="B964" s="15">
        <v>5540246193316</v>
      </c>
      <c r="C964" s="32">
        <v>44812</v>
      </c>
      <c r="D964" s="11">
        <v>335</v>
      </c>
      <c r="E964" s="14" t="str">
        <f>VLOOKUP(B964, 'Catégorie des articles'!A:E, 4, FALSE)</f>
        <v>BOULANGERIE</v>
      </c>
      <c r="F964" s="14">
        <f t="shared" si="15"/>
        <v>202209</v>
      </c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</row>
    <row r="965" spans="1:21" ht="12.75" customHeight="1">
      <c r="A965" s="7">
        <v>143327802</v>
      </c>
      <c r="B965" s="13">
        <v>5540246180522</v>
      </c>
      <c r="C965" s="31">
        <v>44813</v>
      </c>
      <c r="D965" s="8">
        <v>891</v>
      </c>
      <c r="E965" s="14" t="str">
        <f>VLOOKUP(B965, 'Catégorie des articles'!A:E, 4, FALSE)</f>
        <v>BOULANGERIE</v>
      </c>
      <c r="F965" s="14">
        <f t="shared" si="15"/>
        <v>202209</v>
      </c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</row>
    <row r="966" spans="1:21" ht="12.75" customHeight="1">
      <c r="A966" s="7">
        <v>143327823</v>
      </c>
      <c r="B966" s="13">
        <v>5540246195241</v>
      </c>
      <c r="C966" s="31">
        <v>44819</v>
      </c>
      <c r="D966" s="8">
        <v>418</v>
      </c>
      <c r="E966" s="14" t="str">
        <f>VLOOKUP(B966, 'Catégorie des articles'!A:E, 4, FALSE)</f>
        <v>MIX LEGUMES</v>
      </c>
      <c r="F966" s="14">
        <f t="shared" si="15"/>
        <v>202209</v>
      </c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</row>
    <row r="967" spans="1:21" ht="12.75" customHeight="1">
      <c r="A967" s="10">
        <v>143337830</v>
      </c>
      <c r="B967" s="15">
        <v>5540246172539</v>
      </c>
      <c r="C967" s="32">
        <v>44807</v>
      </c>
      <c r="D967" s="11">
        <v>24</v>
      </c>
      <c r="E967" s="14" t="str">
        <f>VLOOKUP(B967, 'Catégorie des articles'!A:E, 4, FALSE)</f>
        <v>CREMERIE</v>
      </c>
      <c r="F967" s="14">
        <f t="shared" si="15"/>
        <v>202209</v>
      </c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</row>
    <row r="968" spans="1:21" ht="12.75" customHeight="1">
      <c r="A968" s="7">
        <v>143337830</v>
      </c>
      <c r="B968" s="13">
        <v>5540246172978</v>
      </c>
      <c r="C968" s="31">
        <v>44807</v>
      </c>
      <c r="D968" s="8">
        <v>2506</v>
      </c>
      <c r="E968" s="14" t="str">
        <f>VLOOKUP(B968, 'Catégorie des articles'!A:E, 4, FALSE)</f>
        <v>CREMERIE</v>
      </c>
      <c r="F968" s="14">
        <f t="shared" si="15"/>
        <v>202209</v>
      </c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</row>
    <row r="969" spans="1:21" ht="12.75" customHeight="1">
      <c r="A969" s="10">
        <v>143337830</v>
      </c>
      <c r="B969" s="15">
        <v>5540246188175</v>
      </c>
      <c r="C969" s="32">
        <v>44807</v>
      </c>
      <c r="D969" s="11">
        <v>232</v>
      </c>
      <c r="E969" s="14" t="str">
        <f>VLOOKUP(B969, 'Catégorie des articles'!A:E, 4, FALSE)</f>
        <v>CREMERIE</v>
      </c>
      <c r="F969" s="14">
        <f t="shared" si="15"/>
        <v>202209</v>
      </c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</row>
    <row r="970" spans="1:21" ht="12.75" customHeight="1">
      <c r="A970" s="10">
        <v>143337831</v>
      </c>
      <c r="B970" s="15">
        <v>5540246187987</v>
      </c>
      <c r="C970" s="32">
        <v>44807</v>
      </c>
      <c r="D970" s="11">
        <v>1671</v>
      </c>
      <c r="E970" s="14" t="str">
        <f>VLOOKUP(B970, 'Catégorie des articles'!A:E, 4, FALSE)</f>
        <v>CREMERIE</v>
      </c>
      <c r="F970" s="14">
        <f t="shared" si="15"/>
        <v>202209</v>
      </c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</row>
    <row r="971" spans="1:21" ht="12.75" customHeight="1">
      <c r="A971" s="7">
        <v>143337831</v>
      </c>
      <c r="B971" s="13">
        <v>5540246188200</v>
      </c>
      <c r="C971" s="31">
        <v>44807</v>
      </c>
      <c r="D971" s="8">
        <v>743</v>
      </c>
      <c r="E971" s="14" t="str">
        <f>VLOOKUP(B971, 'Catégorie des articles'!A:E, 4, FALSE)</f>
        <v>CREMERIE</v>
      </c>
      <c r="F971" s="14">
        <f t="shared" si="15"/>
        <v>202209</v>
      </c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</row>
    <row r="972" spans="1:21" ht="12.75" customHeight="1">
      <c r="A972" s="10">
        <v>143337850</v>
      </c>
      <c r="B972" s="15">
        <v>5540246194467</v>
      </c>
      <c r="C972" s="32">
        <v>44809</v>
      </c>
      <c r="D972" s="11">
        <v>17818</v>
      </c>
      <c r="E972" s="14" t="str">
        <f>VLOOKUP(B972, 'Catégorie des articles'!A:E, 4, FALSE)</f>
        <v>BOULANGERIE</v>
      </c>
      <c r="F972" s="14">
        <f t="shared" si="15"/>
        <v>202209</v>
      </c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</row>
    <row r="973" spans="1:21" ht="12.75" customHeight="1">
      <c r="A973" s="7">
        <v>143337851</v>
      </c>
      <c r="B973" s="13">
        <v>5540246182684</v>
      </c>
      <c r="C973" s="31">
        <v>44809</v>
      </c>
      <c r="D973" s="8">
        <v>93</v>
      </c>
      <c r="E973" s="14" t="str">
        <f>VLOOKUP(B973, 'Catégorie des articles'!A:E, 4, FALSE)</f>
        <v>BOULANGERIE</v>
      </c>
      <c r="F973" s="14">
        <f t="shared" si="15"/>
        <v>202209</v>
      </c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</row>
    <row r="974" spans="1:21" ht="12.75" customHeight="1">
      <c r="A974" s="10">
        <v>143337851</v>
      </c>
      <c r="B974" s="15">
        <v>5540246183844</v>
      </c>
      <c r="C974" s="32">
        <v>44809</v>
      </c>
      <c r="D974" s="11">
        <v>279</v>
      </c>
      <c r="E974" s="14" t="str">
        <f>VLOOKUP(B974, 'Catégorie des articles'!A:E, 4, FALSE)</f>
        <v>BOULANGERIE</v>
      </c>
      <c r="F974" s="14">
        <f t="shared" si="15"/>
        <v>202209</v>
      </c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</row>
    <row r="975" spans="1:21" ht="12.75" customHeight="1">
      <c r="A975" s="7">
        <v>143337851</v>
      </c>
      <c r="B975" s="13">
        <v>5540246194467</v>
      </c>
      <c r="C975" s="31">
        <v>44809</v>
      </c>
      <c r="D975" s="8">
        <v>17818</v>
      </c>
      <c r="E975" s="14" t="str">
        <f>VLOOKUP(B975, 'Catégorie des articles'!A:E, 4, FALSE)</f>
        <v>BOULANGERIE</v>
      </c>
      <c r="F975" s="14">
        <f t="shared" si="15"/>
        <v>202209</v>
      </c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</row>
    <row r="976" spans="1:21" ht="12.75" customHeight="1">
      <c r="A976" s="7">
        <v>143337856</v>
      </c>
      <c r="B976" s="13">
        <v>5540246170256</v>
      </c>
      <c r="C976" s="31">
        <v>44819</v>
      </c>
      <c r="D976" s="8">
        <v>3174</v>
      </c>
      <c r="E976" s="14" t="str">
        <f>VLOOKUP(B976, 'Catégorie des articles'!A:E, 4, FALSE)</f>
        <v>BOULANGERIE</v>
      </c>
      <c r="F976" s="14">
        <f t="shared" si="15"/>
        <v>202209</v>
      </c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</row>
    <row r="977" spans="1:21" ht="12.75" customHeight="1">
      <c r="A977" s="10">
        <v>143337856</v>
      </c>
      <c r="B977" s="15">
        <v>5540246171888</v>
      </c>
      <c r="C977" s="32">
        <v>44819</v>
      </c>
      <c r="D977" s="11">
        <v>520</v>
      </c>
      <c r="E977" s="14" t="str">
        <f>VLOOKUP(B977, 'Catégorie des articles'!A:E, 4, FALSE)</f>
        <v>BOULANGERIE</v>
      </c>
      <c r="F977" s="14">
        <f t="shared" si="15"/>
        <v>202209</v>
      </c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</row>
    <row r="978" spans="1:21" ht="12.75" customHeight="1">
      <c r="A978" s="7">
        <v>143337872</v>
      </c>
      <c r="B978" s="13">
        <v>5540246194632</v>
      </c>
      <c r="C978" s="31">
        <v>44812</v>
      </c>
      <c r="D978" s="8">
        <v>492</v>
      </c>
      <c r="E978" s="14" t="str">
        <f>VLOOKUP(B978, 'Catégorie des articles'!A:E, 4, FALSE)</f>
        <v>BOULANGERIE</v>
      </c>
      <c r="F978" s="14">
        <f t="shared" si="15"/>
        <v>202209</v>
      </c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</row>
    <row r="979" spans="1:21" ht="12.75" customHeight="1">
      <c r="A979" s="7">
        <v>143337873</v>
      </c>
      <c r="B979" s="13">
        <v>5540246171759</v>
      </c>
      <c r="C979" s="31">
        <v>44812</v>
      </c>
      <c r="D979" s="8">
        <v>3759</v>
      </c>
      <c r="E979" s="14" t="str">
        <f>VLOOKUP(B979, 'Catégorie des articles'!A:E, 4, FALSE)</f>
        <v>MIX LEGUMES</v>
      </c>
      <c r="F979" s="14">
        <f t="shared" si="15"/>
        <v>202209</v>
      </c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</row>
    <row r="980" spans="1:21" ht="12.75" customHeight="1">
      <c r="A980" s="10">
        <v>143337873</v>
      </c>
      <c r="B980" s="15">
        <v>5540246177133</v>
      </c>
      <c r="C980" s="32">
        <v>44812</v>
      </c>
      <c r="D980" s="11">
        <v>3898</v>
      </c>
      <c r="E980" s="14" t="str">
        <f>VLOOKUP(B980, 'Catégorie des articles'!A:E, 4, FALSE)</f>
        <v>MIX LEGUMES</v>
      </c>
      <c r="F980" s="14">
        <f t="shared" si="15"/>
        <v>202209</v>
      </c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</row>
    <row r="981" spans="1:21" ht="12.75" customHeight="1">
      <c r="A981" s="7">
        <v>143337873</v>
      </c>
      <c r="B981" s="13">
        <v>5540246192148</v>
      </c>
      <c r="C981" s="31">
        <v>44812</v>
      </c>
      <c r="D981" s="8">
        <v>11136</v>
      </c>
      <c r="E981" s="14" t="str">
        <f>VLOOKUP(B981, 'Catégorie des articles'!A:E, 4, FALSE)</f>
        <v>MIX LEGUMES</v>
      </c>
      <c r="F981" s="14">
        <f t="shared" si="15"/>
        <v>202209</v>
      </c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</row>
    <row r="982" spans="1:21" ht="12.75" customHeight="1">
      <c r="A982" s="7">
        <v>143337886</v>
      </c>
      <c r="B982" s="13">
        <v>5540246171933</v>
      </c>
      <c r="C982" s="31">
        <v>44808</v>
      </c>
      <c r="D982" s="8">
        <v>836</v>
      </c>
      <c r="E982" s="14" t="str">
        <f>VLOOKUP(B982, 'Catégorie des articles'!A:E, 4, FALSE)</f>
        <v>CREMERIE</v>
      </c>
      <c r="F982" s="14">
        <f t="shared" si="15"/>
        <v>202209</v>
      </c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</row>
    <row r="983" spans="1:21" ht="12.75" customHeight="1">
      <c r="A983" s="10">
        <v>143337886</v>
      </c>
      <c r="B983" s="15">
        <v>5540246187987</v>
      </c>
      <c r="C983" s="32">
        <v>44808</v>
      </c>
      <c r="D983" s="11">
        <v>1671</v>
      </c>
      <c r="E983" s="14" t="str">
        <f>VLOOKUP(B983, 'Catégorie des articles'!A:E, 4, FALSE)</f>
        <v>CREMERIE</v>
      </c>
      <c r="F983" s="14">
        <f t="shared" si="15"/>
        <v>202209</v>
      </c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</row>
    <row r="984" spans="1:21" ht="12.75" customHeight="1">
      <c r="A984" s="7">
        <v>143337886</v>
      </c>
      <c r="B984" s="13">
        <v>5540246188200</v>
      </c>
      <c r="C984" s="31">
        <v>44808</v>
      </c>
      <c r="D984" s="8">
        <v>1485</v>
      </c>
      <c r="E984" s="14" t="str">
        <f>VLOOKUP(B984, 'Catégorie des articles'!A:E, 4, FALSE)</f>
        <v>CREMERIE</v>
      </c>
      <c r="F984" s="14">
        <f t="shared" si="15"/>
        <v>202209</v>
      </c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</row>
    <row r="985" spans="1:21" ht="12.75" customHeight="1">
      <c r="A985" s="7">
        <v>143337915</v>
      </c>
      <c r="B985" s="13">
        <v>5540246190727</v>
      </c>
      <c r="C985" s="31">
        <v>44821</v>
      </c>
      <c r="D985" s="8">
        <v>877</v>
      </c>
      <c r="E985" s="14" t="str">
        <f>VLOOKUP(B985, 'Catégorie des articles'!A:E, 4, FALSE)</f>
        <v>BOULANGERIE</v>
      </c>
      <c r="F985" s="14">
        <f t="shared" si="15"/>
        <v>202209</v>
      </c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</row>
    <row r="986" spans="1:21" ht="12.75" customHeight="1">
      <c r="A986" s="7">
        <v>143337920</v>
      </c>
      <c r="B986" s="13">
        <v>5540246194632</v>
      </c>
      <c r="C986" s="31">
        <v>44816</v>
      </c>
      <c r="D986" s="8">
        <v>1504</v>
      </c>
      <c r="E986" s="14" t="str">
        <f>VLOOKUP(B986, 'Catégorie des articles'!A:E, 4, FALSE)</f>
        <v>BOULANGERIE</v>
      </c>
      <c r="F986" s="14">
        <f t="shared" si="15"/>
        <v>202209</v>
      </c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</row>
    <row r="987" spans="1:21" ht="12.75" customHeight="1">
      <c r="A987" s="10">
        <v>143337920</v>
      </c>
      <c r="B987" s="15">
        <v>5540246195250</v>
      </c>
      <c r="C987" s="32">
        <v>44816</v>
      </c>
      <c r="D987" s="11">
        <v>42</v>
      </c>
      <c r="E987" s="14" t="str">
        <f>VLOOKUP(B987, 'Catégorie des articles'!A:E, 4, FALSE)</f>
        <v>BOULANGERIE</v>
      </c>
      <c r="F987" s="14">
        <f t="shared" si="15"/>
        <v>202209</v>
      </c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</row>
    <row r="988" spans="1:21" ht="12.75" customHeight="1">
      <c r="A988" s="10">
        <v>143337926</v>
      </c>
      <c r="B988" s="15">
        <v>5540246181061</v>
      </c>
      <c r="C988" s="32">
        <v>44820</v>
      </c>
      <c r="D988" s="11">
        <v>804</v>
      </c>
      <c r="E988" s="14" t="str">
        <f>VLOOKUP(B988, 'Catégorie des articles'!A:E, 4, FALSE)</f>
        <v>VOLAILLE</v>
      </c>
      <c r="F988" s="14">
        <f t="shared" si="15"/>
        <v>202209</v>
      </c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</row>
    <row r="989" spans="1:21" ht="12.75" customHeight="1">
      <c r="A989" s="7">
        <v>143337926</v>
      </c>
      <c r="B989" s="13">
        <v>5540246183547</v>
      </c>
      <c r="C989" s="31">
        <v>44820</v>
      </c>
      <c r="D989" s="8">
        <v>6844</v>
      </c>
      <c r="E989" s="14" t="str">
        <f>VLOOKUP(B989, 'Catégorie des articles'!A:E, 4, FALSE)</f>
        <v>VOLAILLE</v>
      </c>
      <c r="F989" s="14">
        <f t="shared" si="15"/>
        <v>202209</v>
      </c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</row>
    <row r="990" spans="1:21" ht="12.75" customHeight="1">
      <c r="A990" s="10">
        <v>143337926</v>
      </c>
      <c r="B990" s="15">
        <v>5540246185278</v>
      </c>
      <c r="C990" s="32">
        <v>44820</v>
      </c>
      <c r="D990" s="11">
        <v>374</v>
      </c>
      <c r="E990" s="14" t="str">
        <f>VLOOKUP(B990, 'Catégorie des articles'!A:E, 4, FALSE)</f>
        <v>VOLAILLE</v>
      </c>
      <c r="F990" s="14">
        <f t="shared" si="15"/>
        <v>202209</v>
      </c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</row>
    <row r="991" spans="1:21" ht="12.75" customHeight="1">
      <c r="A991" s="10">
        <v>143337929</v>
      </c>
      <c r="B991" s="15">
        <v>5540246172978</v>
      </c>
      <c r="C991" s="32">
        <v>44809</v>
      </c>
      <c r="D991" s="11">
        <v>836</v>
      </c>
      <c r="E991" s="14" t="str">
        <f>VLOOKUP(B991, 'Catégorie des articles'!A:E, 4, FALSE)</f>
        <v>CREMERIE</v>
      </c>
      <c r="F991" s="14">
        <f t="shared" si="15"/>
        <v>202209</v>
      </c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</row>
    <row r="992" spans="1:21" ht="12.75" customHeight="1">
      <c r="A992" s="10">
        <v>143337929</v>
      </c>
      <c r="B992" s="15">
        <v>5540246176699</v>
      </c>
      <c r="C992" s="32">
        <v>44809</v>
      </c>
      <c r="D992" s="11">
        <v>2088</v>
      </c>
      <c r="E992" s="14" t="str">
        <f>VLOOKUP(B992, 'Catégorie des articles'!A:E, 4, FALSE)</f>
        <v>CREMERIE</v>
      </c>
      <c r="F992" s="14">
        <f t="shared" si="15"/>
        <v>202209</v>
      </c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</row>
    <row r="993" spans="1:21" ht="12.75" customHeight="1">
      <c r="A993" s="7">
        <v>143337929</v>
      </c>
      <c r="B993" s="13">
        <v>5540246188175</v>
      </c>
      <c r="C993" s="31">
        <v>44809</v>
      </c>
      <c r="D993" s="8">
        <v>279</v>
      </c>
      <c r="E993" s="14" t="str">
        <f>VLOOKUP(B993, 'Catégorie des articles'!A:E, 4, FALSE)</f>
        <v>CREMERIE</v>
      </c>
      <c r="F993" s="14">
        <f t="shared" si="15"/>
        <v>202209</v>
      </c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</row>
    <row r="994" spans="1:21" ht="12.75" customHeight="1">
      <c r="A994" s="7">
        <v>143337931</v>
      </c>
      <c r="B994" s="13">
        <v>5540246176295</v>
      </c>
      <c r="C994" s="31">
        <v>44809</v>
      </c>
      <c r="D994" s="8">
        <v>5940</v>
      </c>
      <c r="E994" s="14" t="str">
        <f>VLOOKUP(B994, 'Catégorie des articles'!A:E, 4, FALSE)</f>
        <v>CREMERIE</v>
      </c>
      <c r="F994" s="14">
        <f t="shared" si="15"/>
        <v>202209</v>
      </c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</row>
    <row r="995" spans="1:21" ht="12.75" customHeight="1">
      <c r="A995" s="7">
        <v>143337954</v>
      </c>
      <c r="B995" s="13">
        <v>5540246176699</v>
      </c>
      <c r="C995" s="31">
        <v>44812</v>
      </c>
      <c r="D995" s="8">
        <v>2088</v>
      </c>
      <c r="E995" s="14" t="str">
        <f>VLOOKUP(B995, 'Catégorie des articles'!A:E, 4, FALSE)</f>
        <v>CREMERIE</v>
      </c>
      <c r="F995" s="14">
        <f t="shared" si="15"/>
        <v>202209</v>
      </c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</row>
    <row r="996" spans="1:21" ht="12.75" customHeight="1">
      <c r="A996" s="10">
        <v>143337954</v>
      </c>
      <c r="B996" s="15">
        <v>5540246188175</v>
      </c>
      <c r="C996" s="32">
        <v>44812</v>
      </c>
      <c r="D996" s="11">
        <v>232</v>
      </c>
      <c r="E996" s="14" t="str">
        <f>VLOOKUP(B996, 'Catégorie des articles'!A:E, 4, FALSE)</f>
        <v>CREMERIE</v>
      </c>
      <c r="F996" s="14">
        <f t="shared" si="15"/>
        <v>202209</v>
      </c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</row>
    <row r="997" spans="1:21" ht="12.75" customHeight="1">
      <c r="A997" s="7">
        <v>143337955</v>
      </c>
      <c r="B997" s="13">
        <v>5540246171933</v>
      </c>
      <c r="C997" s="31">
        <v>44812</v>
      </c>
      <c r="D997" s="8">
        <v>557</v>
      </c>
      <c r="E997" s="14" t="str">
        <f>VLOOKUP(B997, 'Catégorie des articles'!A:E, 4, FALSE)</f>
        <v>CREMERIE</v>
      </c>
      <c r="F997" s="14">
        <f t="shared" si="15"/>
        <v>202209</v>
      </c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</row>
    <row r="998" spans="1:21" ht="12.75" customHeight="1">
      <c r="A998" s="7">
        <v>143337955</v>
      </c>
      <c r="B998" s="13">
        <v>5540246176295</v>
      </c>
      <c r="C998" s="31">
        <v>44812</v>
      </c>
      <c r="D998" s="8">
        <v>4455</v>
      </c>
      <c r="E998" s="14" t="str">
        <f>VLOOKUP(B998, 'Catégorie des articles'!A:E, 4, FALSE)</f>
        <v>CREMERIE</v>
      </c>
      <c r="F998" s="14">
        <f t="shared" si="15"/>
        <v>202209</v>
      </c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</row>
    <row r="999" spans="1:21" ht="12.75" customHeight="1">
      <c r="A999" s="7">
        <v>143337955</v>
      </c>
      <c r="B999" s="13">
        <v>5540246187987</v>
      </c>
      <c r="C999" s="31">
        <v>44812</v>
      </c>
      <c r="D999" s="8">
        <v>4455</v>
      </c>
      <c r="E999" s="14" t="str">
        <f>VLOOKUP(B999, 'Catégorie des articles'!A:E, 4, FALSE)</f>
        <v>CREMERIE</v>
      </c>
      <c r="F999" s="14">
        <f t="shared" si="15"/>
        <v>202209</v>
      </c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</row>
    <row r="1000" spans="1:21" ht="12.75" customHeight="1">
      <c r="A1000" s="7">
        <v>143337959</v>
      </c>
      <c r="B1000" s="13">
        <v>5540246188224</v>
      </c>
      <c r="C1000" s="31">
        <v>44821</v>
      </c>
      <c r="D1000" s="8">
        <v>1207</v>
      </c>
      <c r="E1000" s="14" t="str">
        <f>VLOOKUP(B1000, 'Catégorie des articles'!A:E, 4, FALSE)</f>
        <v>VOLAILLE</v>
      </c>
      <c r="F1000" s="14">
        <f t="shared" si="15"/>
        <v>202209</v>
      </c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</row>
    <row r="1001" spans="1:21" ht="12.75" customHeight="1">
      <c r="A1001" s="10">
        <v>143337964</v>
      </c>
      <c r="B1001" s="15">
        <v>5540246183844</v>
      </c>
      <c r="C1001" s="32">
        <v>44821</v>
      </c>
      <c r="D1001" s="11">
        <v>47</v>
      </c>
      <c r="E1001" s="14" t="str">
        <f>VLOOKUP(B1001, 'Catégorie des articles'!A:E, 4, FALSE)</f>
        <v>BOULANGERIE</v>
      </c>
      <c r="F1001" s="14">
        <f t="shared" si="15"/>
        <v>202209</v>
      </c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</row>
    <row r="1002" spans="1:21" ht="12.75" customHeight="1">
      <c r="A1002" s="7">
        <v>143337964</v>
      </c>
      <c r="B1002" s="13">
        <v>5540246194467</v>
      </c>
      <c r="C1002" s="31">
        <v>44821</v>
      </c>
      <c r="D1002" s="8">
        <v>28509</v>
      </c>
      <c r="E1002" s="14" t="str">
        <f>VLOOKUP(B1002, 'Catégorie des articles'!A:E, 4, FALSE)</f>
        <v>BOULANGERIE</v>
      </c>
      <c r="F1002" s="14">
        <f t="shared" si="15"/>
        <v>202209</v>
      </c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</row>
    <row r="1003" spans="1:21" ht="12.75" customHeight="1">
      <c r="A1003" s="7">
        <v>143337991</v>
      </c>
      <c r="B1003" s="13">
        <v>5540246171933</v>
      </c>
      <c r="C1003" s="31">
        <v>44813</v>
      </c>
      <c r="D1003" s="8">
        <v>557</v>
      </c>
      <c r="E1003" s="14" t="str">
        <f>VLOOKUP(B1003, 'Catégorie des articles'!A:E, 4, FALSE)</f>
        <v>CREMERIE</v>
      </c>
      <c r="F1003" s="14">
        <f t="shared" si="15"/>
        <v>202209</v>
      </c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</row>
    <row r="1004" spans="1:21" ht="12.75" customHeight="1">
      <c r="A1004" s="7">
        <v>143337995</v>
      </c>
      <c r="B1004" s="13">
        <v>5540246183130</v>
      </c>
      <c r="C1004" s="31">
        <v>44813</v>
      </c>
      <c r="D1004" s="8">
        <v>1128</v>
      </c>
      <c r="E1004" s="14" t="str">
        <f>VLOOKUP(B1004, 'Catégorie des articles'!A:E, 4, FALSE)</f>
        <v>MIX LEGUMES</v>
      </c>
      <c r="F1004" s="14">
        <f t="shared" si="15"/>
        <v>202209</v>
      </c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</row>
    <row r="1005" spans="1:21" ht="12.75" customHeight="1">
      <c r="A1005" s="10">
        <v>143337996</v>
      </c>
      <c r="B1005" s="15">
        <v>5540246185429</v>
      </c>
      <c r="C1005" s="32">
        <v>44814</v>
      </c>
      <c r="D1005" s="11">
        <v>168</v>
      </c>
      <c r="E1005" s="14" t="str">
        <f>VLOOKUP(B1005, 'Catégorie des articles'!A:E, 4, FALSE)</f>
        <v>CREMERIE</v>
      </c>
      <c r="F1005" s="14">
        <f t="shared" si="15"/>
        <v>202209</v>
      </c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</row>
    <row r="1006" spans="1:21" ht="12.75" customHeight="1">
      <c r="A1006" s="7">
        <v>143337996</v>
      </c>
      <c r="B1006" s="13">
        <v>5540246186325</v>
      </c>
      <c r="C1006" s="31">
        <v>44814</v>
      </c>
      <c r="D1006" s="8">
        <v>140</v>
      </c>
      <c r="E1006" s="14" t="str">
        <f>VLOOKUP(B1006, 'Catégorie des articles'!A:E, 4, FALSE)</f>
        <v>CREMERIE</v>
      </c>
      <c r="F1006" s="14">
        <f t="shared" si="15"/>
        <v>202209</v>
      </c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</row>
    <row r="1007" spans="1:21" ht="12.75" customHeight="1">
      <c r="A1007" s="10">
        <v>143337997</v>
      </c>
      <c r="B1007" s="15">
        <v>5540246174095</v>
      </c>
      <c r="C1007" s="32">
        <v>44816</v>
      </c>
      <c r="D1007" s="11">
        <v>70</v>
      </c>
      <c r="E1007" s="14" t="str">
        <f>VLOOKUP(B1007, 'Catégorie des articles'!A:E, 4, FALSE)</f>
        <v>CREMERIE</v>
      </c>
      <c r="F1007" s="14">
        <f t="shared" si="15"/>
        <v>202209</v>
      </c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</row>
    <row r="1008" spans="1:21" ht="12.75" customHeight="1">
      <c r="A1008" s="7">
        <v>143337997</v>
      </c>
      <c r="B1008" s="13">
        <v>5540246175049</v>
      </c>
      <c r="C1008" s="31">
        <v>44816</v>
      </c>
      <c r="D1008" s="8">
        <v>418</v>
      </c>
      <c r="E1008" s="14" t="str">
        <f>VLOOKUP(B1008, 'Catégorie des articles'!A:E, 4, FALSE)</f>
        <v>CREMERIE</v>
      </c>
      <c r="F1008" s="14">
        <f t="shared" si="15"/>
        <v>202209</v>
      </c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</row>
    <row r="1009" spans="1:21" ht="12.75" customHeight="1">
      <c r="A1009" s="7">
        <v>143338003</v>
      </c>
      <c r="B1009" s="13">
        <v>5540246173906</v>
      </c>
      <c r="C1009" s="31">
        <v>44820</v>
      </c>
      <c r="D1009" s="8">
        <v>817</v>
      </c>
      <c r="E1009" s="14" t="str">
        <f>VLOOKUP(B1009, 'Catégorie des articles'!A:E, 4, FALSE)</f>
        <v>VOLAILLE</v>
      </c>
      <c r="F1009" s="14">
        <f t="shared" si="15"/>
        <v>202209</v>
      </c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</row>
    <row r="1010" spans="1:21" ht="12.75" customHeight="1">
      <c r="A1010" s="10">
        <v>143338003</v>
      </c>
      <c r="B1010" s="15">
        <v>5540246181016</v>
      </c>
      <c r="C1010" s="32">
        <v>44820</v>
      </c>
      <c r="D1010" s="11">
        <v>3564</v>
      </c>
      <c r="E1010" s="14" t="str">
        <f>VLOOKUP(B1010, 'Catégorie des articles'!A:E, 4, FALSE)</f>
        <v>VOLAILLE</v>
      </c>
      <c r="F1010" s="14">
        <f t="shared" si="15"/>
        <v>202209</v>
      </c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</row>
    <row r="1011" spans="1:21" ht="12.75" customHeight="1">
      <c r="A1011" s="7">
        <v>143348010</v>
      </c>
      <c r="B1011" s="13">
        <v>5540246171933</v>
      </c>
      <c r="C1011" s="31">
        <v>44814</v>
      </c>
      <c r="D1011" s="8">
        <v>1114</v>
      </c>
      <c r="E1011" s="14" t="str">
        <f>VLOOKUP(B1011, 'Catégorie des articles'!A:E, 4, FALSE)</f>
        <v>CREMERIE</v>
      </c>
      <c r="F1011" s="14">
        <f t="shared" si="15"/>
        <v>202209</v>
      </c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</row>
    <row r="1012" spans="1:21" ht="12.75" customHeight="1">
      <c r="A1012" s="10">
        <v>143348010</v>
      </c>
      <c r="B1012" s="15">
        <v>5540246176294</v>
      </c>
      <c r="C1012" s="32">
        <v>44814</v>
      </c>
      <c r="D1012" s="11">
        <v>38</v>
      </c>
      <c r="E1012" s="14" t="str">
        <f>VLOOKUP(B1012, 'Catégorie des articles'!A:E, 4, FALSE)</f>
        <v>CREMERIE</v>
      </c>
      <c r="F1012" s="14">
        <f t="shared" si="15"/>
        <v>202209</v>
      </c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</row>
    <row r="1013" spans="1:21" ht="12.75" customHeight="1">
      <c r="A1013" s="7">
        <v>143348010</v>
      </c>
      <c r="B1013" s="13">
        <v>5540246176295</v>
      </c>
      <c r="C1013" s="31">
        <v>44814</v>
      </c>
      <c r="D1013" s="8">
        <v>7424</v>
      </c>
      <c r="E1013" s="14" t="str">
        <f>VLOOKUP(B1013, 'Catégorie des articles'!A:E, 4, FALSE)</f>
        <v>CREMERIE</v>
      </c>
      <c r="F1013" s="14">
        <f t="shared" si="15"/>
        <v>202209</v>
      </c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</row>
    <row r="1014" spans="1:21" ht="12.75" customHeight="1">
      <c r="A1014" s="10">
        <v>143348010</v>
      </c>
      <c r="B1014" s="15">
        <v>5540246187987</v>
      </c>
      <c r="C1014" s="32">
        <v>44814</v>
      </c>
      <c r="D1014" s="11">
        <v>2228</v>
      </c>
      <c r="E1014" s="14" t="str">
        <f>VLOOKUP(B1014, 'Catégorie des articles'!A:E, 4, FALSE)</f>
        <v>CREMERIE</v>
      </c>
      <c r="F1014" s="14">
        <f t="shared" si="15"/>
        <v>202209</v>
      </c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</row>
    <row r="1015" spans="1:21" ht="12.75" customHeight="1">
      <c r="A1015" s="7">
        <v>143348010</v>
      </c>
      <c r="B1015" s="13">
        <v>5540246188200</v>
      </c>
      <c r="C1015" s="31">
        <v>44814</v>
      </c>
      <c r="D1015" s="8">
        <v>1485</v>
      </c>
      <c r="E1015" s="14" t="str">
        <f>VLOOKUP(B1015, 'Catégorie des articles'!A:E, 4, FALSE)</f>
        <v>CREMERIE</v>
      </c>
      <c r="F1015" s="14">
        <f t="shared" si="15"/>
        <v>202209</v>
      </c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</row>
    <row r="1016" spans="1:21" ht="12.75" customHeight="1">
      <c r="A1016" s="10">
        <v>143348014</v>
      </c>
      <c r="B1016" s="15">
        <v>5540246177376</v>
      </c>
      <c r="C1016" s="32">
        <v>44829</v>
      </c>
      <c r="D1016" s="11">
        <v>1420</v>
      </c>
      <c r="E1016" s="14" t="str">
        <f>VLOOKUP(B1016, 'Catégorie des articles'!A:E, 4, FALSE)</f>
        <v>BOULANGERIE</v>
      </c>
      <c r="F1016" s="14">
        <f t="shared" si="15"/>
        <v>202209</v>
      </c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</row>
    <row r="1017" spans="1:21" ht="12.75" customHeight="1">
      <c r="A1017" s="7">
        <v>143348022</v>
      </c>
      <c r="B1017" s="13">
        <v>5540246194632</v>
      </c>
      <c r="C1017" s="31">
        <v>44820</v>
      </c>
      <c r="D1017" s="8">
        <v>2172</v>
      </c>
      <c r="E1017" s="14" t="str">
        <f>VLOOKUP(B1017, 'Catégorie des articles'!A:E, 4, FALSE)</f>
        <v>BOULANGERIE</v>
      </c>
      <c r="F1017" s="14">
        <f t="shared" si="15"/>
        <v>202209</v>
      </c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</row>
    <row r="1018" spans="1:21" ht="12.75" customHeight="1">
      <c r="A1018" s="10">
        <v>143348023</v>
      </c>
      <c r="B1018" s="15">
        <v>5540246184036</v>
      </c>
      <c r="C1018" s="32">
        <v>44821</v>
      </c>
      <c r="D1018" s="11">
        <v>130</v>
      </c>
      <c r="E1018" s="14" t="str">
        <f>VLOOKUP(B1018, 'Catégorie des articles'!A:E, 4, FALSE)</f>
        <v>BOULANGERIE</v>
      </c>
      <c r="F1018" s="14">
        <f t="shared" si="15"/>
        <v>202209</v>
      </c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</row>
    <row r="1019" spans="1:21" ht="12.75" customHeight="1">
      <c r="A1019" s="7">
        <v>143348023</v>
      </c>
      <c r="B1019" s="13">
        <v>5540246191596</v>
      </c>
      <c r="C1019" s="31">
        <v>44821</v>
      </c>
      <c r="D1019" s="8">
        <v>149</v>
      </c>
      <c r="E1019" s="14" t="str">
        <f>VLOOKUP(B1019, 'Catégorie des articles'!A:E, 4, FALSE)</f>
        <v>BOULANGERIE</v>
      </c>
      <c r="F1019" s="14">
        <f t="shared" si="15"/>
        <v>202209</v>
      </c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</row>
    <row r="1020" spans="1:21" ht="12.75" customHeight="1">
      <c r="A1020" s="10">
        <v>143348031</v>
      </c>
      <c r="B1020" s="15">
        <v>5540246171759</v>
      </c>
      <c r="C1020" s="32">
        <v>44819</v>
      </c>
      <c r="D1020" s="11">
        <v>2274</v>
      </c>
      <c r="E1020" s="14" t="str">
        <f>VLOOKUP(B1020, 'Catégorie des articles'!A:E, 4, FALSE)</f>
        <v>MIX LEGUMES</v>
      </c>
      <c r="F1020" s="14">
        <f t="shared" si="15"/>
        <v>202209</v>
      </c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</row>
    <row r="1021" spans="1:21" ht="12.75" customHeight="1">
      <c r="A1021" s="7">
        <v>143348031</v>
      </c>
      <c r="B1021" s="13">
        <v>5540246177133</v>
      </c>
      <c r="C1021" s="31">
        <v>44819</v>
      </c>
      <c r="D1021" s="8">
        <v>5568</v>
      </c>
      <c r="E1021" s="14" t="str">
        <f>VLOOKUP(B1021, 'Catégorie des articles'!A:E, 4, FALSE)</f>
        <v>MIX LEGUMES</v>
      </c>
      <c r="F1021" s="14">
        <f t="shared" si="15"/>
        <v>202209</v>
      </c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</row>
    <row r="1022" spans="1:21" ht="12.75" customHeight="1">
      <c r="A1022" s="10">
        <v>143348031</v>
      </c>
      <c r="B1022" s="15">
        <v>5540246192148</v>
      </c>
      <c r="C1022" s="32">
        <v>44819</v>
      </c>
      <c r="D1022" s="11">
        <v>26448</v>
      </c>
      <c r="E1022" s="14" t="str">
        <f>VLOOKUP(B1022, 'Catégorie des articles'!A:E, 4, FALSE)</f>
        <v>MIX LEGUMES</v>
      </c>
      <c r="F1022" s="14">
        <f t="shared" si="15"/>
        <v>202209</v>
      </c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</row>
    <row r="1023" spans="1:21" ht="12.75" customHeight="1">
      <c r="A1023" s="10">
        <v>143348032</v>
      </c>
      <c r="B1023" s="15">
        <v>5540246183587</v>
      </c>
      <c r="C1023" s="32">
        <v>44822</v>
      </c>
      <c r="D1023" s="11">
        <v>502</v>
      </c>
      <c r="E1023" s="14" t="str">
        <f>VLOOKUP(B1023, 'Catégorie des articles'!A:E, 4, FALSE)</f>
        <v>MIX LEGUMES</v>
      </c>
      <c r="F1023" s="14">
        <f t="shared" si="15"/>
        <v>202209</v>
      </c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</row>
    <row r="1024" spans="1:21" ht="12.75" customHeight="1">
      <c r="A1024" s="7">
        <v>143348037</v>
      </c>
      <c r="B1024" s="13">
        <v>5540246170256</v>
      </c>
      <c r="C1024" s="31">
        <v>44821</v>
      </c>
      <c r="D1024" s="8">
        <v>2822</v>
      </c>
      <c r="E1024" s="14" t="str">
        <f>VLOOKUP(B1024, 'Catégorie des articles'!A:E, 4, FALSE)</f>
        <v>BOULANGERIE</v>
      </c>
      <c r="F1024" s="14">
        <f t="shared" si="15"/>
        <v>202209</v>
      </c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</row>
    <row r="1025" spans="1:21" ht="12.75" customHeight="1">
      <c r="A1025" s="10">
        <v>143348037</v>
      </c>
      <c r="B1025" s="15">
        <v>5540246171888</v>
      </c>
      <c r="C1025" s="32">
        <v>44821</v>
      </c>
      <c r="D1025" s="11">
        <v>780</v>
      </c>
      <c r="E1025" s="14" t="str">
        <f>VLOOKUP(B1025, 'Catégorie des articles'!A:E, 4, FALSE)</f>
        <v>BOULANGERIE</v>
      </c>
      <c r="F1025" s="14">
        <f t="shared" si="15"/>
        <v>202209</v>
      </c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</row>
    <row r="1026" spans="1:21" ht="12.75" customHeight="1">
      <c r="A1026" s="7">
        <v>143348038</v>
      </c>
      <c r="B1026" s="13">
        <v>5540246193316</v>
      </c>
      <c r="C1026" s="31">
        <v>44821</v>
      </c>
      <c r="D1026" s="8">
        <v>335</v>
      </c>
      <c r="E1026" s="14" t="str">
        <f>VLOOKUP(B1026, 'Catégorie des articles'!A:E, 4, FALSE)</f>
        <v>BOULANGERIE</v>
      </c>
      <c r="F1026" s="14">
        <f t="shared" ref="F1026:F1089" si="16">YEAR(C1026)*100 + MONTH(C1026)</f>
        <v>202209</v>
      </c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</row>
    <row r="1027" spans="1:21" ht="12.75" customHeight="1">
      <c r="A1027" s="10">
        <v>143348039</v>
      </c>
      <c r="B1027" s="15">
        <v>5540246180522</v>
      </c>
      <c r="C1027" s="32">
        <v>44827</v>
      </c>
      <c r="D1027" s="11">
        <v>891</v>
      </c>
      <c r="E1027" s="14" t="str">
        <f>VLOOKUP(B1027, 'Catégorie des articles'!A:E, 4, FALSE)</f>
        <v>BOULANGERIE</v>
      </c>
      <c r="F1027" s="14">
        <f t="shared" si="16"/>
        <v>202209</v>
      </c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</row>
    <row r="1028" spans="1:21" ht="12.75" customHeight="1">
      <c r="A1028" s="7">
        <v>143348065</v>
      </c>
      <c r="B1028" s="13">
        <v>5540246172978</v>
      </c>
      <c r="C1028" s="31">
        <v>44815</v>
      </c>
      <c r="D1028" s="8">
        <v>1671</v>
      </c>
      <c r="E1028" s="14" t="str">
        <f>VLOOKUP(B1028, 'Catégorie des articles'!A:E, 4, FALSE)</f>
        <v>CREMERIE</v>
      </c>
      <c r="F1028" s="14">
        <f t="shared" si="16"/>
        <v>202209</v>
      </c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</row>
    <row r="1029" spans="1:21" ht="12.75" customHeight="1">
      <c r="A1029" s="7">
        <v>143348065</v>
      </c>
      <c r="B1029" s="13">
        <v>5540246176699</v>
      </c>
      <c r="C1029" s="31">
        <v>44815</v>
      </c>
      <c r="D1029" s="8">
        <v>4176</v>
      </c>
      <c r="E1029" s="14" t="str">
        <f>VLOOKUP(B1029, 'Catégorie des articles'!A:E, 4, FALSE)</f>
        <v>CREMERIE</v>
      </c>
      <c r="F1029" s="14">
        <f t="shared" si="16"/>
        <v>202209</v>
      </c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</row>
    <row r="1030" spans="1:21" ht="12.75" customHeight="1">
      <c r="A1030" s="10">
        <v>143348065</v>
      </c>
      <c r="B1030" s="15">
        <v>5540246188175</v>
      </c>
      <c r="C1030" s="32">
        <v>44815</v>
      </c>
      <c r="D1030" s="11">
        <v>232</v>
      </c>
      <c r="E1030" s="14" t="str">
        <f>VLOOKUP(B1030, 'Catégorie des articles'!A:E, 4, FALSE)</f>
        <v>CREMERIE</v>
      </c>
      <c r="F1030" s="14">
        <f t="shared" si="16"/>
        <v>202209</v>
      </c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</row>
    <row r="1031" spans="1:21" ht="12.75" customHeight="1">
      <c r="A1031" s="7">
        <v>143348067</v>
      </c>
      <c r="B1031" s="13">
        <v>5540246171933</v>
      </c>
      <c r="C1031" s="31">
        <v>44815</v>
      </c>
      <c r="D1031" s="8">
        <v>1114</v>
      </c>
      <c r="E1031" s="14" t="str">
        <f>VLOOKUP(B1031, 'Catégorie des articles'!A:E, 4, FALSE)</f>
        <v>CREMERIE</v>
      </c>
      <c r="F1031" s="14">
        <f t="shared" si="16"/>
        <v>202209</v>
      </c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</row>
    <row r="1032" spans="1:21" ht="12.75" customHeight="1">
      <c r="A1032" s="7">
        <v>143348067</v>
      </c>
      <c r="B1032" s="13">
        <v>5540246176295</v>
      </c>
      <c r="C1032" s="31">
        <v>44815</v>
      </c>
      <c r="D1032" s="8">
        <v>5309</v>
      </c>
      <c r="E1032" s="14" t="str">
        <f>VLOOKUP(B1032, 'Catégorie des articles'!A:E, 4, FALSE)</f>
        <v>CREMERIE</v>
      </c>
      <c r="F1032" s="14">
        <f t="shared" si="16"/>
        <v>202209</v>
      </c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</row>
    <row r="1033" spans="1:21" ht="12.75" customHeight="1">
      <c r="A1033" s="7">
        <v>143348067</v>
      </c>
      <c r="B1033" s="13">
        <v>5540246187987</v>
      </c>
      <c r="C1033" s="31">
        <v>44815</v>
      </c>
      <c r="D1033" s="8">
        <v>2228</v>
      </c>
      <c r="E1033" s="14" t="str">
        <f>VLOOKUP(B1033, 'Catégorie des articles'!A:E, 4, FALSE)</f>
        <v>CREMERIE</v>
      </c>
      <c r="F1033" s="14">
        <f t="shared" si="16"/>
        <v>202209</v>
      </c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</row>
    <row r="1034" spans="1:21" ht="12.75" customHeight="1">
      <c r="A1034" s="7">
        <v>143348080</v>
      </c>
      <c r="B1034" s="13">
        <v>5540246195539</v>
      </c>
      <c r="C1034" s="31">
        <v>44815</v>
      </c>
      <c r="D1034" s="8">
        <v>404</v>
      </c>
      <c r="E1034" s="14" t="str">
        <f>VLOOKUP(B1034, 'Catégorie des articles'!A:E, 4, FALSE)</f>
        <v>CREMERIE</v>
      </c>
      <c r="F1034" s="14">
        <f t="shared" si="16"/>
        <v>202209</v>
      </c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</row>
    <row r="1035" spans="1:21" ht="12.75" customHeight="1">
      <c r="A1035" s="10">
        <v>143348104</v>
      </c>
      <c r="B1035" s="15">
        <v>5540246171933</v>
      </c>
      <c r="C1035" s="32">
        <v>44816</v>
      </c>
      <c r="D1035" s="11">
        <v>836</v>
      </c>
      <c r="E1035" s="14" t="str">
        <f>VLOOKUP(B1035, 'Catégorie des articles'!A:E, 4, FALSE)</f>
        <v>CREMERIE</v>
      </c>
      <c r="F1035" s="14">
        <f t="shared" si="16"/>
        <v>202209</v>
      </c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</row>
    <row r="1036" spans="1:21" ht="12.75" customHeight="1">
      <c r="A1036" s="7">
        <v>143348104</v>
      </c>
      <c r="B1036" s="13">
        <v>5540246176295</v>
      </c>
      <c r="C1036" s="31">
        <v>44816</v>
      </c>
      <c r="D1036" s="8">
        <v>11136</v>
      </c>
      <c r="E1036" s="14" t="str">
        <f>VLOOKUP(B1036, 'Catégorie des articles'!A:E, 4, FALSE)</f>
        <v>CREMERIE</v>
      </c>
      <c r="F1036" s="14">
        <f t="shared" si="16"/>
        <v>202209</v>
      </c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</row>
    <row r="1037" spans="1:21" ht="12.75" customHeight="1">
      <c r="A1037" s="10">
        <v>143348104</v>
      </c>
      <c r="B1037" s="15">
        <v>5540246187987</v>
      </c>
      <c r="C1037" s="32">
        <v>44816</v>
      </c>
      <c r="D1037" s="11">
        <v>4455</v>
      </c>
      <c r="E1037" s="14" t="str">
        <f>VLOOKUP(B1037, 'Catégorie des articles'!A:E, 4, FALSE)</f>
        <v>CREMERIE</v>
      </c>
      <c r="F1037" s="14">
        <f t="shared" si="16"/>
        <v>202209</v>
      </c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</row>
    <row r="1038" spans="1:21" ht="12.75" customHeight="1">
      <c r="A1038" s="7">
        <v>143348104</v>
      </c>
      <c r="B1038" s="13">
        <v>5540246188200</v>
      </c>
      <c r="C1038" s="31">
        <v>44816</v>
      </c>
      <c r="D1038" s="8">
        <v>1485</v>
      </c>
      <c r="E1038" s="14" t="str">
        <f>VLOOKUP(B1038, 'Catégorie des articles'!A:E, 4, FALSE)</f>
        <v>CREMERIE</v>
      </c>
      <c r="F1038" s="14">
        <f t="shared" si="16"/>
        <v>202209</v>
      </c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</row>
    <row r="1039" spans="1:21" ht="12.75" customHeight="1">
      <c r="A1039" s="10">
        <v>143348105</v>
      </c>
      <c r="B1039" s="15">
        <v>5540246172539</v>
      </c>
      <c r="C1039" s="32">
        <v>44816</v>
      </c>
      <c r="D1039" s="11">
        <v>47</v>
      </c>
      <c r="E1039" s="14" t="str">
        <f>VLOOKUP(B1039, 'Catégorie des articles'!A:E, 4, FALSE)</f>
        <v>CREMERIE</v>
      </c>
      <c r="F1039" s="14">
        <f t="shared" si="16"/>
        <v>202209</v>
      </c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</row>
    <row r="1040" spans="1:21" ht="12.75" customHeight="1">
      <c r="A1040" s="7">
        <v>143348105</v>
      </c>
      <c r="B1040" s="13">
        <v>5540246172669</v>
      </c>
      <c r="C1040" s="31">
        <v>44816</v>
      </c>
      <c r="D1040" s="8">
        <v>279</v>
      </c>
      <c r="E1040" s="14" t="str">
        <f>VLOOKUP(B1040, 'Catégorie des articles'!A:E, 4, FALSE)</f>
        <v>CREMERIE</v>
      </c>
      <c r="F1040" s="14">
        <f t="shared" si="16"/>
        <v>202209</v>
      </c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</row>
    <row r="1041" spans="1:21" ht="12.75" customHeight="1">
      <c r="A1041" s="10">
        <v>143348105</v>
      </c>
      <c r="B1041" s="15">
        <v>5540246172978</v>
      </c>
      <c r="C1041" s="32">
        <v>44816</v>
      </c>
      <c r="D1041" s="11">
        <v>1504</v>
      </c>
      <c r="E1041" s="14" t="str">
        <f>VLOOKUP(B1041, 'Catégorie des articles'!A:E, 4, FALSE)</f>
        <v>CREMERIE</v>
      </c>
      <c r="F1041" s="14">
        <f t="shared" si="16"/>
        <v>202209</v>
      </c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</row>
    <row r="1042" spans="1:21" ht="12.75" customHeight="1">
      <c r="A1042" s="10">
        <v>143348105</v>
      </c>
      <c r="B1042" s="15">
        <v>5540246174174</v>
      </c>
      <c r="C1042" s="32">
        <v>44816</v>
      </c>
      <c r="D1042" s="11">
        <v>464</v>
      </c>
      <c r="E1042" s="14" t="str">
        <f>VLOOKUP(B1042, 'Catégorie des articles'!A:E, 4, FALSE)</f>
        <v>CREMERIE</v>
      </c>
      <c r="F1042" s="14">
        <f t="shared" si="16"/>
        <v>202209</v>
      </c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</row>
    <row r="1043" spans="1:21" ht="12.75" customHeight="1">
      <c r="A1043" s="7">
        <v>143348107</v>
      </c>
      <c r="B1043" s="13">
        <v>5540246174095</v>
      </c>
      <c r="C1043" s="31">
        <v>44821</v>
      </c>
      <c r="D1043" s="8">
        <v>140</v>
      </c>
      <c r="E1043" s="14" t="str">
        <f>VLOOKUP(B1043, 'Catégorie des articles'!A:E, 4, FALSE)</f>
        <v>CREMERIE</v>
      </c>
      <c r="F1043" s="14">
        <f t="shared" si="16"/>
        <v>202209</v>
      </c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</row>
    <row r="1044" spans="1:21" ht="12.75" customHeight="1">
      <c r="A1044" s="10">
        <v>143348107</v>
      </c>
      <c r="B1044" s="15">
        <v>5540246175049</v>
      </c>
      <c r="C1044" s="32">
        <v>44821</v>
      </c>
      <c r="D1044" s="11">
        <v>418</v>
      </c>
      <c r="E1044" s="14" t="str">
        <f>VLOOKUP(B1044, 'Catégorie des articles'!A:E, 4, FALSE)</f>
        <v>CREMERIE</v>
      </c>
      <c r="F1044" s="14">
        <f t="shared" si="16"/>
        <v>202209</v>
      </c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</row>
    <row r="1045" spans="1:21" ht="12.75" customHeight="1">
      <c r="A1045" s="7">
        <v>143348107</v>
      </c>
      <c r="B1045" s="13">
        <v>5540246175050</v>
      </c>
      <c r="C1045" s="31">
        <v>44821</v>
      </c>
      <c r="D1045" s="8">
        <v>279</v>
      </c>
      <c r="E1045" s="14" t="str">
        <f>VLOOKUP(B1045, 'Catégorie des articles'!A:E, 4, FALSE)</f>
        <v>CREMERIE</v>
      </c>
      <c r="F1045" s="14">
        <f t="shared" si="16"/>
        <v>202209</v>
      </c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</row>
    <row r="1046" spans="1:21" ht="12.75" customHeight="1">
      <c r="A1046" s="10">
        <v>143348107</v>
      </c>
      <c r="B1046" s="15">
        <v>5540246190743</v>
      </c>
      <c r="C1046" s="32">
        <v>44821</v>
      </c>
      <c r="D1046" s="11">
        <v>279</v>
      </c>
      <c r="E1046" s="14" t="str">
        <f>VLOOKUP(B1046, 'Catégorie des articles'!A:E, 4, FALSE)</f>
        <v>CREMERIE</v>
      </c>
      <c r="F1046" s="14">
        <f t="shared" si="16"/>
        <v>202209</v>
      </c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</row>
    <row r="1047" spans="1:21" ht="12.75" customHeight="1">
      <c r="A1047" s="7">
        <v>143348110</v>
      </c>
      <c r="B1047" s="13">
        <v>5540246176294</v>
      </c>
      <c r="C1047" s="31">
        <v>44815</v>
      </c>
      <c r="D1047" s="8">
        <v>1485</v>
      </c>
      <c r="E1047" s="14" t="str">
        <f>VLOOKUP(B1047, 'Catégorie des articles'!A:E, 4, FALSE)</f>
        <v>CREMERIE</v>
      </c>
      <c r="F1047" s="14">
        <f t="shared" si="16"/>
        <v>202209</v>
      </c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</row>
    <row r="1048" spans="1:21" ht="12.75" customHeight="1">
      <c r="A1048" s="10">
        <v>143348122</v>
      </c>
      <c r="B1048" s="15">
        <v>5540246171933</v>
      </c>
      <c r="C1048" s="32">
        <v>44819</v>
      </c>
      <c r="D1048" s="11">
        <v>557</v>
      </c>
      <c r="E1048" s="14" t="str">
        <f>VLOOKUP(B1048, 'Catégorie des articles'!A:E, 4, FALSE)</f>
        <v>CREMERIE</v>
      </c>
      <c r="F1048" s="14">
        <f t="shared" si="16"/>
        <v>202209</v>
      </c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</row>
    <row r="1049" spans="1:21" ht="12.75" customHeight="1">
      <c r="A1049" s="7">
        <v>143348122</v>
      </c>
      <c r="B1049" s="13">
        <v>5540246187987</v>
      </c>
      <c r="C1049" s="31">
        <v>44819</v>
      </c>
      <c r="D1049" s="8">
        <v>1671</v>
      </c>
      <c r="E1049" s="14" t="str">
        <f>VLOOKUP(B1049, 'Catégorie des articles'!A:E, 4, FALSE)</f>
        <v>CREMERIE</v>
      </c>
      <c r="F1049" s="14">
        <f t="shared" si="16"/>
        <v>202209</v>
      </c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</row>
    <row r="1050" spans="1:21" ht="12.75" customHeight="1">
      <c r="A1050" s="10">
        <v>143348122</v>
      </c>
      <c r="B1050" s="15">
        <v>5540246188200</v>
      </c>
      <c r="C1050" s="32">
        <v>44819</v>
      </c>
      <c r="D1050" s="11">
        <v>1485</v>
      </c>
      <c r="E1050" s="14" t="str">
        <f>VLOOKUP(B1050, 'Catégorie des articles'!A:E, 4, FALSE)</f>
        <v>CREMERIE</v>
      </c>
      <c r="F1050" s="14">
        <f t="shared" si="16"/>
        <v>202209</v>
      </c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</row>
    <row r="1051" spans="1:21" ht="12.75" customHeight="1">
      <c r="A1051" s="7">
        <v>143348124</v>
      </c>
      <c r="B1051" s="13">
        <v>5540246176699</v>
      </c>
      <c r="C1051" s="31">
        <v>44819</v>
      </c>
      <c r="D1051" s="8">
        <v>2088</v>
      </c>
      <c r="E1051" s="14" t="str">
        <f>VLOOKUP(B1051, 'Catégorie des articles'!A:E, 4, FALSE)</f>
        <v>CREMERIE</v>
      </c>
      <c r="F1051" s="14">
        <f t="shared" si="16"/>
        <v>202209</v>
      </c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</row>
    <row r="1052" spans="1:21" ht="12.75" customHeight="1">
      <c r="A1052" s="10">
        <v>143348124</v>
      </c>
      <c r="B1052" s="15">
        <v>5540246192102</v>
      </c>
      <c r="C1052" s="32">
        <v>44819</v>
      </c>
      <c r="D1052" s="11">
        <v>4009</v>
      </c>
      <c r="E1052" s="14" t="str">
        <f>VLOOKUP(B1052, 'Catégorie des articles'!A:E, 4, FALSE)</f>
        <v>CREMERIE</v>
      </c>
      <c r="F1052" s="14">
        <f t="shared" si="16"/>
        <v>202209</v>
      </c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</row>
    <row r="1053" spans="1:21" ht="12.75" customHeight="1">
      <c r="A1053" s="10">
        <v>143348129</v>
      </c>
      <c r="B1053" s="15">
        <v>5540246185429</v>
      </c>
      <c r="C1053" s="32">
        <v>44821</v>
      </c>
      <c r="D1053" s="11">
        <v>140</v>
      </c>
      <c r="E1053" s="14" t="str">
        <f>VLOOKUP(B1053, 'Catégorie des articles'!A:E, 4, FALSE)</f>
        <v>CREMERIE</v>
      </c>
      <c r="F1053" s="14">
        <f t="shared" si="16"/>
        <v>202209</v>
      </c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</row>
    <row r="1054" spans="1:21" ht="12.75" customHeight="1">
      <c r="A1054" s="7">
        <v>143348129</v>
      </c>
      <c r="B1054" s="13">
        <v>5540246186325</v>
      </c>
      <c r="C1054" s="31">
        <v>44821</v>
      </c>
      <c r="D1054" s="8">
        <v>140</v>
      </c>
      <c r="E1054" s="14" t="str">
        <f>VLOOKUP(B1054, 'Catégorie des articles'!A:E, 4, FALSE)</f>
        <v>CREMERIE</v>
      </c>
      <c r="F1054" s="14">
        <f t="shared" si="16"/>
        <v>202209</v>
      </c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</row>
    <row r="1055" spans="1:21" ht="12.75" customHeight="1">
      <c r="A1055" s="10">
        <v>143348133</v>
      </c>
      <c r="B1055" s="15">
        <v>5540246173906</v>
      </c>
      <c r="C1055" s="32">
        <v>44827</v>
      </c>
      <c r="D1055" s="11">
        <v>1634</v>
      </c>
      <c r="E1055" s="14" t="str">
        <f>VLOOKUP(B1055, 'Catégorie des articles'!A:E, 4, FALSE)</f>
        <v>VOLAILLE</v>
      </c>
      <c r="F1055" s="14">
        <f t="shared" si="16"/>
        <v>202209</v>
      </c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</row>
    <row r="1056" spans="1:21" ht="12.75" customHeight="1">
      <c r="A1056" s="7">
        <v>143348133</v>
      </c>
      <c r="B1056" s="13">
        <v>5540246181016</v>
      </c>
      <c r="C1056" s="31">
        <v>44827</v>
      </c>
      <c r="D1056" s="8">
        <v>7128</v>
      </c>
      <c r="E1056" s="14" t="str">
        <f>VLOOKUP(B1056, 'Catégorie des articles'!A:E, 4, FALSE)</f>
        <v>VOLAILLE</v>
      </c>
      <c r="F1056" s="14">
        <f t="shared" si="16"/>
        <v>202209</v>
      </c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</row>
    <row r="1057" spans="1:21" ht="12.75" customHeight="1">
      <c r="A1057" s="7">
        <v>143348138</v>
      </c>
      <c r="B1057" s="13">
        <v>5540246194632</v>
      </c>
      <c r="C1057" s="31">
        <v>44826</v>
      </c>
      <c r="D1057" s="8">
        <v>1114</v>
      </c>
      <c r="E1057" s="14" t="str">
        <f>VLOOKUP(B1057, 'Catégorie des articles'!A:E, 4, FALSE)</f>
        <v>BOULANGERIE</v>
      </c>
      <c r="F1057" s="14">
        <f t="shared" si="16"/>
        <v>202209</v>
      </c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</row>
    <row r="1058" spans="1:21" ht="12.75" customHeight="1">
      <c r="A1058" s="10">
        <v>143348138</v>
      </c>
      <c r="B1058" s="15">
        <v>5540246195250</v>
      </c>
      <c r="C1058" s="32">
        <v>44826</v>
      </c>
      <c r="D1058" s="11">
        <v>84</v>
      </c>
      <c r="E1058" s="14" t="str">
        <f>VLOOKUP(B1058, 'Catégorie des articles'!A:E, 4, FALSE)</f>
        <v>BOULANGERIE</v>
      </c>
      <c r="F1058" s="14">
        <f t="shared" si="16"/>
        <v>202209</v>
      </c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</row>
    <row r="1059" spans="1:21" ht="12.75" customHeight="1">
      <c r="A1059" s="10">
        <v>143348139</v>
      </c>
      <c r="B1059" s="15">
        <v>5540246171759</v>
      </c>
      <c r="C1059" s="32">
        <v>44823</v>
      </c>
      <c r="D1059" s="11">
        <v>5012</v>
      </c>
      <c r="E1059" s="14" t="str">
        <f>VLOOKUP(B1059, 'Catégorie des articles'!A:E, 4, FALSE)</f>
        <v>MIX LEGUMES</v>
      </c>
      <c r="F1059" s="14">
        <f t="shared" si="16"/>
        <v>202209</v>
      </c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</row>
    <row r="1060" spans="1:21" ht="12.75" customHeight="1">
      <c r="A1060" s="7">
        <v>143348139</v>
      </c>
      <c r="B1060" s="13">
        <v>5540246177133</v>
      </c>
      <c r="C1060" s="31">
        <v>44823</v>
      </c>
      <c r="D1060" s="8">
        <v>4455</v>
      </c>
      <c r="E1060" s="14" t="str">
        <f>VLOOKUP(B1060, 'Catégorie des articles'!A:E, 4, FALSE)</f>
        <v>MIX LEGUMES</v>
      </c>
      <c r="F1060" s="14">
        <f t="shared" si="16"/>
        <v>202209</v>
      </c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</row>
    <row r="1061" spans="1:21" ht="12.75" customHeight="1">
      <c r="A1061" s="10">
        <v>143348139</v>
      </c>
      <c r="B1061" s="15">
        <v>5540246192148</v>
      </c>
      <c r="C1061" s="32">
        <v>44823</v>
      </c>
      <c r="D1061" s="11">
        <v>19488</v>
      </c>
      <c r="E1061" s="14" t="str">
        <f>VLOOKUP(B1061, 'Catégorie des articles'!A:E, 4, FALSE)</f>
        <v>MIX LEGUMES</v>
      </c>
      <c r="F1061" s="14">
        <f t="shared" si="16"/>
        <v>202209</v>
      </c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</row>
    <row r="1062" spans="1:21" ht="12.75" customHeight="1">
      <c r="A1062" s="7">
        <v>143348147</v>
      </c>
      <c r="B1062" s="13">
        <v>5540246195241</v>
      </c>
      <c r="C1062" s="31">
        <v>44819</v>
      </c>
      <c r="D1062" s="8">
        <v>395</v>
      </c>
      <c r="E1062" s="14" t="str">
        <f>VLOOKUP(B1062, 'Catégorie des articles'!A:E, 4, FALSE)</f>
        <v>MIX LEGUMES</v>
      </c>
      <c r="F1062" s="14">
        <f t="shared" si="16"/>
        <v>202209</v>
      </c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</row>
    <row r="1063" spans="1:21" ht="12.75" customHeight="1">
      <c r="A1063" s="7">
        <v>143348149</v>
      </c>
      <c r="B1063" s="13">
        <v>5540246176699</v>
      </c>
      <c r="C1063" s="31">
        <v>44820</v>
      </c>
      <c r="D1063" s="8">
        <v>2088</v>
      </c>
      <c r="E1063" s="14" t="str">
        <f>VLOOKUP(B1063, 'Catégorie des articles'!A:E, 4, FALSE)</f>
        <v>CREMERIE</v>
      </c>
      <c r="F1063" s="14">
        <f t="shared" si="16"/>
        <v>202209</v>
      </c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</row>
    <row r="1064" spans="1:21" ht="12.75" customHeight="1">
      <c r="A1064" s="10">
        <v>143348170</v>
      </c>
      <c r="B1064" s="15">
        <v>5540246191594</v>
      </c>
      <c r="C1064" s="32">
        <v>44821</v>
      </c>
      <c r="D1064" s="11">
        <v>1504</v>
      </c>
      <c r="E1064" s="14" t="str">
        <f>VLOOKUP(B1064, 'Catégorie des articles'!A:E, 4, FALSE)</f>
        <v>CREMERIE</v>
      </c>
      <c r="F1064" s="14">
        <f t="shared" si="16"/>
        <v>202209</v>
      </c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</row>
    <row r="1065" spans="1:21" ht="12.75" customHeight="1">
      <c r="A1065" s="7">
        <v>143358173</v>
      </c>
      <c r="B1065" s="13">
        <v>5540246176294</v>
      </c>
      <c r="C1065" s="31">
        <v>44821</v>
      </c>
      <c r="D1065" s="8">
        <v>372</v>
      </c>
      <c r="E1065" s="14" t="str">
        <f>VLOOKUP(B1065, 'Catégorie des articles'!A:E, 4, FALSE)</f>
        <v>CREMERIE</v>
      </c>
      <c r="F1065" s="14">
        <f t="shared" si="16"/>
        <v>202209</v>
      </c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</row>
    <row r="1066" spans="1:21" ht="12.75" customHeight="1">
      <c r="A1066" s="10">
        <v>143358173</v>
      </c>
      <c r="B1066" s="15">
        <v>5540246176295</v>
      </c>
      <c r="C1066" s="32">
        <v>44821</v>
      </c>
      <c r="D1066" s="11">
        <v>4455</v>
      </c>
      <c r="E1066" s="14" t="str">
        <f>VLOOKUP(B1066, 'Catégorie des articles'!A:E, 4, FALSE)</f>
        <v>CREMERIE</v>
      </c>
      <c r="F1066" s="14">
        <f t="shared" si="16"/>
        <v>202209</v>
      </c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</row>
    <row r="1067" spans="1:21" ht="12.75" customHeight="1">
      <c r="A1067" s="10">
        <v>143358173</v>
      </c>
      <c r="B1067" s="15">
        <v>5540246187987</v>
      </c>
      <c r="C1067" s="32">
        <v>44821</v>
      </c>
      <c r="D1067" s="11">
        <v>2228</v>
      </c>
      <c r="E1067" s="14" t="str">
        <f>VLOOKUP(B1067, 'Catégorie des articles'!A:E, 4, FALSE)</f>
        <v>CREMERIE</v>
      </c>
      <c r="F1067" s="14">
        <f t="shared" si="16"/>
        <v>202209</v>
      </c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</row>
    <row r="1068" spans="1:21" ht="12.75" customHeight="1">
      <c r="A1068" s="7">
        <v>143358173</v>
      </c>
      <c r="B1068" s="13">
        <v>5540246188200</v>
      </c>
      <c r="C1068" s="31">
        <v>44821</v>
      </c>
      <c r="D1068" s="8">
        <v>743</v>
      </c>
      <c r="E1068" s="14" t="str">
        <f>VLOOKUP(B1068, 'Catégorie des articles'!A:E, 4, FALSE)</f>
        <v>CREMERIE</v>
      </c>
      <c r="F1068" s="14">
        <f t="shared" si="16"/>
        <v>202209</v>
      </c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</row>
    <row r="1069" spans="1:21" ht="12.75" customHeight="1">
      <c r="A1069" s="10">
        <v>143358174</v>
      </c>
      <c r="B1069" s="15">
        <v>5540246172539</v>
      </c>
      <c r="C1069" s="32">
        <v>44821</v>
      </c>
      <c r="D1069" s="11">
        <v>47</v>
      </c>
      <c r="E1069" s="14" t="str">
        <f>VLOOKUP(B1069, 'Catégorie des articles'!A:E, 4, FALSE)</f>
        <v>CREMERIE</v>
      </c>
      <c r="F1069" s="14">
        <f t="shared" si="16"/>
        <v>202209</v>
      </c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</row>
    <row r="1070" spans="1:21" ht="12.75" customHeight="1">
      <c r="A1070" s="7">
        <v>143358174</v>
      </c>
      <c r="B1070" s="13">
        <v>5540246172669</v>
      </c>
      <c r="C1070" s="31">
        <v>44821</v>
      </c>
      <c r="D1070" s="8">
        <v>279</v>
      </c>
      <c r="E1070" s="14" t="str">
        <f>VLOOKUP(B1070, 'Catégorie des articles'!A:E, 4, FALSE)</f>
        <v>CREMERIE</v>
      </c>
      <c r="F1070" s="14">
        <f t="shared" si="16"/>
        <v>202209</v>
      </c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</row>
    <row r="1071" spans="1:21" ht="12.75" customHeight="1">
      <c r="A1071" s="10">
        <v>143358174</v>
      </c>
      <c r="B1071" s="15">
        <v>5540246172978</v>
      </c>
      <c r="C1071" s="32">
        <v>44821</v>
      </c>
      <c r="D1071" s="11">
        <v>836</v>
      </c>
      <c r="E1071" s="14" t="str">
        <f>VLOOKUP(B1071, 'Catégorie des articles'!A:E, 4, FALSE)</f>
        <v>CREMERIE</v>
      </c>
      <c r="F1071" s="14">
        <f t="shared" si="16"/>
        <v>202209</v>
      </c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</row>
    <row r="1072" spans="1:21" ht="12.75" customHeight="1">
      <c r="A1072" s="7">
        <v>143358174</v>
      </c>
      <c r="B1072" s="13">
        <v>5540246176699</v>
      </c>
      <c r="C1072" s="31">
        <v>44821</v>
      </c>
      <c r="D1072" s="8">
        <v>836</v>
      </c>
      <c r="E1072" s="14" t="str">
        <f>VLOOKUP(B1072, 'Catégorie des articles'!A:E, 4, FALSE)</f>
        <v>CREMERIE</v>
      </c>
      <c r="F1072" s="14">
        <f t="shared" si="16"/>
        <v>202209</v>
      </c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</row>
    <row r="1073" spans="1:21" ht="12.75" customHeight="1">
      <c r="A1073" s="7">
        <v>143358180</v>
      </c>
      <c r="B1073" s="13">
        <v>5540246195596</v>
      </c>
      <c r="C1073" s="31">
        <v>44822</v>
      </c>
      <c r="D1073" s="8">
        <v>52</v>
      </c>
      <c r="E1073" s="14" t="str">
        <f>VLOOKUP(B1073, 'Catégorie des articles'!A:E, 4, FALSE)</f>
        <v>BOULANGERIE</v>
      </c>
      <c r="F1073" s="14">
        <f t="shared" si="16"/>
        <v>202209</v>
      </c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</row>
    <row r="1074" spans="1:21" ht="12.75" customHeight="1">
      <c r="A1074" s="10">
        <v>143358185</v>
      </c>
      <c r="B1074" s="15">
        <v>5540246191598</v>
      </c>
      <c r="C1074" s="32">
        <v>44822</v>
      </c>
      <c r="D1074" s="11">
        <v>1601</v>
      </c>
      <c r="E1074" s="14" t="str">
        <f>VLOOKUP(B1074, 'Catégorie des articles'!A:E, 4, FALSE)</f>
        <v>CREMERIE</v>
      </c>
      <c r="F1074" s="14">
        <f t="shared" si="16"/>
        <v>202209</v>
      </c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</row>
    <row r="1075" spans="1:21" ht="12.75" customHeight="1">
      <c r="A1075" s="10">
        <v>143358189</v>
      </c>
      <c r="B1075" s="15">
        <v>5540246183130</v>
      </c>
      <c r="C1075" s="32">
        <v>44828</v>
      </c>
      <c r="D1075" s="11">
        <v>2256</v>
      </c>
      <c r="E1075" s="14" t="str">
        <f>VLOOKUP(B1075, 'Catégorie des articles'!A:E, 4, FALSE)</f>
        <v>MIX LEGUMES</v>
      </c>
      <c r="F1075" s="14">
        <f t="shared" si="16"/>
        <v>202209</v>
      </c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</row>
    <row r="1076" spans="1:21" ht="12.75" customHeight="1">
      <c r="A1076" s="7">
        <v>143358189</v>
      </c>
      <c r="B1076" s="13">
        <v>5540246183538</v>
      </c>
      <c r="C1076" s="31">
        <v>44828</v>
      </c>
      <c r="D1076" s="8">
        <v>919</v>
      </c>
      <c r="E1076" s="14" t="str">
        <f>VLOOKUP(B1076, 'Catégorie des articles'!A:E, 4, FALSE)</f>
        <v>MIX LEGUMES</v>
      </c>
      <c r="F1076" s="14">
        <f t="shared" si="16"/>
        <v>202209</v>
      </c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</row>
    <row r="1077" spans="1:21" ht="12.75" customHeight="1">
      <c r="A1077" s="10">
        <v>143358189</v>
      </c>
      <c r="B1077" s="15">
        <v>5540246183541</v>
      </c>
      <c r="C1077" s="32">
        <v>44828</v>
      </c>
      <c r="D1077" s="11">
        <v>928</v>
      </c>
      <c r="E1077" s="14" t="str">
        <f>VLOOKUP(B1077, 'Catégorie des articles'!A:E, 4, FALSE)</f>
        <v>MIX LEGUMES</v>
      </c>
      <c r="F1077" s="14">
        <f t="shared" si="16"/>
        <v>202209</v>
      </c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</row>
    <row r="1078" spans="1:21" ht="12.75" customHeight="1">
      <c r="A1078" s="10">
        <v>143358193</v>
      </c>
      <c r="B1078" s="15">
        <v>5540246192462</v>
      </c>
      <c r="C1078" s="32">
        <v>44835</v>
      </c>
      <c r="D1078" s="11">
        <v>1856</v>
      </c>
      <c r="E1078" s="14" t="str">
        <f>VLOOKUP(B1078, 'Catégorie des articles'!A:E, 4, FALSE)</f>
        <v>MIX LEGUMES</v>
      </c>
      <c r="F1078" s="14">
        <f t="shared" si="16"/>
        <v>202210</v>
      </c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</row>
    <row r="1079" spans="1:21" ht="12.75" customHeight="1">
      <c r="A1079" s="7">
        <v>143358193</v>
      </c>
      <c r="B1079" s="13">
        <v>5540246192594</v>
      </c>
      <c r="C1079" s="31">
        <v>44835</v>
      </c>
      <c r="D1079" s="8">
        <v>743</v>
      </c>
      <c r="E1079" s="14" t="str">
        <f>VLOOKUP(B1079, 'Catégorie des articles'!A:E, 4, FALSE)</f>
        <v>MIX LEGUMES</v>
      </c>
      <c r="F1079" s="14">
        <f t="shared" si="16"/>
        <v>202210</v>
      </c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</row>
    <row r="1080" spans="1:21" ht="12.75" customHeight="1">
      <c r="A1080" s="10">
        <v>143358194</v>
      </c>
      <c r="B1080" s="15">
        <v>5540246182684</v>
      </c>
      <c r="C1080" s="32">
        <v>44834</v>
      </c>
      <c r="D1080" s="11">
        <v>279</v>
      </c>
      <c r="E1080" s="14" t="str">
        <f>VLOOKUP(B1080, 'Catégorie des articles'!A:E, 4, FALSE)</f>
        <v>BOULANGERIE</v>
      </c>
      <c r="F1080" s="14">
        <f t="shared" si="16"/>
        <v>202209</v>
      </c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</row>
    <row r="1081" spans="1:21" ht="12.75" customHeight="1">
      <c r="A1081" s="7">
        <v>143358194</v>
      </c>
      <c r="B1081" s="13">
        <v>5540246183844</v>
      </c>
      <c r="C1081" s="31">
        <v>44834</v>
      </c>
      <c r="D1081" s="8">
        <v>47</v>
      </c>
      <c r="E1081" s="14" t="str">
        <f>VLOOKUP(B1081, 'Catégorie des articles'!A:E, 4, FALSE)</f>
        <v>BOULANGERIE</v>
      </c>
      <c r="F1081" s="14">
        <f t="shared" si="16"/>
        <v>202209</v>
      </c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</row>
    <row r="1082" spans="1:21" ht="12.75" customHeight="1">
      <c r="A1082" s="7">
        <v>143358203</v>
      </c>
      <c r="B1082" s="13">
        <v>5540246174174</v>
      </c>
      <c r="C1082" s="31">
        <v>44822</v>
      </c>
      <c r="D1082" s="8">
        <v>348</v>
      </c>
      <c r="E1082" s="14" t="str">
        <f>VLOOKUP(B1082, 'Catégorie des articles'!A:E, 4, FALSE)</f>
        <v>CREMERIE</v>
      </c>
      <c r="F1082" s="14">
        <f t="shared" si="16"/>
        <v>202209</v>
      </c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</row>
    <row r="1083" spans="1:21" ht="12.75" customHeight="1">
      <c r="A1083" s="7">
        <v>143358203</v>
      </c>
      <c r="B1083" s="13">
        <v>5540246176699</v>
      </c>
      <c r="C1083" s="31">
        <v>44822</v>
      </c>
      <c r="D1083" s="8">
        <v>4176</v>
      </c>
      <c r="E1083" s="14" t="str">
        <f>VLOOKUP(B1083, 'Catégorie des articles'!A:E, 4, FALSE)</f>
        <v>CREMERIE</v>
      </c>
      <c r="F1083" s="14">
        <f t="shared" si="16"/>
        <v>202209</v>
      </c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</row>
    <row r="1084" spans="1:21" ht="12.75" customHeight="1">
      <c r="A1084" s="7">
        <v>143358204</v>
      </c>
      <c r="B1084" s="13">
        <v>5540246176294</v>
      </c>
      <c r="C1084" s="31">
        <v>44822</v>
      </c>
      <c r="D1084" s="8">
        <v>1485</v>
      </c>
      <c r="E1084" s="14" t="str">
        <f>VLOOKUP(B1084, 'Catégorie des articles'!A:E, 4, FALSE)</f>
        <v>CREMERIE</v>
      </c>
      <c r="F1084" s="14">
        <f t="shared" si="16"/>
        <v>202209</v>
      </c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</row>
    <row r="1085" spans="1:21" ht="12.75" customHeight="1">
      <c r="A1085" s="10">
        <v>143358204</v>
      </c>
      <c r="B1085" s="15">
        <v>5540246176295</v>
      </c>
      <c r="C1085" s="32">
        <v>44822</v>
      </c>
      <c r="D1085" s="11">
        <v>9652</v>
      </c>
      <c r="E1085" s="14" t="str">
        <f>VLOOKUP(B1085, 'Catégorie des articles'!A:E, 4, FALSE)</f>
        <v>CREMERIE</v>
      </c>
      <c r="F1085" s="14">
        <f t="shared" si="16"/>
        <v>202209</v>
      </c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</row>
    <row r="1086" spans="1:21" ht="12.75" customHeight="1">
      <c r="A1086" s="7">
        <v>143358204</v>
      </c>
      <c r="B1086" s="13">
        <v>5540246187987</v>
      </c>
      <c r="C1086" s="31">
        <v>44822</v>
      </c>
      <c r="D1086" s="8">
        <v>4455</v>
      </c>
      <c r="E1086" s="14" t="str">
        <f>VLOOKUP(B1086, 'Catégorie des articles'!A:E, 4, FALSE)</f>
        <v>CREMERIE</v>
      </c>
      <c r="F1086" s="14">
        <f t="shared" si="16"/>
        <v>202209</v>
      </c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</row>
    <row r="1087" spans="1:21" ht="12.75" customHeight="1">
      <c r="A1087" s="10">
        <v>143358204</v>
      </c>
      <c r="B1087" s="15">
        <v>5540246188200</v>
      </c>
      <c r="C1087" s="32">
        <v>44822</v>
      </c>
      <c r="D1087" s="11">
        <v>743</v>
      </c>
      <c r="E1087" s="14" t="str">
        <f>VLOOKUP(B1087, 'Catégorie des articles'!A:E, 4, FALSE)</f>
        <v>CREMERIE</v>
      </c>
      <c r="F1087" s="14">
        <f t="shared" si="16"/>
        <v>202209</v>
      </c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</row>
    <row r="1088" spans="1:21" ht="12.75" customHeight="1">
      <c r="A1088" s="7">
        <v>143358212</v>
      </c>
      <c r="B1088" s="13">
        <v>5540246180522</v>
      </c>
      <c r="C1088" s="31">
        <v>44837</v>
      </c>
      <c r="D1088" s="8">
        <v>891</v>
      </c>
      <c r="E1088" s="14" t="str">
        <f>VLOOKUP(B1088, 'Catégorie des articles'!A:E, 4, FALSE)</f>
        <v>BOULANGERIE</v>
      </c>
      <c r="F1088" s="14">
        <f t="shared" si="16"/>
        <v>202210</v>
      </c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</row>
    <row r="1089" spans="1:21" ht="12.75" customHeight="1">
      <c r="A1089" s="7">
        <v>143358214</v>
      </c>
      <c r="B1089" s="13">
        <v>5540246194632</v>
      </c>
      <c r="C1089" s="31">
        <v>44834</v>
      </c>
      <c r="D1089" s="8">
        <v>1170</v>
      </c>
      <c r="E1089" s="14" t="str">
        <f>VLOOKUP(B1089, 'Catégorie des articles'!A:E, 4, FALSE)</f>
        <v>BOULANGERIE</v>
      </c>
      <c r="F1089" s="14">
        <f t="shared" si="16"/>
        <v>202209</v>
      </c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</row>
    <row r="1090" spans="1:21" ht="12.75" customHeight="1">
      <c r="A1090" s="10">
        <v>143358214</v>
      </c>
      <c r="B1090" s="15">
        <v>5540246195250</v>
      </c>
      <c r="C1090" s="32">
        <v>44834</v>
      </c>
      <c r="D1090" s="11">
        <v>168</v>
      </c>
      <c r="E1090" s="14" t="str">
        <f>VLOOKUP(B1090, 'Catégorie des articles'!A:E, 4, FALSE)</f>
        <v>BOULANGERIE</v>
      </c>
      <c r="F1090" s="14">
        <f t="shared" ref="F1090:F1153" si="17">YEAR(C1090)*100 + MONTH(C1090)</f>
        <v>202209</v>
      </c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</row>
    <row r="1091" spans="1:21" ht="12.75" customHeight="1">
      <c r="A1091" s="10">
        <v>143358220</v>
      </c>
      <c r="B1091" s="15">
        <v>5540246192907</v>
      </c>
      <c r="C1091" s="32">
        <v>44840</v>
      </c>
      <c r="D1091" s="11">
        <v>6682</v>
      </c>
      <c r="E1091" s="14" t="str">
        <f>VLOOKUP(B1091, 'Catégorie des articles'!A:E, 4, FALSE)</f>
        <v>VOLAILLE</v>
      </c>
      <c r="F1091" s="14">
        <f t="shared" si="17"/>
        <v>202210</v>
      </c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</row>
    <row r="1092" spans="1:21" ht="12.75" customHeight="1">
      <c r="A1092" s="10">
        <v>143358223</v>
      </c>
      <c r="B1092" s="15">
        <v>5540246181061</v>
      </c>
      <c r="C1092" s="32">
        <v>44830</v>
      </c>
      <c r="D1092" s="11">
        <v>5513</v>
      </c>
      <c r="E1092" s="14" t="str">
        <f>VLOOKUP(B1092, 'Catégorie des articles'!A:E, 4, FALSE)</f>
        <v>VOLAILLE</v>
      </c>
      <c r="F1092" s="14">
        <f t="shared" si="17"/>
        <v>202209</v>
      </c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</row>
    <row r="1093" spans="1:21" ht="12.75" customHeight="1">
      <c r="A1093" s="7">
        <v>143358224</v>
      </c>
      <c r="B1093" s="13">
        <v>5540246188224</v>
      </c>
      <c r="C1093" s="31">
        <v>44833</v>
      </c>
      <c r="D1093" s="8">
        <v>4826</v>
      </c>
      <c r="E1093" s="14" t="str">
        <f>VLOOKUP(B1093, 'Catégorie des articles'!A:E, 4, FALSE)</f>
        <v>VOLAILLE</v>
      </c>
      <c r="F1093" s="14">
        <f t="shared" si="17"/>
        <v>202209</v>
      </c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</row>
    <row r="1094" spans="1:21" ht="12.75" customHeight="1">
      <c r="A1094" s="10">
        <v>143358235</v>
      </c>
      <c r="B1094" s="15">
        <v>5540246195195</v>
      </c>
      <c r="C1094" s="32">
        <v>44830</v>
      </c>
      <c r="D1094" s="11">
        <v>54</v>
      </c>
      <c r="E1094" s="14" t="str">
        <f>VLOOKUP(B1094, 'Catégorie des articles'!A:E, 4, FALSE)</f>
        <v>EMBALLAGES</v>
      </c>
      <c r="F1094" s="14">
        <f t="shared" si="17"/>
        <v>202209</v>
      </c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</row>
    <row r="1095" spans="1:21" ht="12.75" customHeight="1">
      <c r="A1095" s="10">
        <v>143358240</v>
      </c>
      <c r="B1095" s="15">
        <v>5540246174174</v>
      </c>
      <c r="C1095" s="32">
        <v>44823</v>
      </c>
      <c r="D1095" s="11">
        <v>232</v>
      </c>
      <c r="E1095" s="14" t="str">
        <f>VLOOKUP(B1095, 'Catégorie des articles'!A:E, 4, FALSE)</f>
        <v>CREMERIE</v>
      </c>
      <c r="F1095" s="14">
        <f t="shared" si="17"/>
        <v>202209</v>
      </c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</row>
    <row r="1096" spans="1:21" ht="12.75" customHeight="1">
      <c r="A1096" s="10">
        <v>143358240</v>
      </c>
      <c r="B1096" s="15">
        <v>5540246176699</v>
      </c>
      <c r="C1096" s="32">
        <v>44823</v>
      </c>
      <c r="D1096" s="11">
        <v>6264</v>
      </c>
      <c r="E1096" s="14" t="str">
        <f>VLOOKUP(B1096, 'Catégorie des articles'!A:E, 4, FALSE)</f>
        <v>CREMERIE</v>
      </c>
      <c r="F1096" s="14">
        <f t="shared" si="17"/>
        <v>202209</v>
      </c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</row>
    <row r="1097" spans="1:21" ht="12.75" customHeight="1">
      <c r="A1097" s="7">
        <v>143358241</v>
      </c>
      <c r="B1097" s="13">
        <v>5540246171933</v>
      </c>
      <c r="C1097" s="31">
        <v>44823</v>
      </c>
      <c r="D1097" s="8">
        <v>1392</v>
      </c>
      <c r="E1097" s="14" t="str">
        <f>VLOOKUP(B1097, 'Catégorie des articles'!A:E, 4, FALSE)</f>
        <v>CREMERIE</v>
      </c>
      <c r="F1097" s="14">
        <f t="shared" si="17"/>
        <v>202209</v>
      </c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</row>
    <row r="1098" spans="1:21" ht="12.75" customHeight="1">
      <c r="A1098" s="10">
        <v>143358241</v>
      </c>
      <c r="B1098" s="15">
        <v>5540246176294</v>
      </c>
      <c r="C1098" s="32">
        <v>44823</v>
      </c>
      <c r="D1098" s="11">
        <v>743</v>
      </c>
      <c r="E1098" s="14" t="str">
        <f>VLOOKUP(B1098, 'Catégorie des articles'!A:E, 4, FALSE)</f>
        <v>CREMERIE</v>
      </c>
      <c r="F1098" s="14">
        <f t="shared" si="17"/>
        <v>202209</v>
      </c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</row>
    <row r="1099" spans="1:21" ht="12.75" customHeight="1">
      <c r="A1099" s="7">
        <v>143358241</v>
      </c>
      <c r="B1099" s="13">
        <v>5540246176295</v>
      </c>
      <c r="C1099" s="31">
        <v>44823</v>
      </c>
      <c r="D1099" s="8">
        <v>4455</v>
      </c>
      <c r="E1099" s="14" t="str">
        <f>VLOOKUP(B1099, 'Catégorie des articles'!A:E, 4, FALSE)</f>
        <v>CREMERIE</v>
      </c>
      <c r="F1099" s="14">
        <f t="shared" si="17"/>
        <v>202209</v>
      </c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</row>
    <row r="1100" spans="1:21" ht="12.75" customHeight="1">
      <c r="A1100" s="10">
        <v>143358241</v>
      </c>
      <c r="B1100" s="15">
        <v>5540246187987</v>
      </c>
      <c r="C1100" s="32">
        <v>44823</v>
      </c>
      <c r="D1100" s="11">
        <v>2228</v>
      </c>
      <c r="E1100" s="14" t="str">
        <f>VLOOKUP(B1100, 'Catégorie des articles'!A:E, 4, FALSE)</f>
        <v>CREMERIE</v>
      </c>
      <c r="F1100" s="14">
        <f t="shared" si="17"/>
        <v>202209</v>
      </c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</row>
    <row r="1101" spans="1:21" ht="12.75" customHeight="1">
      <c r="A1101" s="7">
        <v>143358241</v>
      </c>
      <c r="B1101" s="13">
        <v>5540246188200</v>
      </c>
      <c r="C1101" s="31">
        <v>44823</v>
      </c>
      <c r="D1101" s="8">
        <v>1485</v>
      </c>
      <c r="E1101" s="14" t="str">
        <f>VLOOKUP(B1101, 'Catégorie des articles'!A:E, 4, FALSE)</f>
        <v>CREMERIE</v>
      </c>
      <c r="F1101" s="14">
        <f t="shared" si="17"/>
        <v>202209</v>
      </c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</row>
    <row r="1102" spans="1:21" ht="12.75" customHeight="1">
      <c r="A1102" s="7">
        <v>143358248</v>
      </c>
      <c r="B1102" s="13">
        <v>5540246194632</v>
      </c>
      <c r="C1102" s="31">
        <v>44833</v>
      </c>
      <c r="D1102" s="8">
        <v>1253</v>
      </c>
      <c r="E1102" s="14" t="str">
        <f>VLOOKUP(B1102, 'Catégorie des articles'!A:E, 4, FALSE)</f>
        <v>BOULANGERIE</v>
      </c>
      <c r="F1102" s="14">
        <f t="shared" si="17"/>
        <v>202209</v>
      </c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</row>
    <row r="1103" spans="1:21" ht="12.75" customHeight="1">
      <c r="A1103" s="10">
        <v>143358248</v>
      </c>
      <c r="B1103" s="15">
        <v>5540246195250</v>
      </c>
      <c r="C1103" s="32">
        <v>44833</v>
      </c>
      <c r="D1103" s="11">
        <v>84</v>
      </c>
      <c r="E1103" s="14" t="str">
        <f>VLOOKUP(B1103, 'Catégorie des articles'!A:E, 4, FALSE)</f>
        <v>BOULANGERIE</v>
      </c>
      <c r="F1103" s="14">
        <f t="shared" si="17"/>
        <v>202209</v>
      </c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</row>
    <row r="1104" spans="1:21" ht="12.75" customHeight="1">
      <c r="A1104" s="7">
        <v>143358249</v>
      </c>
      <c r="B1104" s="13">
        <v>5540246170256</v>
      </c>
      <c r="C1104" s="31">
        <v>44829</v>
      </c>
      <c r="D1104" s="8">
        <v>1940</v>
      </c>
      <c r="E1104" s="14" t="str">
        <f>VLOOKUP(B1104, 'Catégorie des articles'!A:E, 4, FALSE)</f>
        <v>BOULANGERIE</v>
      </c>
      <c r="F1104" s="14">
        <f t="shared" si="17"/>
        <v>202209</v>
      </c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</row>
    <row r="1105" spans="1:21" ht="12.75" customHeight="1">
      <c r="A1105" s="10">
        <v>143358249</v>
      </c>
      <c r="B1105" s="15">
        <v>5540246171888</v>
      </c>
      <c r="C1105" s="32">
        <v>44829</v>
      </c>
      <c r="D1105" s="11">
        <v>520</v>
      </c>
      <c r="E1105" s="14" t="str">
        <f>VLOOKUP(B1105, 'Catégorie des articles'!A:E, 4, FALSE)</f>
        <v>BOULANGERIE</v>
      </c>
      <c r="F1105" s="14">
        <f t="shared" si="17"/>
        <v>202209</v>
      </c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</row>
    <row r="1106" spans="1:21" ht="12.75" customHeight="1">
      <c r="A1106" s="10">
        <v>143358260</v>
      </c>
      <c r="B1106" s="15">
        <v>5540246174095</v>
      </c>
      <c r="C1106" s="32">
        <v>44829</v>
      </c>
      <c r="D1106" s="11">
        <v>70</v>
      </c>
      <c r="E1106" s="14" t="str">
        <f>VLOOKUP(B1106, 'Catégorie des articles'!A:E, 4, FALSE)</f>
        <v>CREMERIE</v>
      </c>
      <c r="F1106" s="14">
        <f t="shared" si="17"/>
        <v>202209</v>
      </c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</row>
    <row r="1107" spans="1:21" ht="12.75" customHeight="1">
      <c r="A1107" s="7">
        <v>143358260</v>
      </c>
      <c r="B1107" s="13">
        <v>5540246175049</v>
      </c>
      <c r="C1107" s="31">
        <v>44829</v>
      </c>
      <c r="D1107" s="8">
        <v>418</v>
      </c>
      <c r="E1107" s="14" t="str">
        <f>VLOOKUP(B1107, 'Catégorie des articles'!A:E, 4, FALSE)</f>
        <v>CREMERIE</v>
      </c>
      <c r="F1107" s="14">
        <f t="shared" si="17"/>
        <v>202209</v>
      </c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</row>
    <row r="1108" spans="1:21" ht="12.75" customHeight="1">
      <c r="A1108" s="10">
        <v>143358260</v>
      </c>
      <c r="B1108" s="15">
        <v>5540246175050</v>
      </c>
      <c r="C1108" s="32">
        <v>44829</v>
      </c>
      <c r="D1108" s="11">
        <v>557</v>
      </c>
      <c r="E1108" s="14" t="str">
        <f>VLOOKUP(B1108, 'Catégorie des articles'!A:E, 4, FALSE)</f>
        <v>CREMERIE</v>
      </c>
      <c r="F1108" s="14">
        <f t="shared" si="17"/>
        <v>202209</v>
      </c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</row>
    <row r="1109" spans="1:21" ht="12.75" customHeight="1">
      <c r="A1109" s="7">
        <v>143358260</v>
      </c>
      <c r="B1109" s="13">
        <v>5540246190743</v>
      </c>
      <c r="C1109" s="31">
        <v>44829</v>
      </c>
      <c r="D1109" s="8">
        <v>140</v>
      </c>
      <c r="E1109" s="14" t="str">
        <f>VLOOKUP(B1109, 'Catégorie des articles'!A:E, 4, FALSE)</f>
        <v>CREMERIE</v>
      </c>
      <c r="F1109" s="14">
        <f t="shared" si="17"/>
        <v>202209</v>
      </c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</row>
    <row r="1110" spans="1:21" ht="12.75" customHeight="1">
      <c r="A1110" s="10">
        <v>143358270</v>
      </c>
      <c r="B1110" s="15">
        <v>5540246195242</v>
      </c>
      <c r="C1110" s="32">
        <v>44826</v>
      </c>
      <c r="D1110" s="11">
        <v>743</v>
      </c>
      <c r="E1110" s="14" t="str">
        <f>VLOOKUP(B1110, 'Catégorie des articles'!A:E, 4, FALSE)</f>
        <v>MIX LEGUMES</v>
      </c>
      <c r="F1110" s="14">
        <f t="shared" si="17"/>
        <v>202209</v>
      </c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</row>
    <row r="1111" spans="1:21" ht="12.75" customHeight="1">
      <c r="A1111" s="7">
        <v>143358271</v>
      </c>
      <c r="B1111" s="13">
        <v>5540246195241</v>
      </c>
      <c r="C1111" s="31">
        <v>44830</v>
      </c>
      <c r="D1111" s="8">
        <v>743</v>
      </c>
      <c r="E1111" s="14" t="str">
        <f>VLOOKUP(B1111, 'Catégorie des articles'!A:E, 4, FALSE)</f>
        <v>MIX LEGUMES</v>
      </c>
      <c r="F1111" s="14">
        <f t="shared" si="17"/>
        <v>202209</v>
      </c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</row>
    <row r="1112" spans="1:21" ht="12.75" customHeight="1">
      <c r="A1112" s="7">
        <v>143358274</v>
      </c>
      <c r="B1112" s="13">
        <v>5540246195653</v>
      </c>
      <c r="C1112" s="31">
        <v>44828</v>
      </c>
      <c r="D1112" s="8">
        <v>404</v>
      </c>
      <c r="E1112" s="14" t="str">
        <f>VLOOKUP(B1112, 'Catégorie des articles'!A:E, 4, FALSE)</f>
        <v>EMBALLAGES</v>
      </c>
      <c r="F1112" s="14">
        <f t="shared" si="17"/>
        <v>202209</v>
      </c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</row>
    <row r="1113" spans="1:21" ht="12.75" customHeight="1">
      <c r="A1113" s="10">
        <v>143358278</v>
      </c>
      <c r="B1113" s="15">
        <v>5540246172539</v>
      </c>
      <c r="C1113" s="32">
        <v>44826</v>
      </c>
      <c r="D1113" s="11">
        <v>47</v>
      </c>
      <c r="E1113" s="14" t="str">
        <f>VLOOKUP(B1113, 'Catégorie des articles'!A:E, 4, FALSE)</f>
        <v>CREMERIE</v>
      </c>
      <c r="F1113" s="14">
        <f t="shared" si="17"/>
        <v>202209</v>
      </c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</row>
    <row r="1114" spans="1:21" ht="12.75" customHeight="1">
      <c r="A1114" s="7">
        <v>143358278</v>
      </c>
      <c r="B1114" s="13">
        <v>5540246172669</v>
      </c>
      <c r="C1114" s="31">
        <v>44826</v>
      </c>
      <c r="D1114" s="8">
        <v>279</v>
      </c>
      <c r="E1114" s="14" t="str">
        <f>VLOOKUP(B1114, 'Catégorie des articles'!A:E, 4, FALSE)</f>
        <v>CREMERIE</v>
      </c>
      <c r="F1114" s="14">
        <f t="shared" si="17"/>
        <v>202209</v>
      </c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</row>
    <row r="1115" spans="1:21" ht="12.75" customHeight="1">
      <c r="A1115" s="10">
        <v>143358278</v>
      </c>
      <c r="B1115" s="15">
        <v>5540246172978</v>
      </c>
      <c r="C1115" s="32">
        <v>44826</v>
      </c>
      <c r="D1115" s="11">
        <v>2506</v>
      </c>
      <c r="E1115" s="14" t="str">
        <f>VLOOKUP(B1115, 'Catégorie des articles'!A:E, 4, FALSE)</f>
        <v>CREMERIE</v>
      </c>
      <c r="F1115" s="14">
        <f t="shared" si="17"/>
        <v>202209</v>
      </c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</row>
    <row r="1116" spans="1:21" ht="12.75" customHeight="1">
      <c r="A1116" s="7">
        <v>143358278</v>
      </c>
      <c r="B1116" s="13">
        <v>5540246174174</v>
      </c>
      <c r="C1116" s="31">
        <v>44826</v>
      </c>
      <c r="D1116" s="8">
        <v>464</v>
      </c>
      <c r="E1116" s="14" t="str">
        <f>VLOOKUP(B1116, 'Catégorie des articles'!A:E, 4, FALSE)</f>
        <v>CREMERIE</v>
      </c>
      <c r="F1116" s="14">
        <f t="shared" si="17"/>
        <v>202209</v>
      </c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</row>
    <row r="1117" spans="1:21" ht="12.75" customHeight="1">
      <c r="A1117" s="7">
        <v>143358278</v>
      </c>
      <c r="B1117" s="13">
        <v>5540246176699</v>
      </c>
      <c r="C1117" s="31">
        <v>44826</v>
      </c>
      <c r="D1117" s="8">
        <v>10440</v>
      </c>
      <c r="E1117" s="14" t="str">
        <f>VLOOKUP(B1117, 'Catégorie des articles'!A:E, 4, FALSE)</f>
        <v>CREMERIE</v>
      </c>
      <c r="F1117" s="14">
        <f t="shared" si="17"/>
        <v>202209</v>
      </c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</row>
    <row r="1118" spans="1:21" ht="12.75" customHeight="1">
      <c r="A1118" s="10">
        <v>143358278</v>
      </c>
      <c r="B1118" s="15">
        <v>5540246188175</v>
      </c>
      <c r="C1118" s="32">
        <v>44826</v>
      </c>
      <c r="D1118" s="11">
        <v>116</v>
      </c>
      <c r="E1118" s="14" t="str">
        <f>VLOOKUP(B1118, 'Catégorie des articles'!A:E, 4, FALSE)</f>
        <v>CREMERIE</v>
      </c>
      <c r="F1118" s="14">
        <f t="shared" si="17"/>
        <v>202209</v>
      </c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</row>
    <row r="1119" spans="1:21" ht="12.75" customHeight="1">
      <c r="A1119" s="10">
        <v>143358278</v>
      </c>
      <c r="B1119" s="15">
        <v>5540246192102</v>
      </c>
      <c r="C1119" s="32">
        <v>44826</v>
      </c>
      <c r="D1119" s="11">
        <v>4009</v>
      </c>
      <c r="E1119" s="14" t="str">
        <f>VLOOKUP(B1119, 'Catégorie des articles'!A:E, 4, FALSE)</f>
        <v>CREMERIE</v>
      </c>
      <c r="F1119" s="14">
        <f t="shared" si="17"/>
        <v>202209</v>
      </c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</row>
    <row r="1120" spans="1:21" ht="12.75" customHeight="1">
      <c r="A1120" s="10">
        <v>143358280</v>
      </c>
      <c r="B1120" s="15">
        <v>5540246176294</v>
      </c>
      <c r="C1120" s="32">
        <v>44826</v>
      </c>
      <c r="D1120" s="11">
        <v>1485</v>
      </c>
      <c r="E1120" s="14" t="str">
        <f>VLOOKUP(B1120, 'Catégorie des articles'!A:E, 4, FALSE)</f>
        <v>CREMERIE</v>
      </c>
      <c r="F1120" s="14">
        <f t="shared" si="17"/>
        <v>202209</v>
      </c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</row>
    <row r="1121" spans="1:21" ht="12.75" customHeight="1">
      <c r="A1121" s="7">
        <v>143358280</v>
      </c>
      <c r="B1121" s="13">
        <v>5540246176295</v>
      </c>
      <c r="C1121" s="31">
        <v>44826</v>
      </c>
      <c r="D1121" s="8">
        <v>4455</v>
      </c>
      <c r="E1121" s="14" t="str">
        <f>VLOOKUP(B1121, 'Catégorie des articles'!A:E, 4, FALSE)</f>
        <v>CREMERIE</v>
      </c>
      <c r="F1121" s="14">
        <f t="shared" si="17"/>
        <v>202209</v>
      </c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</row>
    <row r="1122" spans="1:21" ht="12.75" customHeight="1">
      <c r="A1122" s="7">
        <v>143358280</v>
      </c>
      <c r="B1122" s="13">
        <v>5540246187987</v>
      </c>
      <c r="C1122" s="31">
        <v>44826</v>
      </c>
      <c r="D1122" s="8">
        <v>6682</v>
      </c>
      <c r="E1122" s="14" t="str">
        <f>VLOOKUP(B1122, 'Catégorie des articles'!A:E, 4, FALSE)</f>
        <v>CREMERIE</v>
      </c>
      <c r="F1122" s="14">
        <f t="shared" si="17"/>
        <v>202209</v>
      </c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</row>
    <row r="1123" spans="1:21" ht="12.75" customHeight="1">
      <c r="A1123" s="10">
        <v>143358280</v>
      </c>
      <c r="B1123" s="15">
        <v>5540246188200</v>
      </c>
      <c r="C1123" s="32">
        <v>44826</v>
      </c>
      <c r="D1123" s="11">
        <v>1485</v>
      </c>
      <c r="E1123" s="14" t="str">
        <f>VLOOKUP(B1123, 'Catégorie des articles'!A:E, 4, FALSE)</f>
        <v>CREMERIE</v>
      </c>
      <c r="F1123" s="14">
        <f t="shared" si="17"/>
        <v>202209</v>
      </c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</row>
    <row r="1124" spans="1:21" ht="12.75" customHeight="1">
      <c r="A1124" s="10">
        <v>143358291</v>
      </c>
      <c r="B1124" s="15">
        <v>5540246171759</v>
      </c>
      <c r="C1124" s="32">
        <v>44827</v>
      </c>
      <c r="D1124" s="11">
        <v>5012</v>
      </c>
      <c r="E1124" s="14" t="str">
        <f>VLOOKUP(B1124, 'Catégorie des articles'!A:E, 4, FALSE)</f>
        <v>MIX LEGUMES</v>
      </c>
      <c r="F1124" s="14">
        <f t="shared" si="17"/>
        <v>202209</v>
      </c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</row>
    <row r="1125" spans="1:21" ht="12.75" customHeight="1">
      <c r="A1125" s="7">
        <v>143358291</v>
      </c>
      <c r="B1125" s="13">
        <v>5540246177133</v>
      </c>
      <c r="C1125" s="31">
        <v>44827</v>
      </c>
      <c r="D1125" s="8">
        <v>5012</v>
      </c>
      <c r="E1125" s="14" t="str">
        <f>VLOOKUP(B1125, 'Catégorie des articles'!A:E, 4, FALSE)</f>
        <v>MIX LEGUMES</v>
      </c>
      <c r="F1125" s="14">
        <f t="shared" si="17"/>
        <v>202209</v>
      </c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</row>
    <row r="1126" spans="1:21" ht="12.75" customHeight="1">
      <c r="A1126" s="10">
        <v>143358291</v>
      </c>
      <c r="B1126" s="15">
        <v>5540246192148</v>
      </c>
      <c r="C1126" s="32">
        <v>44827</v>
      </c>
      <c r="D1126" s="11">
        <v>15312</v>
      </c>
      <c r="E1126" s="14" t="str">
        <f>VLOOKUP(B1126, 'Catégorie des articles'!A:E, 4, FALSE)</f>
        <v>MIX LEGUMES</v>
      </c>
      <c r="F1126" s="14">
        <f t="shared" si="17"/>
        <v>202209</v>
      </c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</row>
    <row r="1127" spans="1:21" ht="12.75" customHeight="1">
      <c r="A1127" s="7">
        <v>143358291</v>
      </c>
      <c r="B1127" s="13">
        <v>5540246192518</v>
      </c>
      <c r="C1127" s="31">
        <v>44827</v>
      </c>
      <c r="D1127" s="8">
        <v>4385</v>
      </c>
      <c r="E1127" s="14" t="str">
        <f>VLOOKUP(B1127, 'Catégorie des articles'!A:E, 4, FALSE)</f>
        <v>MIX LEGUMES</v>
      </c>
      <c r="F1127" s="14">
        <f t="shared" si="17"/>
        <v>202209</v>
      </c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</row>
    <row r="1128" spans="1:21" ht="12.75" customHeight="1">
      <c r="A1128" s="7">
        <v>143358293</v>
      </c>
      <c r="B1128" s="13">
        <v>5540246177133</v>
      </c>
      <c r="C1128" s="31">
        <v>44830</v>
      </c>
      <c r="D1128" s="8">
        <v>4455</v>
      </c>
      <c r="E1128" s="14" t="str">
        <f>VLOOKUP(B1128, 'Catégorie des articles'!A:E, 4, FALSE)</f>
        <v>MIX LEGUMES</v>
      </c>
      <c r="F1128" s="14">
        <f t="shared" si="17"/>
        <v>202209</v>
      </c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</row>
    <row r="1129" spans="1:21" ht="12.75" customHeight="1">
      <c r="A1129" s="10">
        <v>143358293</v>
      </c>
      <c r="B1129" s="15">
        <v>5540246192148</v>
      </c>
      <c r="C1129" s="32">
        <v>44830</v>
      </c>
      <c r="D1129" s="11">
        <v>30624</v>
      </c>
      <c r="E1129" s="14" t="str">
        <f>VLOOKUP(B1129, 'Catégorie des articles'!A:E, 4, FALSE)</f>
        <v>MIX LEGUMES</v>
      </c>
      <c r="F1129" s="14">
        <f t="shared" si="17"/>
        <v>202209</v>
      </c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</row>
    <row r="1130" spans="1:21" ht="12.75" customHeight="1">
      <c r="A1130" s="7">
        <v>143358293</v>
      </c>
      <c r="B1130" s="13">
        <v>5540246192518</v>
      </c>
      <c r="C1130" s="31">
        <v>44830</v>
      </c>
      <c r="D1130" s="8">
        <v>2088</v>
      </c>
      <c r="E1130" s="14" t="str">
        <f>VLOOKUP(B1130, 'Catégorie des articles'!A:E, 4, FALSE)</f>
        <v>MIX LEGUMES</v>
      </c>
      <c r="F1130" s="14">
        <f t="shared" si="17"/>
        <v>202209</v>
      </c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</row>
    <row r="1131" spans="1:21" ht="12.75" customHeight="1">
      <c r="A1131" s="10">
        <v>143358304</v>
      </c>
      <c r="B1131" s="15">
        <v>5540246176294</v>
      </c>
      <c r="C1131" s="32">
        <v>44827</v>
      </c>
      <c r="D1131" s="11">
        <v>743</v>
      </c>
      <c r="E1131" s="14" t="str">
        <f>VLOOKUP(B1131, 'Catégorie des articles'!A:E, 4, FALSE)</f>
        <v>CREMERIE</v>
      </c>
      <c r="F1131" s="14">
        <f t="shared" si="17"/>
        <v>202209</v>
      </c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</row>
    <row r="1132" spans="1:21" ht="12.75" customHeight="1">
      <c r="A1132" s="7">
        <v>143358304</v>
      </c>
      <c r="B1132" s="13">
        <v>5540246176295</v>
      </c>
      <c r="C1132" s="31">
        <v>44827</v>
      </c>
      <c r="D1132" s="8">
        <v>4455</v>
      </c>
      <c r="E1132" s="14" t="str">
        <f>VLOOKUP(B1132, 'Catégorie des articles'!A:E, 4, FALSE)</f>
        <v>CREMERIE</v>
      </c>
      <c r="F1132" s="14">
        <f t="shared" si="17"/>
        <v>202209</v>
      </c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</row>
    <row r="1133" spans="1:21" ht="12.75" customHeight="1">
      <c r="A1133" s="7">
        <v>143358305</v>
      </c>
      <c r="B1133" s="13">
        <v>5540246172669</v>
      </c>
      <c r="C1133" s="31">
        <v>44827</v>
      </c>
      <c r="D1133" s="8">
        <v>279</v>
      </c>
      <c r="E1133" s="14" t="str">
        <f>VLOOKUP(B1133, 'Catégorie des articles'!A:E, 4, FALSE)</f>
        <v>CREMERIE</v>
      </c>
      <c r="F1133" s="14">
        <f t="shared" si="17"/>
        <v>202209</v>
      </c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</row>
    <row r="1134" spans="1:21" ht="12.75" customHeight="1">
      <c r="A1134" s="7">
        <v>143358305</v>
      </c>
      <c r="B1134" s="13">
        <v>5540246174174</v>
      </c>
      <c r="C1134" s="31">
        <v>44827</v>
      </c>
      <c r="D1134" s="8">
        <v>464</v>
      </c>
      <c r="E1134" s="14" t="str">
        <f>VLOOKUP(B1134, 'Catégorie des articles'!A:E, 4, FALSE)</f>
        <v>CREMERIE</v>
      </c>
      <c r="F1134" s="14">
        <f t="shared" si="17"/>
        <v>202209</v>
      </c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</row>
    <row r="1135" spans="1:21" ht="12.75" customHeight="1">
      <c r="A1135" s="10">
        <v>143358305</v>
      </c>
      <c r="B1135" s="15">
        <v>5540246188175</v>
      </c>
      <c r="C1135" s="32">
        <v>44827</v>
      </c>
      <c r="D1135" s="11">
        <v>232</v>
      </c>
      <c r="E1135" s="14" t="str">
        <f>VLOOKUP(B1135, 'Catégorie des articles'!A:E, 4, FALSE)</f>
        <v>CREMERIE</v>
      </c>
      <c r="F1135" s="14">
        <f t="shared" si="17"/>
        <v>202209</v>
      </c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</row>
    <row r="1136" spans="1:21" ht="12.75" customHeight="1">
      <c r="A1136" s="10">
        <v>143358306</v>
      </c>
      <c r="B1136" s="15">
        <v>5540246185429</v>
      </c>
      <c r="C1136" s="32">
        <v>44829</v>
      </c>
      <c r="D1136" s="11">
        <v>140</v>
      </c>
      <c r="E1136" s="14" t="str">
        <f>VLOOKUP(B1136, 'Catégorie des articles'!A:E, 4, FALSE)</f>
        <v>CREMERIE</v>
      </c>
      <c r="F1136" s="14">
        <f t="shared" si="17"/>
        <v>202209</v>
      </c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</row>
    <row r="1137" spans="1:21" ht="12.75" customHeight="1">
      <c r="A1137" s="7">
        <v>143358306</v>
      </c>
      <c r="B1137" s="13">
        <v>5540246185562</v>
      </c>
      <c r="C1137" s="31">
        <v>44829</v>
      </c>
      <c r="D1137" s="8">
        <v>168</v>
      </c>
      <c r="E1137" s="14" t="str">
        <f>VLOOKUP(B1137, 'Catégorie des articles'!A:E, 4, FALSE)</f>
        <v>CREMERIE</v>
      </c>
      <c r="F1137" s="14">
        <f t="shared" si="17"/>
        <v>202209</v>
      </c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</row>
    <row r="1138" spans="1:21" ht="12.75" customHeight="1">
      <c r="A1138" s="10">
        <v>143358306</v>
      </c>
      <c r="B1138" s="15">
        <v>5540246186325</v>
      </c>
      <c r="C1138" s="32">
        <v>44829</v>
      </c>
      <c r="D1138" s="11">
        <v>279</v>
      </c>
      <c r="E1138" s="14" t="str">
        <f>VLOOKUP(B1138, 'Catégorie des articles'!A:E, 4, FALSE)</f>
        <v>CREMERIE</v>
      </c>
      <c r="F1138" s="14">
        <f t="shared" si="17"/>
        <v>202209</v>
      </c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</row>
    <row r="1139" spans="1:21" ht="12.75" customHeight="1">
      <c r="A1139" s="7">
        <v>143358315</v>
      </c>
      <c r="B1139" s="13">
        <v>5540246194478</v>
      </c>
      <c r="C1139" s="31">
        <v>44865</v>
      </c>
      <c r="D1139" s="8">
        <v>98</v>
      </c>
      <c r="E1139" s="14" t="str">
        <f>VLOOKUP(B1139, 'Catégorie des articles'!A:E, 4, FALSE)</f>
        <v>EMBALLAGES</v>
      </c>
      <c r="F1139" s="14">
        <f t="shared" si="17"/>
        <v>202210</v>
      </c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</row>
    <row r="1140" spans="1:21" ht="12.75" customHeight="1">
      <c r="A1140" s="10">
        <v>143368339</v>
      </c>
      <c r="B1140" s="15">
        <v>5540246176294</v>
      </c>
      <c r="C1140" s="32">
        <v>44828</v>
      </c>
      <c r="D1140" s="11">
        <v>706</v>
      </c>
      <c r="E1140" s="14" t="str">
        <f>VLOOKUP(B1140, 'Catégorie des articles'!A:E, 4, FALSE)</f>
        <v>CREMERIE</v>
      </c>
      <c r="F1140" s="14">
        <f t="shared" si="17"/>
        <v>202209</v>
      </c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</row>
    <row r="1141" spans="1:21" ht="12.75" customHeight="1">
      <c r="A1141" s="10">
        <v>143368339</v>
      </c>
      <c r="B1141" s="15">
        <v>5540246188200</v>
      </c>
      <c r="C1141" s="32">
        <v>44828</v>
      </c>
      <c r="D1141" s="11">
        <v>743</v>
      </c>
      <c r="E1141" s="14" t="str">
        <f>VLOOKUP(B1141, 'Catégorie des articles'!A:E, 4, FALSE)</f>
        <v>CREMERIE</v>
      </c>
      <c r="F1141" s="14">
        <f t="shared" si="17"/>
        <v>202209</v>
      </c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</row>
    <row r="1142" spans="1:21" ht="12.75" customHeight="1">
      <c r="A1142" s="7">
        <v>143368342</v>
      </c>
      <c r="B1142" s="13">
        <v>5540246172978</v>
      </c>
      <c r="C1142" s="31">
        <v>44828</v>
      </c>
      <c r="D1142" s="8">
        <v>836</v>
      </c>
      <c r="E1142" s="14" t="str">
        <f>VLOOKUP(B1142, 'Catégorie des articles'!A:E, 4, FALSE)</f>
        <v>CREMERIE</v>
      </c>
      <c r="F1142" s="14">
        <f t="shared" si="17"/>
        <v>202209</v>
      </c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</row>
    <row r="1143" spans="1:21" ht="12.75" customHeight="1">
      <c r="A1143" s="10">
        <v>143368355</v>
      </c>
      <c r="B1143" s="15">
        <v>5540246182684</v>
      </c>
      <c r="C1143" s="32">
        <v>44840</v>
      </c>
      <c r="D1143" s="11">
        <v>140</v>
      </c>
      <c r="E1143" s="14" t="str">
        <f>VLOOKUP(B1143, 'Catégorie des articles'!A:E, 4, FALSE)</f>
        <v>BOULANGERIE</v>
      </c>
      <c r="F1143" s="14">
        <f t="shared" si="17"/>
        <v>202210</v>
      </c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</row>
    <row r="1144" spans="1:21" ht="12.75" customHeight="1">
      <c r="A1144" s="10">
        <v>143368355</v>
      </c>
      <c r="B1144" s="15">
        <v>5540246194467</v>
      </c>
      <c r="C1144" s="32">
        <v>44840</v>
      </c>
      <c r="D1144" s="11">
        <v>21382</v>
      </c>
      <c r="E1144" s="14" t="str">
        <f>VLOOKUP(B1144, 'Catégorie des articles'!A:E, 4, FALSE)</f>
        <v>BOULANGERIE</v>
      </c>
      <c r="F1144" s="14">
        <f t="shared" si="17"/>
        <v>202210</v>
      </c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</row>
    <row r="1145" spans="1:21" ht="12.75" customHeight="1">
      <c r="A1145" s="7">
        <v>143368361</v>
      </c>
      <c r="B1145" s="13">
        <v>5540246194632</v>
      </c>
      <c r="C1145" s="31">
        <v>44837</v>
      </c>
      <c r="D1145" s="8">
        <v>1170</v>
      </c>
      <c r="E1145" s="14" t="str">
        <f>VLOOKUP(B1145, 'Catégorie des articles'!A:E, 4, FALSE)</f>
        <v>BOULANGERIE</v>
      </c>
      <c r="F1145" s="14">
        <f t="shared" si="17"/>
        <v>202210</v>
      </c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</row>
    <row r="1146" spans="1:21" ht="12.75" customHeight="1">
      <c r="A1146" s="10">
        <v>143368362</v>
      </c>
      <c r="B1146" s="15">
        <v>5540246183130</v>
      </c>
      <c r="C1146" s="32">
        <v>44836</v>
      </c>
      <c r="D1146" s="11">
        <v>1692</v>
      </c>
      <c r="E1146" s="14" t="str">
        <f>VLOOKUP(B1146, 'Catégorie des articles'!A:E, 4, FALSE)</f>
        <v>MIX LEGUMES</v>
      </c>
      <c r="F1146" s="14">
        <f t="shared" si="17"/>
        <v>202210</v>
      </c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</row>
    <row r="1147" spans="1:21" ht="12.75" customHeight="1">
      <c r="A1147" s="7">
        <v>143368362</v>
      </c>
      <c r="B1147" s="13">
        <v>5540246183455</v>
      </c>
      <c r="C1147" s="31">
        <v>44836</v>
      </c>
      <c r="D1147" s="8">
        <v>1044</v>
      </c>
      <c r="E1147" s="14" t="str">
        <f>VLOOKUP(B1147, 'Catégorie des articles'!A:E, 4, FALSE)</f>
        <v>MIX LEGUMES</v>
      </c>
      <c r="F1147" s="14">
        <f t="shared" si="17"/>
        <v>202210</v>
      </c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</row>
    <row r="1148" spans="1:21" ht="12.75" customHeight="1">
      <c r="A1148" s="10">
        <v>143368362</v>
      </c>
      <c r="B1148" s="15">
        <v>5540246183537</v>
      </c>
      <c r="C1148" s="32">
        <v>44836</v>
      </c>
      <c r="D1148" s="11">
        <v>669</v>
      </c>
      <c r="E1148" s="14" t="str">
        <f>VLOOKUP(B1148, 'Catégorie des articles'!A:E, 4, FALSE)</f>
        <v>MIX LEGUMES</v>
      </c>
      <c r="F1148" s="14">
        <f t="shared" si="17"/>
        <v>202210</v>
      </c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</row>
    <row r="1149" spans="1:21" ht="12.75" customHeight="1">
      <c r="A1149" s="7">
        <v>143368362</v>
      </c>
      <c r="B1149" s="13">
        <v>5540246183555</v>
      </c>
      <c r="C1149" s="31">
        <v>44836</v>
      </c>
      <c r="D1149" s="8">
        <v>543</v>
      </c>
      <c r="E1149" s="14" t="str">
        <f>VLOOKUP(B1149, 'Catégorie des articles'!A:E, 4, FALSE)</f>
        <v>MIX LEGUMES</v>
      </c>
      <c r="F1149" s="14">
        <f t="shared" si="17"/>
        <v>202210</v>
      </c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</row>
    <row r="1150" spans="1:21" ht="12.75" customHeight="1">
      <c r="A1150" s="7">
        <v>143368366</v>
      </c>
      <c r="B1150" s="13">
        <v>5540246171933</v>
      </c>
      <c r="C1150" s="31">
        <v>44829</v>
      </c>
      <c r="D1150" s="8">
        <v>557</v>
      </c>
      <c r="E1150" s="14" t="str">
        <f>VLOOKUP(B1150, 'Catégorie des articles'!A:E, 4, FALSE)</f>
        <v>CREMERIE</v>
      </c>
      <c r="F1150" s="14">
        <f t="shared" si="17"/>
        <v>202209</v>
      </c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</row>
    <row r="1151" spans="1:21" ht="12.75" customHeight="1">
      <c r="A1151" s="7">
        <v>143368366</v>
      </c>
      <c r="B1151" s="13">
        <v>5540246176294</v>
      </c>
      <c r="C1151" s="31">
        <v>44829</v>
      </c>
      <c r="D1151" s="8">
        <v>743</v>
      </c>
      <c r="E1151" s="14" t="str">
        <f>VLOOKUP(B1151, 'Catégorie des articles'!A:E, 4, FALSE)</f>
        <v>CREMERIE</v>
      </c>
      <c r="F1151" s="14">
        <f t="shared" si="17"/>
        <v>202209</v>
      </c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</row>
    <row r="1152" spans="1:21" ht="12.75" customHeight="1">
      <c r="A1152" s="10">
        <v>143368366</v>
      </c>
      <c r="B1152" s="15">
        <v>5540246176295</v>
      </c>
      <c r="C1152" s="32">
        <v>44829</v>
      </c>
      <c r="D1152" s="11">
        <v>4455</v>
      </c>
      <c r="E1152" s="14" t="str">
        <f>VLOOKUP(B1152, 'Catégorie des articles'!A:E, 4, FALSE)</f>
        <v>CREMERIE</v>
      </c>
      <c r="F1152" s="14">
        <f t="shared" si="17"/>
        <v>202209</v>
      </c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</row>
    <row r="1153" spans="1:21" ht="12.75" customHeight="1">
      <c r="A1153" s="7">
        <v>143368366</v>
      </c>
      <c r="B1153" s="13">
        <v>5540246187987</v>
      </c>
      <c r="C1153" s="31">
        <v>44829</v>
      </c>
      <c r="D1153" s="8">
        <v>6682</v>
      </c>
      <c r="E1153" s="14" t="str">
        <f>VLOOKUP(B1153, 'Catégorie des articles'!A:E, 4, FALSE)</f>
        <v>CREMERIE</v>
      </c>
      <c r="F1153" s="14">
        <f t="shared" si="17"/>
        <v>202209</v>
      </c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</row>
    <row r="1154" spans="1:21" ht="12.75" customHeight="1">
      <c r="A1154" s="10">
        <v>143368366</v>
      </c>
      <c r="B1154" s="15">
        <v>5540246188200</v>
      </c>
      <c r="C1154" s="32">
        <v>44829</v>
      </c>
      <c r="D1154" s="11">
        <v>743</v>
      </c>
      <c r="E1154" s="14" t="str">
        <f>VLOOKUP(B1154, 'Catégorie des articles'!A:E, 4, FALSE)</f>
        <v>CREMERIE</v>
      </c>
      <c r="F1154" s="14">
        <f t="shared" ref="F1154:F1217" si="18">YEAR(C1154)*100 + MONTH(C1154)</f>
        <v>202209</v>
      </c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</row>
    <row r="1155" spans="1:21" ht="12.75" customHeight="1">
      <c r="A1155" s="10">
        <v>143368370</v>
      </c>
      <c r="B1155" s="15">
        <v>5540246176699</v>
      </c>
      <c r="C1155" s="32">
        <v>44829</v>
      </c>
      <c r="D1155" s="11">
        <v>4176</v>
      </c>
      <c r="E1155" s="14" t="str">
        <f>VLOOKUP(B1155, 'Catégorie des articles'!A:E, 4, FALSE)</f>
        <v>CREMERIE</v>
      </c>
      <c r="F1155" s="14">
        <f t="shared" si="18"/>
        <v>202209</v>
      </c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</row>
    <row r="1156" spans="1:21" ht="12.75" customHeight="1">
      <c r="A1156" s="10">
        <v>143368373</v>
      </c>
      <c r="B1156" s="15">
        <v>5540246171933</v>
      </c>
      <c r="C1156" s="32">
        <v>44829</v>
      </c>
      <c r="D1156" s="11">
        <v>2228</v>
      </c>
      <c r="E1156" s="14" t="str">
        <f>VLOOKUP(B1156, 'Catégorie des articles'!A:E, 4, FALSE)</f>
        <v>CREMERIE</v>
      </c>
      <c r="F1156" s="14">
        <f t="shared" si="18"/>
        <v>202209</v>
      </c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</row>
    <row r="1157" spans="1:21" ht="12.75" customHeight="1">
      <c r="A1157" s="7">
        <v>143368381</v>
      </c>
      <c r="B1157" s="13">
        <v>5540246191736</v>
      </c>
      <c r="C1157" s="31">
        <v>44869</v>
      </c>
      <c r="D1157" s="8">
        <v>650</v>
      </c>
      <c r="E1157" s="14" t="str">
        <f>VLOOKUP(B1157, 'Catégorie des articles'!A:E, 4, FALSE)</f>
        <v>CREMERIE</v>
      </c>
      <c r="F1157" s="14">
        <f t="shared" si="18"/>
        <v>202211</v>
      </c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</row>
    <row r="1158" spans="1:21" ht="12.75" customHeight="1">
      <c r="A1158" s="10">
        <v>143368382</v>
      </c>
      <c r="B1158" s="15">
        <v>5540246183558</v>
      </c>
      <c r="C1158" s="32">
        <v>44841</v>
      </c>
      <c r="D1158" s="11">
        <v>5197</v>
      </c>
      <c r="E1158" s="14" t="str">
        <f>VLOOKUP(B1158, 'Catégorie des articles'!A:E, 4, FALSE)</f>
        <v>MIX LEGUMES</v>
      </c>
      <c r="F1158" s="14">
        <f t="shared" si="18"/>
        <v>202210</v>
      </c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</row>
    <row r="1159" spans="1:21" ht="12.75" customHeight="1">
      <c r="A1159" s="7">
        <v>143368382</v>
      </c>
      <c r="B1159" s="13">
        <v>5540246183560</v>
      </c>
      <c r="C1159" s="31">
        <v>44841</v>
      </c>
      <c r="D1159" s="8">
        <v>223</v>
      </c>
      <c r="E1159" s="14" t="str">
        <f>VLOOKUP(B1159, 'Catégorie des articles'!A:E, 4, FALSE)</f>
        <v>MIX LEGUMES</v>
      </c>
      <c r="F1159" s="14">
        <f t="shared" si="18"/>
        <v>202210</v>
      </c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</row>
    <row r="1160" spans="1:21" ht="12.75" customHeight="1">
      <c r="A1160" s="10">
        <v>143368382</v>
      </c>
      <c r="B1160" s="15">
        <v>5540246192209</v>
      </c>
      <c r="C1160" s="32">
        <v>44841</v>
      </c>
      <c r="D1160" s="11">
        <v>2228</v>
      </c>
      <c r="E1160" s="14" t="str">
        <f>VLOOKUP(B1160, 'Catégorie des articles'!A:E, 4, FALSE)</f>
        <v>MIX LEGUMES</v>
      </c>
      <c r="F1160" s="14">
        <f t="shared" si="18"/>
        <v>202210</v>
      </c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</row>
    <row r="1161" spans="1:21" ht="12.75" customHeight="1">
      <c r="A1161" s="7">
        <v>143368382</v>
      </c>
      <c r="B1161" s="13">
        <v>5540246192462</v>
      </c>
      <c r="C1161" s="31">
        <v>44841</v>
      </c>
      <c r="D1161" s="8">
        <v>928</v>
      </c>
      <c r="E1161" s="14" t="str">
        <f>VLOOKUP(B1161, 'Catégorie des articles'!A:E, 4, FALSE)</f>
        <v>MIX LEGUMES</v>
      </c>
      <c r="F1161" s="14">
        <f t="shared" si="18"/>
        <v>202210</v>
      </c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</row>
    <row r="1162" spans="1:21" ht="12.75" customHeight="1">
      <c r="A1162" s="10">
        <v>143368382</v>
      </c>
      <c r="B1162" s="15">
        <v>5540246192831</v>
      </c>
      <c r="C1162" s="32">
        <v>44841</v>
      </c>
      <c r="D1162" s="11">
        <v>1300</v>
      </c>
      <c r="E1162" s="14" t="str">
        <f>VLOOKUP(B1162, 'Catégorie des articles'!A:E, 4, FALSE)</f>
        <v>MIX LEGUMES</v>
      </c>
      <c r="F1162" s="14">
        <f t="shared" si="18"/>
        <v>202210</v>
      </c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</row>
    <row r="1163" spans="1:21" ht="12.75" customHeight="1">
      <c r="A1163" s="7">
        <v>143368383</v>
      </c>
      <c r="B1163" s="13">
        <v>5540246181061</v>
      </c>
      <c r="C1163" s="31">
        <v>44836</v>
      </c>
      <c r="D1163" s="8">
        <v>2205</v>
      </c>
      <c r="E1163" s="14" t="str">
        <f>VLOOKUP(B1163, 'Catégorie des articles'!A:E, 4, FALSE)</f>
        <v>VOLAILLE</v>
      </c>
      <c r="F1163" s="14">
        <f t="shared" si="18"/>
        <v>202210</v>
      </c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</row>
    <row r="1164" spans="1:21" ht="12.75" customHeight="1">
      <c r="A1164" s="10">
        <v>143368383</v>
      </c>
      <c r="B1164" s="15">
        <v>5540246185278</v>
      </c>
      <c r="C1164" s="32">
        <v>44836</v>
      </c>
      <c r="D1164" s="11">
        <v>6098</v>
      </c>
      <c r="E1164" s="14" t="str">
        <f>VLOOKUP(B1164, 'Catégorie des articles'!A:E, 4, FALSE)</f>
        <v>VOLAILLE</v>
      </c>
      <c r="F1164" s="14">
        <f t="shared" si="18"/>
        <v>202210</v>
      </c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</row>
    <row r="1165" spans="1:21" ht="12.75" customHeight="1">
      <c r="A1165" s="10">
        <v>143368384</v>
      </c>
      <c r="B1165" s="15">
        <v>5540246171759</v>
      </c>
      <c r="C1165" s="32">
        <v>44833</v>
      </c>
      <c r="D1165" s="11">
        <v>3341</v>
      </c>
      <c r="E1165" s="14" t="str">
        <f>VLOOKUP(B1165, 'Catégorie des articles'!A:E, 4, FALSE)</f>
        <v>MIX LEGUMES</v>
      </c>
      <c r="F1165" s="14">
        <f t="shared" si="18"/>
        <v>202209</v>
      </c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</row>
    <row r="1166" spans="1:21" ht="12.75" customHeight="1">
      <c r="A1166" s="7">
        <v>143368384</v>
      </c>
      <c r="B1166" s="13">
        <v>5540246177133</v>
      </c>
      <c r="C1166" s="31">
        <v>44833</v>
      </c>
      <c r="D1166" s="8">
        <v>3341</v>
      </c>
      <c r="E1166" s="14" t="str">
        <f>VLOOKUP(B1166, 'Catégorie des articles'!A:E, 4, FALSE)</f>
        <v>MIX LEGUMES</v>
      </c>
      <c r="F1166" s="14">
        <f t="shared" si="18"/>
        <v>202209</v>
      </c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</row>
    <row r="1167" spans="1:21" ht="12.75" customHeight="1">
      <c r="A1167" s="10">
        <v>143368384</v>
      </c>
      <c r="B1167" s="15">
        <v>5540246192148</v>
      </c>
      <c r="C1167" s="32">
        <v>44833</v>
      </c>
      <c r="D1167" s="11">
        <v>20880</v>
      </c>
      <c r="E1167" s="14" t="str">
        <f>VLOOKUP(B1167, 'Catégorie des articles'!A:E, 4, FALSE)</f>
        <v>MIX LEGUMES</v>
      </c>
      <c r="F1167" s="14">
        <f t="shared" si="18"/>
        <v>202209</v>
      </c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</row>
    <row r="1168" spans="1:21" ht="12.75" customHeight="1">
      <c r="A1168" s="7">
        <v>143368384</v>
      </c>
      <c r="B1168" s="13">
        <v>5540246192518</v>
      </c>
      <c r="C1168" s="31">
        <v>44833</v>
      </c>
      <c r="D1168" s="8">
        <v>5847</v>
      </c>
      <c r="E1168" s="14" t="str">
        <f>VLOOKUP(B1168, 'Catégorie des articles'!A:E, 4, FALSE)</f>
        <v>MIX LEGUMES</v>
      </c>
      <c r="F1168" s="14">
        <f t="shared" si="18"/>
        <v>202209</v>
      </c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</row>
    <row r="1169" spans="1:21" ht="12.75" customHeight="1">
      <c r="A1169" s="7">
        <v>143368385</v>
      </c>
      <c r="B1169" s="13">
        <v>5540246170256</v>
      </c>
      <c r="C1169" s="31">
        <v>44836</v>
      </c>
      <c r="D1169" s="8">
        <v>3174</v>
      </c>
      <c r="E1169" s="14" t="str">
        <f>VLOOKUP(B1169, 'Catégorie des articles'!A:E, 4, FALSE)</f>
        <v>BOULANGERIE</v>
      </c>
      <c r="F1169" s="14">
        <f t="shared" si="18"/>
        <v>202210</v>
      </c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</row>
    <row r="1170" spans="1:21" ht="12.75" customHeight="1">
      <c r="A1170" s="10">
        <v>143368385</v>
      </c>
      <c r="B1170" s="15">
        <v>5540246171888</v>
      </c>
      <c r="C1170" s="32">
        <v>44836</v>
      </c>
      <c r="D1170" s="11">
        <v>485</v>
      </c>
      <c r="E1170" s="14" t="str">
        <f>VLOOKUP(B1170, 'Catégorie des articles'!A:E, 4, FALSE)</f>
        <v>BOULANGERIE</v>
      </c>
      <c r="F1170" s="14">
        <f t="shared" si="18"/>
        <v>202210</v>
      </c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</row>
    <row r="1171" spans="1:21" ht="12.75" customHeight="1">
      <c r="A1171" s="10">
        <v>143368411</v>
      </c>
      <c r="B1171" s="15">
        <v>5540246172978</v>
      </c>
      <c r="C1171" s="32">
        <v>44830</v>
      </c>
      <c r="D1171" s="11">
        <v>2506</v>
      </c>
      <c r="E1171" s="14" t="str">
        <f>VLOOKUP(B1171, 'Catégorie des articles'!A:E, 4, FALSE)</f>
        <v>CREMERIE</v>
      </c>
      <c r="F1171" s="14">
        <f t="shared" si="18"/>
        <v>202209</v>
      </c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</row>
    <row r="1172" spans="1:21" ht="12.75" customHeight="1">
      <c r="A1172" s="10">
        <v>143368411</v>
      </c>
      <c r="B1172" s="15">
        <v>5540246174174</v>
      </c>
      <c r="C1172" s="32">
        <v>44830</v>
      </c>
      <c r="D1172" s="11">
        <v>464</v>
      </c>
      <c r="E1172" s="14" t="str">
        <f>VLOOKUP(B1172, 'Catégorie des articles'!A:E, 4, FALSE)</f>
        <v>CREMERIE</v>
      </c>
      <c r="F1172" s="14">
        <f t="shared" si="18"/>
        <v>202209</v>
      </c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</row>
    <row r="1173" spans="1:21" ht="12.75" customHeight="1">
      <c r="A1173" s="7">
        <v>143368411</v>
      </c>
      <c r="B1173" s="13">
        <v>5540246188175</v>
      </c>
      <c r="C1173" s="31">
        <v>44830</v>
      </c>
      <c r="D1173" s="8">
        <v>140</v>
      </c>
      <c r="E1173" s="14" t="str">
        <f>VLOOKUP(B1173, 'Catégorie des articles'!A:E, 4, FALSE)</f>
        <v>CREMERIE</v>
      </c>
      <c r="F1173" s="14">
        <f t="shared" si="18"/>
        <v>202209</v>
      </c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</row>
    <row r="1174" spans="1:21" ht="12.75" customHeight="1">
      <c r="A1174" s="7">
        <v>143368413</v>
      </c>
      <c r="B1174" s="13">
        <v>5540246176294</v>
      </c>
      <c r="C1174" s="31">
        <v>44830</v>
      </c>
      <c r="D1174" s="8">
        <v>743</v>
      </c>
      <c r="E1174" s="14" t="str">
        <f>VLOOKUP(B1174, 'Catégorie des articles'!A:E, 4, FALSE)</f>
        <v>CREMERIE</v>
      </c>
      <c r="F1174" s="14">
        <f t="shared" si="18"/>
        <v>202209</v>
      </c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</row>
    <row r="1175" spans="1:21" ht="12.75" customHeight="1">
      <c r="A1175" s="10">
        <v>143368413</v>
      </c>
      <c r="B1175" s="15">
        <v>5540246176295</v>
      </c>
      <c r="C1175" s="32">
        <v>44830</v>
      </c>
      <c r="D1175" s="11">
        <v>5457</v>
      </c>
      <c r="E1175" s="14" t="str">
        <f>VLOOKUP(B1175, 'Catégorie des articles'!A:E, 4, FALSE)</f>
        <v>CREMERIE</v>
      </c>
      <c r="F1175" s="14">
        <f t="shared" si="18"/>
        <v>202209</v>
      </c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</row>
    <row r="1176" spans="1:21" ht="12.75" customHeight="1">
      <c r="A1176" s="10">
        <v>143368413</v>
      </c>
      <c r="B1176" s="15">
        <v>5540246187987</v>
      </c>
      <c r="C1176" s="32">
        <v>44830</v>
      </c>
      <c r="D1176" s="11">
        <v>3341</v>
      </c>
      <c r="E1176" s="14" t="str">
        <f>VLOOKUP(B1176, 'Catégorie des articles'!A:E, 4, FALSE)</f>
        <v>CREMERIE</v>
      </c>
      <c r="F1176" s="14">
        <f t="shared" si="18"/>
        <v>202209</v>
      </c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</row>
    <row r="1177" spans="1:21" ht="12.75" customHeight="1">
      <c r="A1177" s="7">
        <v>143368413</v>
      </c>
      <c r="B1177" s="13">
        <v>5540246188200</v>
      </c>
      <c r="C1177" s="31">
        <v>44830</v>
      </c>
      <c r="D1177" s="8">
        <v>743</v>
      </c>
      <c r="E1177" s="14" t="str">
        <f>VLOOKUP(B1177, 'Catégorie des articles'!A:E, 4, FALSE)</f>
        <v>CREMERIE</v>
      </c>
      <c r="F1177" s="14">
        <f t="shared" si="18"/>
        <v>202209</v>
      </c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</row>
    <row r="1178" spans="1:21" ht="12.75" customHeight="1">
      <c r="A1178" s="10">
        <v>143368426</v>
      </c>
      <c r="B1178" s="15">
        <v>5540246173906</v>
      </c>
      <c r="C1178" s="32">
        <v>44837</v>
      </c>
      <c r="D1178" s="11">
        <v>817</v>
      </c>
      <c r="E1178" s="14" t="str">
        <f>VLOOKUP(B1178, 'Catégorie des articles'!A:E, 4, FALSE)</f>
        <v>VOLAILLE</v>
      </c>
      <c r="F1178" s="14">
        <f t="shared" si="18"/>
        <v>202210</v>
      </c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</row>
    <row r="1179" spans="1:21" ht="12.75" customHeight="1">
      <c r="A1179" s="7">
        <v>143368426</v>
      </c>
      <c r="B1179" s="13">
        <v>5540246181016</v>
      </c>
      <c r="C1179" s="31">
        <v>44837</v>
      </c>
      <c r="D1179" s="8">
        <v>9800</v>
      </c>
      <c r="E1179" s="14" t="str">
        <f>VLOOKUP(B1179, 'Catégorie des articles'!A:E, 4, FALSE)</f>
        <v>VOLAILLE</v>
      </c>
      <c r="F1179" s="14">
        <f t="shared" si="18"/>
        <v>202210</v>
      </c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</row>
    <row r="1180" spans="1:21" ht="12.75" customHeight="1">
      <c r="A1180" s="10">
        <v>143368427</v>
      </c>
      <c r="B1180" s="15">
        <v>5540246192907</v>
      </c>
      <c r="C1180" s="32">
        <v>44858</v>
      </c>
      <c r="D1180" s="11">
        <v>4455</v>
      </c>
      <c r="E1180" s="14" t="str">
        <f>VLOOKUP(B1180, 'Catégorie des articles'!A:E, 4, FALSE)</f>
        <v>VOLAILLE</v>
      </c>
      <c r="F1180" s="14">
        <f t="shared" si="18"/>
        <v>202210</v>
      </c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</row>
    <row r="1181" spans="1:21" ht="12.75" customHeight="1">
      <c r="A1181" s="10">
        <v>143368430</v>
      </c>
      <c r="B1181" s="15">
        <v>5540246193316</v>
      </c>
      <c r="C1181" s="32">
        <v>44857</v>
      </c>
      <c r="D1181" s="11">
        <v>335</v>
      </c>
      <c r="E1181" s="14" t="str">
        <f>VLOOKUP(B1181, 'Catégorie des articles'!A:E, 4, FALSE)</f>
        <v>BOULANGERIE</v>
      </c>
      <c r="F1181" s="14">
        <f t="shared" si="18"/>
        <v>202210</v>
      </c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</row>
    <row r="1182" spans="1:21" ht="12.75" customHeight="1">
      <c r="A1182" s="7">
        <v>143368436</v>
      </c>
      <c r="B1182" s="13">
        <v>5540246190092</v>
      </c>
      <c r="C1182" s="31">
        <v>44857</v>
      </c>
      <c r="D1182" s="8">
        <v>237</v>
      </c>
      <c r="E1182" s="14" t="str">
        <f>VLOOKUP(B1182, 'Catégorie des articles'!A:E, 4, FALSE)</f>
        <v>EMBALLAGES</v>
      </c>
      <c r="F1182" s="14">
        <f t="shared" si="18"/>
        <v>202210</v>
      </c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</row>
    <row r="1183" spans="1:21" ht="12.75" customHeight="1">
      <c r="A1183" s="7">
        <v>143368449</v>
      </c>
      <c r="B1183" s="13">
        <v>5540246171933</v>
      </c>
      <c r="C1183" s="31">
        <v>44833</v>
      </c>
      <c r="D1183" s="8">
        <v>1671</v>
      </c>
      <c r="E1183" s="14" t="str">
        <f>VLOOKUP(B1183, 'Catégorie des articles'!A:E, 4, FALSE)</f>
        <v>CREMERIE</v>
      </c>
      <c r="F1183" s="14">
        <f t="shared" si="18"/>
        <v>202209</v>
      </c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</row>
    <row r="1184" spans="1:21" ht="12.75" customHeight="1">
      <c r="A1184" s="10">
        <v>143368449</v>
      </c>
      <c r="B1184" s="15">
        <v>5540246176294</v>
      </c>
      <c r="C1184" s="32">
        <v>44833</v>
      </c>
      <c r="D1184" s="11">
        <v>297</v>
      </c>
      <c r="E1184" s="14" t="str">
        <f>VLOOKUP(B1184, 'Catégorie des articles'!A:E, 4, FALSE)</f>
        <v>CREMERIE</v>
      </c>
      <c r="F1184" s="14">
        <f t="shared" si="18"/>
        <v>202209</v>
      </c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</row>
    <row r="1185" spans="1:21" ht="12.75" customHeight="1">
      <c r="A1185" s="7">
        <v>143368449</v>
      </c>
      <c r="B1185" s="13">
        <v>5540246176295</v>
      </c>
      <c r="C1185" s="31">
        <v>44833</v>
      </c>
      <c r="D1185" s="8">
        <v>2228</v>
      </c>
      <c r="E1185" s="14" t="str">
        <f>VLOOKUP(B1185, 'Catégorie des articles'!A:E, 4, FALSE)</f>
        <v>CREMERIE</v>
      </c>
      <c r="F1185" s="14">
        <f t="shared" si="18"/>
        <v>202209</v>
      </c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</row>
    <row r="1186" spans="1:21" ht="12.75" customHeight="1">
      <c r="A1186" s="7">
        <v>143368449</v>
      </c>
      <c r="B1186" s="13">
        <v>5540246188200</v>
      </c>
      <c r="C1186" s="31">
        <v>44833</v>
      </c>
      <c r="D1186" s="8">
        <v>1485</v>
      </c>
      <c r="E1186" s="14" t="str">
        <f>VLOOKUP(B1186, 'Catégorie des articles'!A:E, 4, FALSE)</f>
        <v>CREMERIE</v>
      </c>
      <c r="F1186" s="14">
        <f t="shared" si="18"/>
        <v>202209</v>
      </c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</row>
    <row r="1187" spans="1:21" ht="12.75" customHeight="1">
      <c r="A1187" s="7">
        <v>143368454</v>
      </c>
      <c r="B1187" s="13">
        <v>5540246172978</v>
      </c>
      <c r="C1187" s="31">
        <v>44833</v>
      </c>
      <c r="D1187" s="8">
        <v>3341</v>
      </c>
      <c r="E1187" s="14" t="str">
        <f>VLOOKUP(B1187, 'Catégorie des articles'!A:E, 4, FALSE)</f>
        <v>CREMERIE</v>
      </c>
      <c r="F1187" s="14">
        <f t="shared" si="18"/>
        <v>202209</v>
      </c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</row>
    <row r="1188" spans="1:21" ht="12.75" customHeight="1">
      <c r="A1188" s="7">
        <v>143368454</v>
      </c>
      <c r="B1188" s="13">
        <v>5540246176699</v>
      </c>
      <c r="C1188" s="31">
        <v>44833</v>
      </c>
      <c r="D1188" s="8">
        <v>8352</v>
      </c>
      <c r="E1188" s="14" t="str">
        <f>VLOOKUP(B1188, 'Catégorie des articles'!A:E, 4, FALSE)</f>
        <v>CREMERIE</v>
      </c>
      <c r="F1188" s="14">
        <f t="shared" si="18"/>
        <v>202209</v>
      </c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</row>
    <row r="1189" spans="1:21" ht="12.75" customHeight="1">
      <c r="A1189" s="7">
        <v>143368458</v>
      </c>
      <c r="B1189" s="13">
        <v>5540246173472</v>
      </c>
      <c r="C1189" s="31">
        <v>44835</v>
      </c>
      <c r="D1189" s="8">
        <v>140</v>
      </c>
      <c r="E1189" s="14" t="str">
        <f>VLOOKUP(B1189, 'Catégorie des articles'!A:E, 4, FALSE)</f>
        <v>CREMERIE</v>
      </c>
      <c r="F1189" s="14">
        <f t="shared" si="18"/>
        <v>202210</v>
      </c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</row>
    <row r="1190" spans="1:21" ht="12.75" customHeight="1">
      <c r="A1190" s="10">
        <v>143368458</v>
      </c>
      <c r="B1190" s="15">
        <v>5540246174095</v>
      </c>
      <c r="C1190" s="32">
        <v>44835</v>
      </c>
      <c r="D1190" s="11">
        <v>70</v>
      </c>
      <c r="E1190" s="14" t="str">
        <f>VLOOKUP(B1190, 'Catégorie des articles'!A:E, 4, FALSE)</f>
        <v>CREMERIE</v>
      </c>
      <c r="F1190" s="14">
        <f t="shared" si="18"/>
        <v>202210</v>
      </c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</row>
    <row r="1191" spans="1:21" ht="12.75" customHeight="1">
      <c r="A1191" s="7">
        <v>143368458</v>
      </c>
      <c r="B1191" s="13">
        <v>5540246175047</v>
      </c>
      <c r="C1191" s="31">
        <v>44835</v>
      </c>
      <c r="D1191" s="8">
        <v>140</v>
      </c>
      <c r="E1191" s="14" t="str">
        <f>VLOOKUP(B1191, 'Catégorie des articles'!A:E, 4, FALSE)</f>
        <v>CREMERIE</v>
      </c>
      <c r="F1191" s="14">
        <f t="shared" si="18"/>
        <v>202210</v>
      </c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</row>
    <row r="1192" spans="1:21" ht="12.75" customHeight="1">
      <c r="A1192" s="10">
        <v>143368458</v>
      </c>
      <c r="B1192" s="15">
        <v>5540246175049</v>
      </c>
      <c r="C1192" s="32">
        <v>44835</v>
      </c>
      <c r="D1192" s="11">
        <v>279</v>
      </c>
      <c r="E1192" s="14" t="str">
        <f>VLOOKUP(B1192, 'Catégorie des articles'!A:E, 4, FALSE)</f>
        <v>CREMERIE</v>
      </c>
      <c r="F1192" s="14">
        <f t="shared" si="18"/>
        <v>202210</v>
      </c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</row>
    <row r="1193" spans="1:21" ht="12.75" customHeight="1">
      <c r="A1193" s="7">
        <v>143368458</v>
      </c>
      <c r="B1193" s="13">
        <v>5540246175050</v>
      </c>
      <c r="C1193" s="31">
        <v>44835</v>
      </c>
      <c r="D1193" s="8">
        <v>279</v>
      </c>
      <c r="E1193" s="14" t="str">
        <f>VLOOKUP(B1193, 'Catégorie des articles'!A:E, 4, FALSE)</f>
        <v>CREMERIE</v>
      </c>
      <c r="F1193" s="14">
        <f t="shared" si="18"/>
        <v>202210</v>
      </c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</row>
    <row r="1194" spans="1:21" ht="12.75" customHeight="1">
      <c r="A1194" s="10">
        <v>143368458</v>
      </c>
      <c r="B1194" s="15">
        <v>5540246190743</v>
      </c>
      <c r="C1194" s="32">
        <v>44835</v>
      </c>
      <c r="D1194" s="11">
        <v>140</v>
      </c>
      <c r="E1194" s="14" t="str">
        <f>VLOOKUP(B1194, 'Catégorie des articles'!A:E, 4, FALSE)</f>
        <v>CREMERIE</v>
      </c>
      <c r="F1194" s="14">
        <f t="shared" si="18"/>
        <v>202210</v>
      </c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</row>
    <row r="1195" spans="1:21" ht="12.75" customHeight="1">
      <c r="A1195" s="7">
        <v>143368464</v>
      </c>
      <c r="B1195" s="13">
        <v>5540246177133</v>
      </c>
      <c r="C1195" s="31">
        <v>44835</v>
      </c>
      <c r="D1195" s="8">
        <v>5568</v>
      </c>
      <c r="E1195" s="14" t="str">
        <f>VLOOKUP(B1195, 'Catégorie des articles'!A:E, 4, FALSE)</f>
        <v>MIX LEGUMES</v>
      </c>
      <c r="F1195" s="14">
        <f t="shared" si="18"/>
        <v>202210</v>
      </c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</row>
    <row r="1196" spans="1:21" ht="12.75" customHeight="1">
      <c r="A1196" s="10">
        <v>143368464</v>
      </c>
      <c r="B1196" s="15">
        <v>5540246192148</v>
      </c>
      <c r="C1196" s="32">
        <v>44835</v>
      </c>
      <c r="D1196" s="11">
        <v>26448</v>
      </c>
      <c r="E1196" s="14" t="str">
        <f>VLOOKUP(B1196, 'Catégorie des articles'!A:E, 4, FALSE)</f>
        <v>MIX LEGUMES</v>
      </c>
      <c r="F1196" s="14">
        <f t="shared" si="18"/>
        <v>202210</v>
      </c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</row>
    <row r="1197" spans="1:21" ht="12.75" customHeight="1">
      <c r="A1197" s="7">
        <v>143368464</v>
      </c>
      <c r="B1197" s="13">
        <v>5540246192518</v>
      </c>
      <c r="C1197" s="31">
        <v>44835</v>
      </c>
      <c r="D1197" s="8">
        <v>5847</v>
      </c>
      <c r="E1197" s="14" t="str">
        <f>VLOOKUP(B1197, 'Catégorie des articles'!A:E, 4, FALSE)</f>
        <v>MIX LEGUMES</v>
      </c>
      <c r="F1197" s="14">
        <f t="shared" si="18"/>
        <v>202210</v>
      </c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</row>
    <row r="1198" spans="1:21" ht="12.75" customHeight="1">
      <c r="A1198" s="10">
        <v>143368465</v>
      </c>
      <c r="B1198" s="15">
        <v>5540246183587</v>
      </c>
      <c r="C1198" s="32">
        <v>44842</v>
      </c>
      <c r="D1198" s="11">
        <v>502</v>
      </c>
      <c r="E1198" s="14" t="str">
        <f>VLOOKUP(B1198, 'Catégorie des articles'!A:E, 4, FALSE)</f>
        <v>MIX LEGUMES</v>
      </c>
      <c r="F1198" s="14">
        <f t="shared" si="18"/>
        <v>202210</v>
      </c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</row>
    <row r="1199" spans="1:21" ht="12.75" customHeight="1">
      <c r="A1199" s="7">
        <v>143368465</v>
      </c>
      <c r="B1199" s="13">
        <v>5540246194790</v>
      </c>
      <c r="C1199" s="31">
        <v>44842</v>
      </c>
      <c r="D1199" s="8">
        <v>1316</v>
      </c>
      <c r="E1199" s="14" t="str">
        <f>VLOOKUP(B1199, 'Catégorie des articles'!A:E, 4, FALSE)</f>
        <v>MIX LEGUMES</v>
      </c>
      <c r="F1199" s="14">
        <f t="shared" si="18"/>
        <v>202210</v>
      </c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</row>
    <row r="1200" spans="1:21" ht="12.75" customHeight="1">
      <c r="A1200" s="7">
        <v>143368473</v>
      </c>
      <c r="B1200" s="13">
        <v>5540246170256</v>
      </c>
      <c r="C1200" s="31">
        <v>44842</v>
      </c>
      <c r="D1200" s="8">
        <v>2822</v>
      </c>
      <c r="E1200" s="14" t="str">
        <f>VLOOKUP(B1200, 'Catégorie des articles'!A:E, 4, FALSE)</f>
        <v>BOULANGERIE</v>
      </c>
      <c r="F1200" s="14">
        <f t="shared" si="18"/>
        <v>202210</v>
      </c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</row>
    <row r="1201" spans="1:21" ht="12.75" customHeight="1">
      <c r="A1201" s="10">
        <v>143368473</v>
      </c>
      <c r="B1201" s="15">
        <v>5540246171888</v>
      </c>
      <c r="C1201" s="32">
        <v>44842</v>
      </c>
      <c r="D1201" s="11">
        <v>780</v>
      </c>
      <c r="E1201" s="14" t="str">
        <f>VLOOKUP(B1201, 'Catégorie des articles'!A:E, 4, FALSE)</f>
        <v>BOULANGERIE</v>
      </c>
      <c r="F1201" s="14">
        <f t="shared" si="18"/>
        <v>202210</v>
      </c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</row>
    <row r="1202" spans="1:21" ht="12.75" customHeight="1">
      <c r="A1202" s="10">
        <v>143368475</v>
      </c>
      <c r="B1202" s="15">
        <v>5540246182684</v>
      </c>
      <c r="C1202" s="32">
        <v>44843</v>
      </c>
      <c r="D1202" s="11">
        <v>325</v>
      </c>
      <c r="E1202" s="14" t="str">
        <f>VLOOKUP(B1202, 'Catégorie des articles'!A:E, 4, FALSE)</f>
        <v>BOULANGERIE</v>
      </c>
      <c r="F1202" s="14">
        <f t="shared" si="18"/>
        <v>202210</v>
      </c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</row>
    <row r="1203" spans="1:21" ht="12.75" customHeight="1">
      <c r="A1203" s="7">
        <v>143368475</v>
      </c>
      <c r="B1203" s="13">
        <v>5540246183844</v>
      </c>
      <c r="C1203" s="31">
        <v>44843</v>
      </c>
      <c r="D1203" s="8">
        <v>186</v>
      </c>
      <c r="E1203" s="14" t="str">
        <f>VLOOKUP(B1203, 'Catégorie des articles'!A:E, 4, FALSE)</f>
        <v>BOULANGERIE</v>
      </c>
      <c r="F1203" s="14">
        <f t="shared" si="18"/>
        <v>202210</v>
      </c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</row>
    <row r="1204" spans="1:21" ht="12.75" customHeight="1">
      <c r="A1204" s="7">
        <v>143368475</v>
      </c>
      <c r="B1204" s="13">
        <v>5540246194467</v>
      </c>
      <c r="C1204" s="31">
        <v>44843</v>
      </c>
      <c r="D1204" s="8">
        <v>26727</v>
      </c>
      <c r="E1204" s="14" t="str">
        <f>VLOOKUP(B1204, 'Catégorie des articles'!A:E, 4, FALSE)</f>
        <v>BOULANGERIE</v>
      </c>
      <c r="F1204" s="14">
        <f t="shared" si="18"/>
        <v>202210</v>
      </c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</row>
    <row r="1205" spans="1:21" ht="12.75" customHeight="1">
      <c r="A1205" s="10">
        <v>143368476</v>
      </c>
      <c r="B1205" s="15">
        <v>5540246194632</v>
      </c>
      <c r="C1205" s="32">
        <v>44841</v>
      </c>
      <c r="D1205" s="11">
        <v>696</v>
      </c>
      <c r="E1205" s="14" t="str">
        <f>VLOOKUP(B1205, 'Catégorie des articles'!A:E, 4, FALSE)</f>
        <v>BOULANGERIE</v>
      </c>
      <c r="F1205" s="14">
        <f t="shared" si="18"/>
        <v>202210</v>
      </c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</row>
    <row r="1206" spans="1:21" ht="12.75" customHeight="1">
      <c r="A1206" s="7">
        <v>143368476</v>
      </c>
      <c r="B1206" s="13">
        <v>5540246195250</v>
      </c>
      <c r="C1206" s="31">
        <v>44841</v>
      </c>
      <c r="D1206" s="8">
        <v>335</v>
      </c>
      <c r="E1206" s="14" t="str">
        <f>VLOOKUP(B1206, 'Catégorie des articles'!A:E, 4, FALSE)</f>
        <v>BOULANGERIE</v>
      </c>
      <c r="F1206" s="14">
        <f t="shared" si="18"/>
        <v>202210</v>
      </c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</row>
    <row r="1207" spans="1:21" ht="12.75" customHeight="1">
      <c r="A1207" s="7">
        <v>143368487</v>
      </c>
      <c r="B1207" s="13">
        <v>5540246187987</v>
      </c>
      <c r="C1207" s="31">
        <v>44834</v>
      </c>
      <c r="D1207" s="8">
        <v>1671</v>
      </c>
      <c r="E1207" s="14" t="str">
        <f>VLOOKUP(B1207, 'Catégorie des articles'!A:E, 4, FALSE)</f>
        <v>CREMERIE</v>
      </c>
      <c r="F1207" s="14">
        <f t="shared" si="18"/>
        <v>202209</v>
      </c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</row>
    <row r="1208" spans="1:21" ht="12.75" customHeight="1">
      <c r="A1208" s="10">
        <v>143368487</v>
      </c>
      <c r="B1208" s="15">
        <v>5540246188200</v>
      </c>
      <c r="C1208" s="32">
        <v>44834</v>
      </c>
      <c r="D1208" s="11">
        <v>372</v>
      </c>
      <c r="E1208" s="14" t="str">
        <f>VLOOKUP(B1208, 'Catégorie des articles'!A:E, 4, FALSE)</f>
        <v>CREMERIE</v>
      </c>
      <c r="F1208" s="14">
        <f t="shared" si="18"/>
        <v>202209</v>
      </c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</row>
    <row r="1209" spans="1:21" ht="12.75" customHeight="1">
      <c r="A1209" s="7">
        <v>143368492</v>
      </c>
      <c r="B1209" s="13">
        <v>5540246185429</v>
      </c>
      <c r="C1209" s="31">
        <v>44834</v>
      </c>
      <c r="D1209" s="8">
        <v>56</v>
      </c>
      <c r="E1209" s="14" t="str">
        <f>VLOOKUP(B1209, 'Catégorie des articles'!A:E, 4, FALSE)</f>
        <v>CREMERIE</v>
      </c>
      <c r="F1209" s="14">
        <f t="shared" si="18"/>
        <v>202209</v>
      </c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</row>
    <row r="1210" spans="1:21" ht="12.75" customHeight="1">
      <c r="A1210" s="10">
        <v>143368492</v>
      </c>
      <c r="B1210" s="15">
        <v>5540246185562</v>
      </c>
      <c r="C1210" s="32">
        <v>44834</v>
      </c>
      <c r="D1210" s="11">
        <v>70</v>
      </c>
      <c r="E1210" s="14" t="str">
        <f>VLOOKUP(B1210, 'Catégorie des articles'!A:E, 4, FALSE)</f>
        <v>CREMERIE</v>
      </c>
      <c r="F1210" s="14">
        <f t="shared" si="18"/>
        <v>202209</v>
      </c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</row>
    <row r="1211" spans="1:21" ht="12.75" customHeight="1">
      <c r="A1211" s="7">
        <v>143368492</v>
      </c>
      <c r="B1211" s="13">
        <v>5540246186325</v>
      </c>
      <c r="C1211" s="31">
        <v>44834</v>
      </c>
      <c r="D1211" s="8">
        <v>98</v>
      </c>
      <c r="E1211" s="14" t="str">
        <f>VLOOKUP(B1211, 'Catégorie des articles'!A:E, 4, FALSE)</f>
        <v>CREMERIE</v>
      </c>
      <c r="F1211" s="14">
        <f t="shared" si="18"/>
        <v>202209</v>
      </c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</row>
    <row r="1212" spans="1:21" ht="12.75" customHeight="1">
      <c r="A1212" s="10">
        <v>143368503</v>
      </c>
      <c r="B1212" s="15">
        <v>5540246194632</v>
      </c>
      <c r="C1212" s="32">
        <v>44844</v>
      </c>
      <c r="D1212" s="11">
        <v>1253</v>
      </c>
      <c r="E1212" s="14" t="str">
        <f>VLOOKUP(B1212, 'Catégorie des articles'!A:E, 4, FALSE)</f>
        <v>BOULANGERIE</v>
      </c>
      <c r="F1212" s="14">
        <f t="shared" si="18"/>
        <v>202210</v>
      </c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</row>
    <row r="1213" spans="1:21" ht="12.75" customHeight="1">
      <c r="A1213" s="7">
        <v>143368503</v>
      </c>
      <c r="B1213" s="13">
        <v>5540246195250</v>
      </c>
      <c r="C1213" s="31">
        <v>44844</v>
      </c>
      <c r="D1213" s="8">
        <v>251</v>
      </c>
      <c r="E1213" s="14" t="str">
        <f>VLOOKUP(B1213, 'Catégorie des articles'!A:E, 4, FALSE)</f>
        <v>BOULANGERIE</v>
      </c>
      <c r="F1213" s="14">
        <f t="shared" si="18"/>
        <v>202210</v>
      </c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</row>
    <row r="1214" spans="1:21" ht="12.75" customHeight="1">
      <c r="A1214" s="7">
        <v>143378508</v>
      </c>
      <c r="B1214" s="13">
        <v>5540246176295</v>
      </c>
      <c r="C1214" s="31">
        <v>44835</v>
      </c>
      <c r="D1214" s="8">
        <v>2970</v>
      </c>
      <c r="E1214" s="14" t="str">
        <f>VLOOKUP(B1214, 'Catégorie des articles'!A:E, 4, FALSE)</f>
        <v>CREMERIE</v>
      </c>
      <c r="F1214" s="14">
        <f t="shared" si="18"/>
        <v>202210</v>
      </c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</row>
    <row r="1215" spans="1:21" ht="12.75" customHeight="1">
      <c r="A1215" s="10">
        <v>143378508</v>
      </c>
      <c r="B1215" s="15">
        <v>5540246188200</v>
      </c>
      <c r="C1215" s="32">
        <v>44835</v>
      </c>
      <c r="D1215" s="11">
        <v>743</v>
      </c>
      <c r="E1215" s="14" t="str">
        <f>VLOOKUP(B1215, 'Catégorie des articles'!A:E, 4, FALSE)</f>
        <v>CREMERIE</v>
      </c>
      <c r="F1215" s="14">
        <f t="shared" si="18"/>
        <v>202210</v>
      </c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</row>
    <row r="1216" spans="1:21" ht="12.75" customHeight="1">
      <c r="A1216" s="10">
        <v>143378509</v>
      </c>
      <c r="B1216" s="15">
        <v>5540246176699</v>
      </c>
      <c r="C1216" s="32">
        <v>44835</v>
      </c>
      <c r="D1216" s="11">
        <v>4176</v>
      </c>
      <c r="E1216" s="14" t="str">
        <f>VLOOKUP(B1216, 'Catégorie des articles'!A:E, 4, FALSE)</f>
        <v>CREMERIE</v>
      </c>
      <c r="F1216" s="14">
        <f t="shared" si="18"/>
        <v>202210</v>
      </c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</row>
    <row r="1217" spans="1:21" ht="12.75" customHeight="1">
      <c r="A1217" s="10">
        <v>143378513</v>
      </c>
      <c r="B1217" s="15">
        <v>5540246175049</v>
      </c>
      <c r="C1217" s="32">
        <v>44837</v>
      </c>
      <c r="D1217" s="11">
        <v>557</v>
      </c>
      <c r="E1217" s="14" t="str">
        <f>VLOOKUP(B1217, 'Catégorie des articles'!A:E, 4, FALSE)</f>
        <v>CREMERIE</v>
      </c>
      <c r="F1217" s="14">
        <f t="shared" si="18"/>
        <v>202210</v>
      </c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</row>
    <row r="1218" spans="1:21" ht="12.75" customHeight="1">
      <c r="A1218" s="7">
        <v>143378513</v>
      </c>
      <c r="B1218" s="13">
        <v>5540246175050</v>
      </c>
      <c r="C1218" s="31">
        <v>44837</v>
      </c>
      <c r="D1218" s="8">
        <v>557</v>
      </c>
      <c r="E1218" s="14" t="str">
        <f>VLOOKUP(B1218, 'Catégorie des articles'!A:E, 4, FALSE)</f>
        <v>CREMERIE</v>
      </c>
      <c r="F1218" s="14">
        <f t="shared" ref="F1218:F1281" si="19">YEAR(C1218)*100 + MONTH(C1218)</f>
        <v>202210</v>
      </c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</row>
    <row r="1219" spans="1:21" ht="12.75" customHeight="1">
      <c r="A1219" s="10">
        <v>143378514</v>
      </c>
      <c r="B1219" s="15">
        <v>5540246195242</v>
      </c>
      <c r="C1219" s="32">
        <v>44840</v>
      </c>
      <c r="D1219" s="11">
        <v>488</v>
      </c>
      <c r="E1219" s="14" t="str">
        <f>VLOOKUP(B1219, 'Catégorie des articles'!A:E, 4, FALSE)</f>
        <v>MIX LEGUMES</v>
      </c>
      <c r="F1219" s="14">
        <f t="shared" si="19"/>
        <v>202210</v>
      </c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</row>
    <row r="1220" spans="1:21" ht="12.75" customHeight="1">
      <c r="A1220" s="7">
        <v>143378515</v>
      </c>
      <c r="B1220" s="13">
        <v>5540246195241</v>
      </c>
      <c r="C1220" s="31">
        <v>44844</v>
      </c>
      <c r="D1220" s="8">
        <v>743</v>
      </c>
      <c r="E1220" s="14" t="str">
        <f>VLOOKUP(B1220, 'Catégorie des articles'!A:E, 4, FALSE)</f>
        <v>MIX LEGUMES</v>
      </c>
      <c r="F1220" s="14">
        <f t="shared" si="19"/>
        <v>202210</v>
      </c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</row>
    <row r="1221" spans="1:21" ht="12.75" customHeight="1">
      <c r="A1221" s="7">
        <v>143378516</v>
      </c>
      <c r="B1221" s="13">
        <v>5540246185562</v>
      </c>
      <c r="C1221" s="31">
        <v>44837</v>
      </c>
      <c r="D1221" s="8">
        <v>140</v>
      </c>
      <c r="E1221" s="14" t="str">
        <f>VLOOKUP(B1221, 'Catégorie des articles'!A:E, 4, FALSE)</f>
        <v>CREMERIE</v>
      </c>
      <c r="F1221" s="14">
        <f t="shared" si="19"/>
        <v>202210</v>
      </c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</row>
    <row r="1222" spans="1:21" ht="12.75" customHeight="1">
      <c r="A1222" s="10">
        <v>143378516</v>
      </c>
      <c r="B1222" s="15">
        <v>5540246186325</v>
      </c>
      <c r="C1222" s="32">
        <v>44837</v>
      </c>
      <c r="D1222" s="11">
        <v>140</v>
      </c>
      <c r="E1222" s="14" t="str">
        <f>VLOOKUP(B1222, 'Catégorie des articles'!A:E, 4, FALSE)</f>
        <v>CREMERIE</v>
      </c>
      <c r="F1222" s="14">
        <f t="shared" si="19"/>
        <v>202210</v>
      </c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</row>
    <row r="1223" spans="1:21" ht="12.75" customHeight="1">
      <c r="A1223" s="10">
        <v>143378519</v>
      </c>
      <c r="B1223" s="15">
        <v>5540246177133</v>
      </c>
      <c r="C1223" s="32">
        <v>44841</v>
      </c>
      <c r="D1223" s="11">
        <v>4455</v>
      </c>
      <c r="E1223" s="14" t="str">
        <f>VLOOKUP(B1223, 'Catégorie des articles'!A:E, 4, FALSE)</f>
        <v>MIX LEGUMES</v>
      </c>
      <c r="F1223" s="14">
        <f t="shared" si="19"/>
        <v>202210</v>
      </c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</row>
    <row r="1224" spans="1:21" ht="12.75" customHeight="1">
      <c r="A1224" s="7">
        <v>143378519</v>
      </c>
      <c r="B1224" s="13">
        <v>5540246192148</v>
      </c>
      <c r="C1224" s="31">
        <v>44841</v>
      </c>
      <c r="D1224" s="8">
        <v>29232</v>
      </c>
      <c r="E1224" s="14" t="str">
        <f>VLOOKUP(B1224, 'Catégorie des articles'!A:E, 4, FALSE)</f>
        <v>MIX LEGUMES</v>
      </c>
      <c r="F1224" s="14">
        <f t="shared" si="19"/>
        <v>202210</v>
      </c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</row>
    <row r="1225" spans="1:21" ht="12.75" customHeight="1">
      <c r="A1225" s="10">
        <v>143378519</v>
      </c>
      <c r="B1225" s="15">
        <v>5540246192518</v>
      </c>
      <c r="C1225" s="32">
        <v>44841</v>
      </c>
      <c r="D1225" s="11">
        <v>5847</v>
      </c>
      <c r="E1225" s="14" t="str">
        <f>VLOOKUP(B1225, 'Catégorie des articles'!A:E, 4, FALSE)</f>
        <v>MIX LEGUMES</v>
      </c>
      <c r="F1225" s="14">
        <f t="shared" si="19"/>
        <v>202210</v>
      </c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</row>
    <row r="1226" spans="1:21" ht="12.75" customHeight="1">
      <c r="A1226" s="10">
        <v>143378523</v>
      </c>
      <c r="B1226" s="15">
        <v>5540246183587</v>
      </c>
      <c r="C1226" s="32">
        <v>44849</v>
      </c>
      <c r="D1226" s="11">
        <v>502</v>
      </c>
      <c r="E1226" s="14" t="str">
        <f>VLOOKUP(B1226, 'Catégorie des articles'!A:E, 4, FALSE)</f>
        <v>MIX LEGUMES</v>
      </c>
      <c r="F1226" s="14">
        <f t="shared" si="19"/>
        <v>202210</v>
      </c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</row>
    <row r="1227" spans="1:21" ht="12.75" customHeight="1">
      <c r="A1227" s="7">
        <v>143378523</v>
      </c>
      <c r="B1227" s="13">
        <v>5540246183589</v>
      </c>
      <c r="C1227" s="31">
        <v>44849</v>
      </c>
      <c r="D1227" s="8">
        <v>650</v>
      </c>
      <c r="E1227" s="14" t="str">
        <f>VLOOKUP(B1227, 'Catégorie des articles'!A:E, 4, FALSE)</f>
        <v>MIX LEGUMES</v>
      </c>
      <c r="F1227" s="14">
        <f t="shared" si="19"/>
        <v>202210</v>
      </c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</row>
    <row r="1228" spans="1:21" ht="12.75" customHeight="1">
      <c r="A1228" s="10">
        <v>143378523</v>
      </c>
      <c r="B1228" s="15">
        <v>5540246194790</v>
      </c>
      <c r="C1228" s="32">
        <v>44849</v>
      </c>
      <c r="D1228" s="11">
        <v>2631</v>
      </c>
      <c r="E1228" s="14" t="str">
        <f>VLOOKUP(B1228, 'Catégorie des articles'!A:E, 4, FALSE)</f>
        <v>MIX LEGUMES</v>
      </c>
      <c r="F1228" s="14">
        <f t="shared" si="19"/>
        <v>202210</v>
      </c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</row>
    <row r="1229" spans="1:21" ht="12.75" customHeight="1">
      <c r="A1229" s="10">
        <v>143378524</v>
      </c>
      <c r="B1229" s="15">
        <v>5540246183130</v>
      </c>
      <c r="C1229" s="32">
        <v>44843</v>
      </c>
      <c r="D1229" s="11">
        <v>2005</v>
      </c>
      <c r="E1229" s="14" t="str">
        <f>VLOOKUP(B1229, 'Catégorie des articles'!A:E, 4, FALSE)</f>
        <v>MIX LEGUMES</v>
      </c>
      <c r="F1229" s="14">
        <f t="shared" si="19"/>
        <v>202210</v>
      </c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</row>
    <row r="1230" spans="1:21" ht="12.75" customHeight="1">
      <c r="A1230" s="7">
        <v>143378524</v>
      </c>
      <c r="B1230" s="13">
        <v>5540246183541</v>
      </c>
      <c r="C1230" s="31">
        <v>44843</v>
      </c>
      <c r="D1230" s="8">
        <v>928</v>
      </c>
      <c r="E1230" s="14" t="str">
        <f>VLOOKUP(B1230, 'Catégorie des articles'!A:E, 4, FALSE)</f>
        <v>MIX LEGUMES</v>
      </c>
      <c r="F1230" s="14">
        <f t="shared" si="19"/>
        <v>202210</v>
      </c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</row>
    <row r="1231" spans="1:21" ht="12.75" customHeight="1">
      <c r="A1231" s="7">
        <v>143378525</v>
      </c>
      <c r="B1231" s="13">
        <v>5540246191598</v>
      </c>
      <c r="C1231" s="31">
        <v>44836</v>
      </c>
      <c r="D1231" s="8">
        <v>1601</v>
      </c>
      <c r="E1231" s="14" t="str">
        <f>VLOOKUP(B1231, 'Catégorie des articles'!A:E, 4, FALSE)</f>
        <v>CREMERIE</v>
      </c>
      <c r="F1231" s="14">
        <f t="shared" si="19"/>
        <v>202210</v>
      </c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</row>
    <row r="1232" spans="1:21" ht="12.75" customHeight="1">
      <c r="A1232" s="7">
        <v>143378531</v>
      </c>
      <c r="B1232" s="13">
        <v>5540246176294</v>
      </c>
      <c r="C1232" s="31">
        <v>44836</v>
      </c>
      <c r="D1232" s="8">
        <v>1485</v>
      </c>
      <c r="E1232" s="14" t="str">
        <f>VLOOKUP(B1232, 'Catégorie des articles'!A:E, 4, FALSE)</f>
        <v>CREMERIE</v>
      </c>
      <c r="F1232" s="14">
        <f t="shared" si="19"/>
        <v>202210</v>
      </c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</row>
    <row r="1233" spans="1:21" ht="12.75" customHeight="1">
      <c r="A1233" s="10">
        <v>143378531</v>
      </c>
      <c r="B1233" s="15">
        <v>5540246176295</v>
      </c>
      <c r="C1233" s="32">
        <v>44836</v>
      </c>
      <c r="D1233" s="11">
        <v>4455</v>
      </c>
      <c r="E1233" s="14" t="str">
        <f>VLOOKUP(B1233, 'Catégorie des articles'!A:E, 4, FALSE)</f>
        <v>CREMERIE</v>
      </c>
      <c r="F1233" s="14">
        <f t="shared" si="19"/>
        <v>202210</v>
      </c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</row>
    <row r="1234" spans="1:21" ht="12.75" customHeight="1">
      <c r="A1234" s="10">
        <v>143378531</v>
      </c>
      <c r="B1234" s="15">
        <v>5540246188200</v>
      </c>
      <c r="C1234" s="32">
        <v>44836</v>
      </c>
      <c r="D1234" s="11">
        <v>1485</v>
      </c>
      <c r="E1234" s="14" t="str">
        <f>VLOOKUP(B1234, 'Catégorie des articles'!A:E, 4, FALSE)</f>
        <v>CREMERIE</v>
      </c>
      <c r="F1234" s="14">
        <f t="shared" si="19"/>
        <v>202210</v>
      </c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</row>
    <row r="1235" spans="1:21" ht="12.75" customHeight="1">
      <c r="A1235" s="7">
        <v>143378533</v>
      </c>
      <c r="B1235" s="13">
        <v>5540246172669</v>
      </c>
      <c r="C1235" s="31">
        <v>44836</v>
      </c>
      <c r="D1235" s="8">
        <v>279</v>
      </c>
      <c r="E1235" s="14" t="str">
        <f>VLOOKUP(B1235, 'Catégorie des articles'!A:E, 4, FALSE)</f>
        <v>CREMERIE</v>
      </c>
      <c r="F1235" s="14">
        <f t="shared" si="19"/>
        <v>202210</v>
      </c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</row>
    <row r="1236" spans="1:21" ht="12.75" customHeight="1">
      <c r="A1236" s="10">
        <v>143378561</v>
      </c>
      <c r="B1236" s="15">
        <v>5540246184036</v>
      </c>
      <c r="C1236" s="32">
        <v>44844</v>
      </c>
      <c r="D1236" s="11">
        <v>82</v>
      </c>
      <c r="E1236" s="14" t="str">
        <f>VLOOKUP(B1236, 'Catégorie des articles'!A:E, 4, FALSE)</f>
        <v>BOULANGERIE</v>
      </c>
      <c r="F1236" s="14">
        <f t="shared" si="19"/>
        <v>202210</v>
      </c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</row>
    <row r="1237" spans="1:21" ht="12.75" customHeight="1">
      <c r="A1237" s="7">
        <v>143378571</v>
      </c>
      <c r="B1237" s="13">
        <v>5540246176295</v>
      </c>
      <c r="C1237" s="31">
        <v>44837</v>
      </c>
      <c r="D1237" s="8">
        <v>7424</v>
      </c>
      <c r="E1237" s="14" t="str">
        <f>VLOOKUP(B1237, 'Catégorie des articles'!A:E, 4, FALSE)</f>
        <v>CREMERIE</v>
      </c>
      <c r="F1237" s="14">
        <f t="shared" si="19"/>
        <v>202210</v>
      </c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</row>
    <row r="1238" spans="1:21" ht="12.75" customHeight="1">
      <c r="A1238" s="7">
        <v>143378571</v>
      </c>
      <c r="B1238" s="13">
        <v>5540246188200</v>
      </c>
      <c r="C1238" s="31">
        <v>44837</v>
      </c>
      <c r="D1238" s="8">
        <v>743</v>
      </c>
      <c r="E1238" s="14" t="str">
        <f>VLOOKUP(B1238, 'Catégorie des articles'!A:E, 4, FALSE)</f>
        <v>CREMERIE</v>
      </c>
      <c r="F1238" s="14">
        <f t="shared" si="19"/>
        <v>202210</v>
      </c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</row>
    <row r="1239" spans="1:21" ht="12.75" customHeight="1">
      <c r="A1239" s="10">
        <v>143378572</v>
      </c>
      <c r="B1239" s="15">
        <v>5540246174174</v>
      </c>
      <c r="C1239" s="32">
        <v>44837</v>
      </c>
      <c r="D1239" s="11">
        <v>232</v>
      </c>
      <c r="E1239" s="14" t="str">
        <f>VLOOKUP(B1239, 'Catégorie des articles'!A:E, 4, FALSE)</f>
        <v>CREMERIE</v>
      </c>
      <c r="F1239" s="14">
        <f t="shared" si="19"/>
        <v>202210</v>
      </c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</row>
    <row r="1240" spans="1:21" ht="12.75" customHeight="1">
      <c r="A1240" s="10">
        <v>143378572</v>
      </c>
      <c r="B1240" s="15">
        <v>5540246176699</v>
      </c>
      <c r="C1240" s="32">
        <v>44837</v>
      </c>
      <c r="D1240" s="11">
        <v>2088</v>
      </c>
      <c r="E1240" s="14" t="str">
        <f>VLOOKUP(B1240, 'Catégorie des articles'!A:E, 4, FALSE)</f>
        <v>CREMERIE</v>
      </c>
      <c r="F1240" s="14">
        <f t="shared" si="19"/>
        <v>202210</v>
      </c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</row>
    <row r="1241" spans="1:21" ht="12.75" customHeight="1">
      <c r="A1241" s="10">
        <v>143378572</v>
      </c>
      <c r="B1241" s="15">
        <v>5540246188175</v>
      </c>
      <c r="C1241" s="32">
        <v>44837</v>
      </c>
      <c r="D1241" s="11">
        <v>116</v>
      </c>
      <c r="E1241" s="14" t="str">
        <f>VLOOKUP(B1241, 'Catégorie des articles'!A:E, 4, FALSE)</f>
        <v>CREMERIE</v>
      </c>
      <c r="F1241" s="14">
        <f t="shared" si="19"/>
        <v>202210</v>
      </c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</row>
    <row r="1242" spans="1:21" ht="12.75" customHeight="1">
      <c r="A1242" s="10">
        <v>143378574</v>
      </c>
      <c r="B1242" s="15">
        <v>5540246173472</v>
      </c>
      <c r="C1242" s="32">
        <v>44842</v>
      </c>
      <c r="D1242" s="11">
        <v>209</v>
      </c>
      <c r="E1242" s="14" t="str">
        <f>VLOOKUP(B1242, 'Catégorie des articles'!A:E, 4, FALSE)</f>
        <v>CREMERIE</v>
      </c>
      <c r="F1242" s="14">
        <f t="shared" si="19"/>
        <v>202210</v>
      </c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</row>
    <row r="1243" spans="1:21" ht="12.75" customHeight="1">
      <c r="A1243" s="7">
        <v>143378574</v>
      </c>
      <c r="B1243" s="13">
        <v>5540246174095</v>
      </c>
      <c r="C1243" s="31">
        <v>44842</v>
      </c>
      <c r="D1243" s="8">
        <v>70</v>
      </c>
      <c r="E1243" s="14" t="str">
        <f>VLOOKUP(B1243, 'Catégorie des articles'!A:E, 4, FALSE)</f>
        <v>CREMERIE</v>
      </c>
      <c r="F1243" s="14">
        <f t="shared" si="19"/>
        <v>202210</v>
      </c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</row>
    <row r="1244" spans="1:21" ht="12.75" customHeight="1">
      <c r="A1244" s="10">
        <v>143378574</v>
      </c>
      <c r="B1244" s="15">
        <v>5540246175049</v>
      </c>
      <c r="C1244" s="32">
        <v>44842</v>
      </c>
      <c r="D1244" s="11">
        <v>836</v>
      </c>
      <c r="E1244" s="14" t="str">
        <f>VLOOKUP(B1244, 'Catégorie des articles'!A:E, 4, FALSE)</f>
        <v>CREMERIE</v>
      </c>
      <c r="F1244" s="14">
        <f t="shared" si="19"/>
        <v>202210</v>
      </c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</row>
    <row r="1245" spans="1:21" ht="12.75" customHeight="1">
      <c r="A1245" s="7">
        <v>143378574</v>
      </c>
      <c r="B1245" s="13">
        <v>5540246175050</v>
      </c>
      <c r="C1245" s="31">
        <v>44842</v>
      </c>
      <c r="D1245" s="8">
        <v>836</v>
      </c>
      <c r="E1245" s="14" t="str">
        <f>VLOOKUP(B1245, 'Catégorie des articles'!A:E, 4, FALSE)</f>
        <v>CREMERIE</v>
      </c>
      <c r="F1245" s="14">
        <f t="shared" si="19"/>
        <v>202210</v>
      </c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</row>
    <row r="1246" spans="1:21" ht="12.75" customHeight="1">
      <c r="A1246" s="10">
        <v>143378574</v>
      </c>
      <c r="B1246" s="15">
        <v>5540246190743</v>
      </c>
      <c r="C1246" s="32">
        <v>44842</v>
      </c>
      <c r="D1246" s="11">
        <v>140</v>
      </c>
      <c r="E1246" s="14" t="str">
        <f>VLOOKUP(B1246, 'Catégorie des articles'!A:E, 4, FALSE)</f>
        <v>CREMERIE</v>
      </c>
      <c r="F1246" s="14">
        <f t="shared" si="19"/>
        <v>202210</v>
      </c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</row>
    <row r="1247" spans="1:21" ht="12.75" customHeight="1">
      <c r="A1247" s="7">
        <v>143378614</v>
      </c>
      <c r="B1247" s="13">
        <v>5540246176295</v>
      </c>
      <c r="C1247" s="31">
        <v>44840</v>
      </c>
      <c r="D1247" s="8">
        <v>6162</v>
      </c>
      <c r="E1247" s="14" t="str">
        <f>VLOOKUP(B1247, 'Catégorie des articles'!A:E, 4, FALSE)</f>
        <v>CREMERIE</v>
      </c>
      <c r="F1247" s="14">
        <f t="shared" si="19"/>
        <v>202210</v>
      </c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</row>
    <row r="1248" spans="1:21" ht="12.75" customHeight="1">
      <c r="A1248" s="7">
        <v>143378614</v>
      </c>
      <c r="B1248" s="13">
        <v>5540246187987</v>
      </c>
      <c r="C1248" s="31">
        <v>44840</v>
      </c>
      <c r="D1248" s="8">
        <v>4455</v>
      </c>
      <c r="E1248" s="14" t="str">
        <f>VLOOKUP(B1248, 'Catégorie des articles'!A:E, 4, FALSE)</f>
        <v>CREMERIE</v>
      </c>
      <c r="F1248" s="14">
        <f t="shared" si="19"/>
        <v>202210</v>
      </c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</row>
    <row r="1249" spans="1:21" ht="12.75" customHeight="1">
      <c r="A1249" s="10">
        <v>143378614</v>
      </c>
      <c r="B1249" s="15">
        <v>5540246188200</v>
      </c>
      <c r="C1249" s="32">
        <v>44840</v>
      </c>
      <c r="D1249" s="11">
        <v>1485</v>
      </c>
      <c r="E1249" s="14" t="str">
        <f>VLOOKUP(B1249, 'Catégorie des articles'!A:E, 4, FALSE)</f>
        <v>CREMERIE</v>
      </c>
      <c r="F1249" s="14">
        <f t="shared" si="19"/>
        <v>202210</v>
      </c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</row>
    <row r="1250" spans="1:21" ht="12.75" customHeight="1">
      <c r="A1250" s="10">
        <v>143378616</v>
      </c>
      <c r="B1250" s="15">
        <v>5540246172539</v>
      </c>
      <c r="C1250" s="32">
        <v>44840</v>
      </c>
      <c r="D1250" s="11">
        <v>47</v>
      </c>
      <c r="E1250" s="14" t="str">
        <f>VLOOKUP(B1250, 'Catégorie des articles'!A:E, 4, FALSE)</f>
        <v>CREMERIE</v>
      </c>
      <c r="F1250" s="14">
        <f t="shared" si="19"/>
        <v>202210</v>
      </c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</row>
    <row r="1251" spans="1:21" ht="12.75" customHeight="1">
      <c r="A1251" s="7">
        <v>143378616</v>
      </c>
      <c r="B1251" s="13">
        <v>5540246174174</v>
      </c>
      <c r="C1251" s="31">
        <v>44840</v>
      </c>
      <c r="D1251" s="8">
        <v>464</v>
      </c>
      <c r="E1251" s="14" t="str">
        <f>VLOOKUP(B1251, 'Catégorie des articles'!A:E, 4, FALSE)</f>
        <v>CREMERIE</v>
      </c>
      <c r="F1251" s="14">
        <f t="shared" si="19"/>
        <v>202210</v>
      </c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</row>
    <row r="1252" spans="1:21" ht="12.75" customHeight="1">
      <c r="A1252" s="10">
        <v>143378616</v>
      </c>
      <c r="B1252" s="15">
        <v>5540246176699</v>
      </c>
      <c r="C1252" s="32">
        <v>44840</v>
      </c>
      <c r="D1252" s="11">
        <v>8352</v>
      </c>
      <c r="E1252" s="14" t="str">
        <f>VLOOKUP(B1252, 'Catégorie des articles'!A:E, 4, FALSE)</f>
        <v>CREMERIE</v>
      </c>
      <c r="F1252" s="14">
        <f t="shared" si="19"/>
        <v>202210</v>
      </c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</row>
    <row r="1253" spans="1:21" ht="12.75" customHeight="1">
      <c r="A1253" s="10">
        <v>143378616</v>
      </c>
      <c r="B1253" s="15">
        <v>5540246188175</v>
      </c>
      <c r="C1253" s="32">
        <v>44840</v>
      </c>
      <c r="D1253" s="11">
        <v>348</v>
      </c>
      <c r="E1253" s="14" t="str">
        <f>VLOOKUP(B1253, 'Catégorie des articles'!A:E, 4, FALSE)</f>
        <v>CREMERIE</v>
      </c>
      <c r="F1253" s="14">
        <f t="shared" si="19"/>
        <v>202210</v>
      </c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</row>
    <row r="1254" spans="1:21" ht="12.75" customHeight="1">
      <c r="A1254" s="7">
        <v>143378616</v>
      </c>
      <c r="B1254" s="13">
        <v>5540246192102</v>
      </c>
      <c r="C1254" s="31">
        <v>44840</v>
      </c>
      <c r="D1254" s="8">
        <v>4009</v>
      </c>
      <c r="E1254" s="14" t="str">
        <f>VLOOKUP(B1254, 'Catégorie des articles'!A:E, 4, FALSE)</f>
        <v>CREMERIE</v>
      </c>
      <c r="F1254" s="14">
        <f t="shared" si="19"/>
        <v>202210</v>
      </c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</row>
    <row r="1255" spans="1:21" ht="12.75" customHeight="1">
      <c r="A1255" s="7">
        <v>143378617</v>
      </c>
      <c r="B1255" s="13">
        <v>5540246191594</v>
      </c>
      <c r="C1255" s="31">
        <v>44842</v>
      </c>
      <c r="D1255" s="8">
        <v>1504</v>
      </c>
      <c r="E1255" s="14" t="str">
        <f>VLOOKUP(B1255, 'Catégorie des articles'!A:E, 4, FALSE)</f>
        <v>CREMERIE</v>
      </c>
      <c r="F1255" s="14">
        <f t="shared" si="19"/>
        <v>202210</v>
      </c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</row>
    <row r="1256" spans="1:21" ht="12.75" customHeight="1">
      <c r="A1256" s="10">
        <v>143378617</v>
      </c>
      <c r="B1256" s="15">
        <v>5540246191598</v>
      </c>
      <c r="C1256" s="32">
        <v>44842</v>
      </c>
      <c r="D1256" s="11">
        <v>1601</v>
      </c>
      <c r="E1256" s="14" t="str">
        <f>VLOOKUP(B1256, 'Catégorie des articles'!A:E, 4, FALSE)</f>
        <v>CREMERIE</v>
      </c>
      <c r="F1256" s="14">
        <f t="shared" si="19"/>
        <v>202210</v>
      </c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</row>
    <row r="1257" spans="1:21" ht="12.75" customHeight="1">
      <c r="A1257" s="7">
        <v>143378621</v>
      </c>
      <c r="B1257" s="13">
        <v>5540246186325</v>
      </c>
      <c r="C1257" s="31">
        <v>44841</v>
      </c>
      <c r="D1257" s="8">
        <v>418</v>
      </c>
      <c r="E1257" s="14" t="str">
        <f>VLOOKUP(B1257, 'Catégorie des articles'!A:E, 4, FALSE)</f>
        <v>CREMERIE</v>
      </c>
      <c r="F1257" s="14">
        <f t="shared" si="19"/>
        <v>202210</v>
      </c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</row>
    <row r="1258" spans="1:21" ht="12.75" customHeight="1">
      <c r="A1258" s="10">
        <v>143378622</v>
      </c>
      <c r="B1258" s="15">
        <v>5540246173472</v>
      </c>
      <c r="C1258" s="32">
        <v>44844</v>
      </c>
      <c r="D1258" s="11">
        <v>209</v>
      </c>
      <c r="E1258" s="14" t="str">
        <f>VLOOKUP(B1258, 'Catégorie des articles'!A:E, 4, FALSE)</f>
        <v>CREMERIE</v>
      </c>
      <c r="F1258" s="14">
        <f t="shared" si="19"/>
        <v>202210</v>
      </c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</row>
    <row r="1259" spans="1:21" ht="12.75" customHeight="1">
      <c r="A1259" s="7">
        <v>143378622</v>
      </c>
      <c r="B1259" s="13">
        <v>5540246174095</v>
      </c>
      <c r="C1259" s="31">
        <v>44844</v>
      </c>
      <c r="D1259" s="8">
        <v>70</v>
      </c>
      <c r="E1259" s="14" t="str">
        <f>VLOOKUP(B1259, 'Catégorie des articles'!A:E, 4, FALSE)</f>
        <v>CREMERIE</v>
      </c>
      <c r="F1259" s="14">
        <f t="shared" si="19"/>
        <v>202210</v>
      </c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</row>
    <row r="1260" spans="1:21" ht="12.75" customHeight="1">
      <c r="A1260" s="10">
        <v>143378622</v>
      </c>
      <c r="B1260" s="15">
        <v>5540246175047</v>
      </c>
      <c r="C1260" s="32">
        <v>44844</v>
      </c>
      <c r="D1260" s="11">
        <v>279</v>
      </c>
      <c r="E1260" s="14" t="str">
        <f>VLOOKUP(B1260, 'Catégorie des articles'!A:E, 4, FALSE)</f>
        <v>CREMERIE</v>
      </c>
      <c r="F1260" s="14">
        <f t="shared" si="19"/>
        <v>202210</v>
      </c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</row>
    <row r="1261" spans="1:21" ht="12.75" customHeight="1">
      <c r="A1261" s="7">
        <v>143378622</v>
      </c>
      <c r="B1261" s="13">
        <v>5540246175049</v>
      </c>
      <c r="C1261" s="31">
        <v>44844</v>
      </c>
      <c r="D1261" s="8">
        <v>836</v>
      </c>
      <c r="E1261" s="14" t="str">
        <f>VLOOKUP(B1261, 'Catégorie des articles'!A:E, 4, FALSE)</f>
        <v>CREMERIE</v>
      </c>
      <c r="F1261" s="14">
        <f t="shared" si="19"/>
        <v>202210</v>
      </c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</row>
    <row r="1262" spans="1:21" ht="12.75" customHeight="1">
      <c r="A1262" s="10">
        <v>143378622</v>
      </c>
      <c r="B1262" s="15">
        <v>5540246175050</v>
      </c>
      <c r="C1262" s="32">
        <v>44844</v>
      </c>
      <c r="D1262" s="11">
        <v>836</v>
      </c>
      <c r="E1262" s="14" t="str">
        <f>VLOOKUP(B1262, 'Catégorie des articles'!A:E, 4, FALSE)</f>
        <v>CREMERIE</v>
      </c>
      <c r="F1262" s="14">
        <f t="shared" si="19"/>
        <v>202210</v>
      </c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</row>
    <row r="1263" spans="1:21" ht="12.75" customHeight="1">
      <c r="A1263" s="7">
        <v>143378622</v>
      </c>
      <c r="B1263" s="13">
        <v>5540246190743</v>
      </c>
      <c r="C1263" s="31">
        <v>44844</v>
      </c>
      <c r="D1263" s="8">
        <v>279</v>
      </c>
      <c r="E1263" s="14" t="str">
        <f>VLOOKUP(B1263, 'Catégorie des articles'!A:E, 4, FALSE)</f>
        <v>CREMERIE</v>
      </c>
      <c r="F1263" s="14">
        <f t="shared" si="19"/>
        <v>202210</v>
      </c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</row>
    <row r="1264" spans="1:21" ht="12.75" customHeight="1">
      <c r="A1264" s="10">
        <v>143378653</v>
      </c>
      <c r="B1264" s="15">
        <v>5540246176294</v>
      </c>
      <c r="C1264" s="32">
        <v>44841</v>
      </c>
      <c r="D1264" s="11">
        <v>743</v>
      </c>
      <c r="E1264" s="14" t="str">
        <f>VLOOKUP(B1264, 'Catégorie des articles'!A:E, 4, FALSE)</f>
        <v>CREMERIE</v>
      </c>
      <c r="F1264" s="14">
        <f t="shared" si="19"/>
        <v>202210</v>
      </c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</row>
    <row r="1265" spans="1:21" ht="12.75" customHeight="1">
      <c r="A1265" s="7">
        <v>143378653</v>
      </c>
      <c r="B1265" s="13">
        <v>5540246176295</v>
      </c>
      <c r="C1265" s="31">
        <v>44841</v>
      </c>
      <c r="D1265" s="8">
        <v>4009</v>
      </c>
      <c r="E1265" s="14" t="str">
        <f>VLOOKUP(B1265, 'Catégorie des articles'!A:E, 4, FALSE)</f>
        <v>CREMERIE</v>
      </c>
      <c r="F1265" s="14">
        <f t="shared" si="19"/>
        <v>202210</v>
      </c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</row>
    <row r="1266" spans="1:21" ht="12.75" customHeight="1">
      <c r="A1266" s="7">
        <v>143378653</v>
      </c>
      <c r="B1266" s="13">
        <v>5540246187987</v>
      </c>
      <c r="C1266" s="31">
        <v>44841</v>
      </c>
      <c r="D1266" s="8">
        <v>4455</v>
      </c>
      <c r="E1266" s="14" t="str">
        <f>VLOOKUP(B1266, 'Catégorie des articles'!A:E, 4, FALSE)</f>
        <v>CREMERIE</v>
      </c>
      <c r="F1266" s="14">
        <f t="shared" si="19"/>
        <v>202210</v>
      </c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</row>
    <row r="1267" spans="1:21" ht="12.75" customHeight="1">
      <c r="A1267" s="10">
        <v>143378653</v>
      </c>
      <c r="B1267" s="15">
        <v>5540246188200</v>
      </c>
      <c r="C1267" s="32">
        <v>44841</v>
      </c>
      <c r="D1267" s="11">
        <v>1337</v>
      </c>
      <c r="E1267" s="14" t="str">
        <f>VLOOKUP(B1267, 'Catégorie des articles'!A:E, 4, FALSE)</f>
        <v>CREMERIE</v>
      </c>
      <c r="F1267" s="14">
        <f t="shared" si="19"/>
        <v>202210</v>
      </c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</row>
    <row r="1268" spans="1:21" ht="12.75" customHeight="1">
      <c r="A1268" s="7">
        <v>143378669</v>
      </c>
      <c r="B1268" s="13">
        <v>5540246194947</v>
      </c>
      <c r="C1268" s="31">
        <v>44840</v>
      </c>
      <c r="D1268" s="8">
        <v>232</v>
      </c>
      <c r="E1268" s="14" t="str">
        <f>VLOOKUP(B1268, 'Catégorie des articles'!A:E, 4, FALSE)</f>
        <v>EMBALLAGES</v>
      </c>
      <c r="F1268" s="14">
        <f t="shared" si="19"/>
        <v>202210</v>
      </c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</row>
    <row r="1269" spans="1:21" ht="12.75" customHeight="1">
      <c r="A1269" s="7">
        <v>143388679</v>
      </c>
      <c r="B1269" s="13">
        <v>5540246172978</v>
      </c>
      <c r="C1269" s="31">
        <v>44842</v>
      </c>
      <c r="D1269" s="8">
        <v>2506</v>
      </c>
      <c r="E1269" s="14" t="str">
        <f>VLOOKUP(B1269, 'Catégorie des articles'!A:E, 4, FALSE)</f>
        <v>CREMERIE</v>
      </c>
      <c r="F1269" s="14">
        <f t="shared" si="19"/>
        <v>202210</v>
      </c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</row>
    <row r="1270" spans="1:21" ht="12.75" customHeight="1">
      <c r="A1270" s="7">
        <v>143388679</v>
      </c>
      <c r="B1270" s="13">
        <v>5540246176699</v>
      </c>
      <c r="C1270" s="31">
        <v>44842</v>
      </c>
      <c r="D1270" s="8">
        <v>8352</v>
      </c>
      <c r="E1270" s="14" t="str">
        <f>VLOOKUP(B1270, 'Catégorie des articles'!A:E, 4, FALSE)</f>
        <v>CREMERIE</v>
      </c>
      <c r="F1270" s="14">
        <f t="shared" si="19"/>
        <v>202210</v>
      </c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</row>
    <row r="1271" spans="1:21" ht="12.75" customHeight="1">
      <c r="A1271" s="7">
        <v>143388680</v>
      </c>
      <c r="B1271" s="13">
        <v>5540246171933</v>
      </c>
      <c r="C1271" s="31">
        <v>44842</v>
      </c>
      <c r="D1271" s="8">
        <v>557</v>
      </c>
      <c r="E1271" s="14" t="str">
        <f>VLOOKUP(B1271, 'Catégorie des articles'!A:E, 4, FALSE)</f>
        <v>CREMERIE</v>
      </c>
      <c r="F1271" s="14">
        <f t="shared" si="19"/>
        <v>202210</v>
      </c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</row>
    <row r="1272" spans="1:21" ht="12.75" customHeight="1">
      <c r="A1272" s="7">
        <v>143388680</v>
      </c>
      <c r="B1272" s="13">
        <v>5540246176294</v>
      </c>
      <c r="C1272" s="31">
        <v>44842</v>
      </c>
      <c r="D1272" s="8">
        <v>743</v>
      </c>
      <c r="E1272" s="14" t="str">
        <f>VLOOKUP(B1272, 'Catégorie des articles'!A:E, 4, FALSE)</f>
        <v>CREMERIE</v>
      </c>
      <c r="F1272" s="14">
        <f t="shared" si="19"/>
        <v>202210</v>
      </c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</row>
    <row r="1273" spans="1:21" ht="12.75" customHeight="1">
      <c r="A1273" s="10">
        <v>143388680</v>
      </c>
      <c r="B1273" s="15">
        <v>5540246176295</v>
      </c>
      <c r="C1273" s="32">
        <v>44842</v>
      </c>
      <c r="D1273" s="11">
        <v>4455</v>
      </c>
      <c r="E1273" s="14" t="str">
        <f>VLOOKUP(B1273, 'Catégorie des articles'!A:E, 4, FALSE)</f>
        <v>CREMERIE</v>
      </c>
      <c r="F1273" s="14">
        <f t="shared" si="19"/>
        <v>202210</v>
      </c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</row>
    <row r="1274" spans="1:21" ht="12.75" customHeight="1">
      <c r="A1274" s="7">
        <v>143388680</v>
      </c>
      <c r="B1274" s="13">
        <v>5540246188200</v>
      </c>
      <c r="C1274" s="31">
        <v>44842</v>
      </c>
      <c r="D1274" s="8">
        <v>1485</v>
      </c>
      <c r="E1274" s="14" t="str">
        <f>VLOOKUP(B1274, 'Catégorie des articles'!A:E, 4, FALSE)</f>
        <v>CREMERIE</v>
      </c>
      <c r="F1274" s="14">
        <f t="shared" si="19"/>
        <v>202210</v>
      </c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</row>
    <row r="1275" spans="1:21" ht="12.75" customHeight="1">
      <c r="A1275" s="10">
        <v>143388681</v>
      </c>
      <c r="B1275" s="15">
        <v>5540246191598</v>
      </c>
      <c r="C1275" s="32">
        <v>44844</v>
      </c>
      <c r="D1275" s="11">
        <v>1601</v>
      </c>
      <c r="E1275" s="14" t="str">
        <f>VLOOKUP(B1275, 'Catégorie des articles'!A:E, 4, FALSE)</f>
        <v>CREMERIE</v>
      </c>
      <c r="F1275" s="14">
        <f t="shared" si="19"/>
        <v>202210</v>
      </c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</row>
    <row r="1276" spans="1:21" ht="12.75" customHeight="1">
      <c r="A1276" s="7">
        <v>143388689</v>
      </c>
      <c r="B1276" s="13">
        <v>5540246194632</v>
      </c>
      <c r="C1276" s="31">
        <v>44849</v>
      </c>
      <c r="D1276" s="8">
        <v>1086</v>
      </c>
      <c r="E1276" s="14" t="str">
        <f>VLOOKUP(B1276, 'Catégorie des articles'!A:E, 4, FALSE)</f>
        <v>BOULANGERIE</v>
      </c>
      <c r="F1276" s="14">
        <f t="shared" si="19"/>
        <v>202210</v>
      </c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</row>
    <row r="1277" spans="1:21" ht="12.75" customHeight="1">
      <c r="A1277" s="7">
        <v>143388694</v>
      </c>
      <c r="B1277" s="13">
        <v>5540246177133</v>
      </c>
      <c r="C1277" s="31">
        <v>44851</v>
      </c>
      <c r="D1277" s="8">
        <v>2228</v>
      </c>
      <c r="E1277" s="14" t="str">
        <f>VLOOKUP(B1277, 'Catégorie des articles'!A:E, 4, FALSE)</f>
        <v>MIX LEGUMES</v>
      </c>
      <c r="F1277" s="14">
        <f t="shared" si="19"/>
        <v>202210</v>
      </c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</row>
    <row r="1278" spans="1:21" ht="12.75" customHeight="1">
      <c r="A1278" s="10">
        <v>143388694</v>
      </c>
      <c r="B1278" s="15">
        <v>5540246192148</v>
      </c>
      <c r="C1278" s="32">
        <v>44851</v>
      </c>
      <c r="D1278" s="11">
        <v>36192</v>
      </c>
      <c r="E1278" s="14" t="str">
        <f>VLOOKUP(B1278, 'Catégorie des articles'!A:E, 4, FALSE)</f>
        <v>MIX LEGUMES</v>
      </c>
      <c r="F1278" s="14">
        <f t="shared" si="19"/>
        <v>202210</v>
      </c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</row>
    <row r="1279" spans="1:21" ht="12.75" customHeight="1">
      <c r="A1279" s="7">
        <v>143388694</v>
      </c>
      <c r="B1279" s="13">
        <v>5540246192518</v>
      </c>
      <c r="C1279" s="31">
        <v>44851</v>
      </c>
      <c r="D1279" s="8">
        <v>4385</v>
      </c>
      <c r="E1279" s="14" t="str">
        <f>VLOOKUP(B1279, 'Catégorie des articles'!A:E, 4, FALSE)</f>
        <v>MIX LEGUMES</v>
      </c>
      <c r="F1279" s="14">
        <f t="shared" si="19"/>
        <v>202210</v>
      </c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</row>
    <row r="1280" spans="1:21" ht="12.75" customHeight="1">
      <c r="A1280" s="7">
        <v>143388701</v>
      </c>
      <c r="B1280" s="13">
        <v>5540246185562</v>
      </c>
      <c r="C1280" s="31">
        <v>44844</v>
      </c>
      <c r="D1280" s="8">
        <v>140</v>
      </c>
      <c r="E1280" s="14" t="str">
        <f>VLOOKUP(B1280, 'Catégorie des articles'!A:E, 4, FALSE)</f>
        <v>CREMERIE</v>
      </c>
      <c r="F1280" s="14">
        <f t="shared" si="19"/>
        <v>202210</v>
      </c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</row>
    <row r="1281" spans="1:21" ht="12.75" customHeight="1">
      <c r="A1281" s="7">
        <v>143388709</v>
      </c>
      <c r="B1281" s="13">
        <v>5540246171933</v>
      </c>
      <c r="C1281" s="31">
        <v>44843</v>
      </c>
      <c r="D1281" s="8">
        <v>1114</v>
      </c>
      <c r="E1281" s="14" t="str">
        <f>VLOOKUP(B1281, 'Catégorie des articles'!A:E, 4, FALSE)</f>
        <v>CREMERIE</v>
      </c>
      <c r="F1281" s="14">
        <f t="shared" si="19"/>
        <v>202210</v>
      </c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</row>
    <row r="1282" spans="1:21" ht="12.75" customHeight="1">
      <c r="A1282" s="10">
        <v>143388709</v>
      </c>
      <c r="B1282" s="15">
        <v>5540246176294</v>
      </c>
      <c r="C1282" s="32">
        <v>44843</v>
      </c>
      <c r="D1282" s="11">
        <v>1485</v>
      </c>
      <c r="E1282" s="14" t="str">
        <f>VLOOKUP(B1282, 'Catégorie des articles'!A:E, 4, FALSE)</f>
        <v>CREMERIE</v>
      </c>
      <c r="F1282" s="14">
        <f t="shared" ref="F1282:F1345" si="20">YEAR(C1282)*100 + MONTH(C1282)</f>
        <v>202210</v>
      </c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</row>
    <row r="1283" spans="1:21" ht="12.75" customHeight="1">
      <c r="A1283" s="7">
        <v>143388709</v>
      </c>
      <c r="B1283" s="13">
        <v>5540246176295</v>
      </c>
      <c r="C1283" s="31">
        <v>44843</v>
      </c>
      <c r="D1283" s="8">
        <v>7424</v>
      </c>
      <c r="E1283" s="14" t="str">
        <f>VLOOKUP(B1283, 'Catégorie des articles'!A:E, 4, FALSE)</f>
        <v>CREMERIE</v>
      </c>
      <c r="F1283" s="14">
        <f t="shared" si="20"/>
        <v>202210</v>
      </c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</row>
    <row r="1284" spans="1:21" ht="12.75" customHeight="1">
      <c r="A1284" s="7">
        <v>143388709</v>
      </c>
      <c r="B1284" s="13">
        <v>5540246187987</v>
      </c>
      <c r="C1284" s="31">
        <v>44843</v>
      </c>
      <c r="D1284" s="8">
        <v>4455</v>
      </c>
      <c r="E1284" s="14" t="str">
        <f>VLOOKUP(B1284, 'Catégorie des articles'!A:E, 4, FALSE)</f>
        <v>CREMERIE</v>
      </c>
      <c r="F1284" s="14">
        <f t="shared" si="20"/>
        <v>202210</v>
      </c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</row>
    <row r="1285" spans="1:21" ht="12.75" customHeight="1">
      <c r="A1285" s="7">
        <v>143388710</v>
      </c>
      <c r="B1285" s="13">
        <v>5540246172669</v>
      </c>
      <c r="C1285" s="31">
        <v>44843</v>
      </c>
      <c r="D1285" s="8">
        <v>140</v>
      </c>
      <c r="E1285" s="14" t="str">
        <f>VLOOKUP(B1285, 'Catégorie des articles'!A:E, 4, FALSE)</f>
        <v>CREMERIE</v>
      </c>
      <c r="F1285" s="14">
        <f t="shared" si="20"/>
        <v>202210</v>
      </c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</row>
    <row r="1286" spans="1:21" ht="12.75" customHeight="1">
      <c r="A1286" s="7">
        <v>143388710</v>
      </c>
      <c r="B1286" s="13">
        <v>5540246174174</v>
      </c>
      <c r="C1286" s="31">
        <v>44843</v>
      </c>
      <c r="D1286" s="8">
        <v>348</v>
      </c>
      <c r="E1286" s="14" t="str">
        <f>VLOOKUP(B1286, 'Catégorie des articles'!A:E, 4, FALSE)</f>
        <v>CREMERIE</v>
      </c>
      <c r="F1286" s="14">
        <f t="shared" si="20"/>
        <v>202210</v>
      </c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</row>
    <row r="1287" spans="1:21" ht="12.75" customHeight="1">
      <c r="A1287" s="7">
        <v>143388712</v>
      </c>
      <c r="B1287" s="13">
        <v>5540246191594</v>
      </c>
      <c r="C1287" s="31">
        <v>44844</v>
      </c>
      <c r="D1287" s="8">
        <v>1504</v>
      </c>
      <c r="E1287" s="14" t="str">
        <f>VLOOKUP(B1287, 'Catégorie des articles'!A:E, 4, FALSE)</f>
        <v>CREMERIE</v>
      </c>
      <c r="F1287" s="14">
        <f t="shared" si="20"/>
        <v>202210</v>
      </c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</row>
    <row r="1288" spans="1:21" ht="12.75" customHeight="1">
      <c r="A1288" s="10">
        <v>143388713</v>
      </c>
      <c r="B1288" s="15">
        <v>5540246175049</v>
      </c>
      <c r="C1288" s="32">
        <v>44849</v>
      </c>
      <c r="D1288" s="11">
        <v>836</v>
      </c>
      <c r="E1288" s="14" t="str">
        <f>VLOOKUP(B1288, 'Catégorie des articles'!A:E, 4, FALSE)</f>
        <v>CREMERIE</v>
      </c>
      <c r="F1288" s="14">
        <f t="shared" si="20"/>
        <v>202210</v>
      </c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</row>
    <row r="1289" spans="1:21" ht="12.75" customHeight="1">
      <c r="A1289" s="7">
        <v>143388713</v>
      </c>
      <c r="B1289" s="13">
        <v>5540246175050</v>
      </c>
      <c r="C1289" s="31">
        <v>44849</v>
      </c>
      <c r="D1289" s="8">
        <v>836</v>
      </c>
      <c r="E1289" s="14" t="str">
        <f>VLOOKUP(B1289, 'Catégorie des articles'!A:E, 4, FALSE)</f>
        <v>CREMERIE</v>
      </c>
      <c r="F1289" s="14">
        <f t="shared" si="20"/>
        <v>202210</v>
      </c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</row>
    <row r="1290" spans="1:21" ht="12.75" customHeight="1">
      <c r="A1290" s="10">
        <v>143388723</v>
      </c>
      <c r="B1290" s="15">
        <v>5540246183130</v>
      </c>
      <c r="C1290" s="32">
        <v>44849</v>
      </c>
      <c r="D1290" s="11">
        <v>1003</v>
      </c>
      <c r="E1290" s="14" t="str">
        <f>VLOOKUP(B1290, 'Catégorie des articles'!A:E, 4, FALSE)</f>
        <v>MIX LEGUMES</v>
      </c>
      <c r="F1290" s="14">
        <f t="shared" si="20"/>
        <v>202210</v>
      </c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</row>
    <row r="1291" spans="1:21" ht="12.75" customHeight="1">
      <c r="A1291" s="7">
        <v>143388723</v>
      </c>
      <c r="B1291" s="13">
        <v>5540246183537</v>
      </c>
      <c r="C1291" s="31">
        <v>44849</v>
      </c>
      <c r="D1291" s="8">
        <v>961</v>
      </c>
      <c r="E1291" s="14" t="str">
        <f>VLOOKUP(B1291, 'Catégorie des articles'!A:E, 4, FALSE)</f>
        <v>MIX LEGUMES</v>
      </c>
      <c r="F1291" s="14">
        <f t="shared" si="20"/>
        <v>202210</v>
      </c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</row>
    <row r="1292" spans="1:21" ht="12.75" customHeight="1">
      <c r="A1292" s="10">
        <v>143388723</v>
      </c>
      <c r="B1292" s="15">
        <v>5540246183538</v>
      </c>
      <c r="C1292" s="32">
        <v>44849</v>
      </c>
      <c r="D1292" s="11">
        <v>919</v>
      </c>
      <c r="E1292" s="14" t="str">
        <f>VLOOKUP(B1292, 'Catégorie des articles'!A:E, 4, FALSE)</f>
        <v>MIX LEGUMES</v>
      </c>
      <c r="F1292" s="14">
        <f t="shared" si="20"/>
        <v>202210</v>
      </c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</row>
    <row r="1293" spans="1:21" ht="12.75" customHeight="1">
      <c r="A1293" s="7">
        <v>143388723</v>
      </c>
      <c r="B1293" s="13">
        <v>5540246192571</v>
      </c>
      <c r="C1293" s="31">
        <v>44849</v>
      </c>
      <c r="D1293" s="8">
        <v>1212</v>
      </c>
      <c r="E1293" s="14" t="str">
        <f>VLOOKUP(B1293, 'Catégorie des articles'!A:E, 4, FALSE)</f>
        <v>MIX LEGUMES</v>
      </c>
      <c r="F1293" s="14">
        <f t="shared" si="20"/>
        <v>202210</v>
      </c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</row>
    <row r="1294" spans="1:21" ht="12.75" customHeight="1">
      <c r="A1294" s="10">
        <v>143388726</v>
      </c>
      <c r="B1294" s="15">
        <v>5540246180522</v>
      </c>
      <c r="C1294" s="32">
        <v>44854</v>
      </c>
      <c r="D1294" s="11">
        <v>1225</v>
      </c>
      <c r="E1294" s="14" t="str">
        <f>VLOOKUP(B1294, 'Catégorie des articles'!A:E, 4, FALSE)</f>
        <v>BOULANGERIE</v>
      </c>
      <c r="F1294" s="14">
        <f t="shared" si="20"/>
        <v>202210</v>
      </c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</row>
    <row r="1295" spans="1:21" ht="12.75" customHeight="1">
      <c r="A1295" s="7">
        <v>143388727</v>
      </c>
      <c r="B1295" s="13">
        <v>5540246177376</v>
      </c>
      <c r="C1295" s="31">
        <v>44856</v>
      </c>
      <c r="D1295" s="8">
        <v>1253</v>
      </c>
      <c r="E1295" s="14" t="str">
        <f>VLOOKUP(B1295, 'Catégorie des articles'!A:E, 4, FALSE)</f>
        <v>BOULANGERIE</v>
      </c>
      <c r="F1295" s="14">
        <f t="shared" si="20"/>
        <v>202210</v>
      </c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</row>
    <row r="1296" spans="1:21" ht="12.75" customHeight="1">
      <c r="A1296" s="10">
        <v>143388728</v>
      </c>
      <c r="B1296" s="15">
        <v>5540246191596</v>
      </c>
      <c r="C1296" s="32">
        <v>44850</v>
      </c>
      <c r="D1296" s="11">
        <v>297</v>
      </c>
      <c r="E1296" s="14" t="str">
        <f>VLOOKUP(B1296, 'Catégorie des articles'!A:E, 4, FALSE)</f>
        <v>BOULANGERIE</v>
      </c>
      <c r="F1296" s="14">
        <f t="shared" si="20"/>
        <v>202210</v>
      </c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</row>
    <row r="1297" spans="1:21" ht="12.75" customHeight="1">
      <c r="A1297" s="10">
        <v>143388739</v>
      </c>
      <c r="B1297" s="15">
        <v>5540246192571</v>
      </c>
      <c r="C1297" s="32">
        <v>44845</v>
      </c>
      <c r="D1297" s="11">
        <v>669</v>
      </c>
      <c r="E1297" s="14" t="str">
        <f>VLOOKUP(B1297, 'Catégorie des articles'!A:E, 4, FALSE)</f>
        <v>MIX LEGUMES</v>
      </c>
      <c r="F1297" s="14">
        <f t="shared" si="20"/>
        <v>202210</v>
      </c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</row>
    <row r="1298" spans="1:21" ht="12.75" customHeight="1">
      <c r="A1298" s="7">
        <v>143388744</v>
      </c>
      <c r="B1298" s="13">
        <v>5540246194632</v>
      </c>
      <c r="C1298" s="31">
        <v>44851</v>
      </c>
      <c r="D1298" s="8">
        <v>1170</v>
      </c>
      <c r="E1298" s="14" t="str">
        <f>VLOOKUP(B1298, 'Catégorie des articles'!A:E, 4, FALSE)</f>
        <v>BOULANGERIE</v>
      </c>
      <c r="F1298" s="14">
        <f t="shared" si="20"/>
        <v>202210</v>
      </c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</row>
    <row r="1299" spans="1:21" ht="12.75" customHeight="1">
      <c r="A1299" s="10">
        <v>143388744</v>
      </c>
      <c r="B1299" s="15">
        <v>5540246195250</v>
      </c>
      <c r="C1299" s="32">
        <v>44851</v>
      </c>
      <c r="D1299" s="11">
        <v>168</v>
      </c>
      <c r="E1299" s="14" t="str">
        <f>VLOOKUP(B1299, 'Catégorie des articles'!A:E, 4, FALSE)</f>
        <v>BOULANGERIE</v>
      </c>
      <c r="F1299" s="14">
        <f t="shared" si="20"/>
        <v>202210</v>
      </c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</row>
    <row r="1300" spans="1:21" ht="12.75" customHeight="1">
      <c r="A1300" s="7">
        <v>143388748</v>
      </c>
      <c r="B1300" s="13">
        <v>5540246173906</v>
      </c>
      <c r="C1300" s="31">
        <v>44851</v>
      </c>
      <c r="D1300" s="8">
        <v>3267</v>
      </c>
      <c r="E1300" s="14" t="str">
        <f>VLOOKUP(B1300, 'Catégorie des articles'!A:E, 4, FALSE)</f>
        <v>VOLAILLE</v>
      </c>
      <c r="F1300" s="14">
        <f t="shared" si="20"/>
        <v>202210</v>
      </c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</row>
    <row r="1301" spans="1:21" ht="12.75" customHeight="1">
      <c r="A1301" s="10">
        <v>143388748</v>
      </c>
      <c r="B1301" s="15">
        <v>5540246181016</v>
      </c>
      <c r="C1301" s="32">
        <v>44851</v>
      </c>
      <c r="D1301" s="11">
        <v>9800</v>
      </c>
      <c r="E1301" s="14" t="str">
        <f>VLOOKUP(B1301, 'Catégorie des articles'!A:E, 4, FALSE)</f>
        <v>VOLAILLE</v>
      </c>
      <c r="F1301" s="14">
        <f t="shared" si="20"/>
        <v>202210</v>
      </c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</row>
    <row r="1302" spans="1:21" ht="12.75" customHeight="1">
      <c r="A1302" s="7">
        <v>143388753</v>
      </c>
      <c r="B1302" s="13">
        <v>5540246188224</v>
      </c>
      <c r="C1302" s="31">
        <v>44856</v>
      </c>
      <c r="D1302" s="8">
        <v>1810</v>
      </c>
      <c r="E1302" s="14" t="str">
        <f>VLOOKUP(B1302, 'Catégorie des articles'!A:E, 4, FALSE)</f>
        <v>VOLAILLE</v>
      </c>
      <c r="F1302" s="14">
        <f t="shared" si="20"/>
        <v>202210</v>
      </c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</row>
    <row r="1303" spans="1:21" ht="12.75" customHeight="1">
      <c r="A1303" s="10">
        <v>143388760</v>
      </c>
      <c r="B1303" s="15">
        <v>5540246171933</v>
      </c>
      <c r="C1303" s="32">
        <v>44844</v>
      </c>
      <c r="D1303" s="11">
        <v>1114</v>
      </c>
      <c r="E1303" s="14" t="str">
        <f>VLOOKUP(B1303, 'Catégorie des articles'!A:E, 4, FALSE)</f>
        <v>CREMERIE</v>
      </c>
      <c r="F1303" s="14">
        <f t="shared" si="20"/>
        <v>202210</v>
      </c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</row>
    <row r="1304" spans="1:21" ht="12.75" customHeight="1">
      <c r="A1304" s="7">
        <v>143388760</v>
      </c>
      <c r="B1304" s="13">
        <v>5540246176294</v>
      </c>
      <c r="C1304" s="31">
        <v>44844</v>
      </c>
      <c r="D1304" s="8">
        <v>2970</v>
      </c>
      <c r="E1304" s="14" t="str">
        <f>VLOOKUP(B1304, 'Catégorie des articles'!A:E, 4, FALSE)</f>
        <v>CREMERIE</v>
      </c>
      <c r="F1304" s="14">
        <f t="shared" si="20"/>
        <v>202210</v>
      </c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</row>
    <row r="1305" spans="1:21" ht="12.75" customHeight="1">
      <c r="A1305" s="10">
        <v>143388760</v>
      </c>
      <c r="B1305" s="15">
        <v>5540246176295</v>
      </c>
      <c r="C1305" s="32">
        <v>44844</v>
      </c>
      <c r="D1305" s="11">
        <v>8761</v>
      </c>
      <c r="E1305" s="14" t="str">
        <f>VLOOKUP(B1305, 'Catégorie des articles'!A:E, 4, FALSE)</f>
        <v>CREMERIE</v>
      </c>
      <c r="F1305" s="14">
        <f t="shared" si="20"/>
        <v>202210</v>
      </c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</row>
    <row r="1306" spans="1:21" ht="12.75" customHeight="1">
      <c r="A1306" s="10">
        <v>143388760</v>
      </c>
      <c r="B1306" s="15">
        <v>5540246187987</v>
      </c>
      <c r="C1306" s="32">
        <v>44844</v>
      </c>
      <c r="D1306" s="11">
        <v>8909</v>
      </c>
      <c r="E1306" s="14" t="str">
        <f>VLOOKUP(B1306, 'Catégorie des articles'!A:E, 4, FALSE)</f>
        <v>CREMERIE</v>
      </c>
      <c r="F1306" s="14">
        <f t="shared" si="20"/>
        <v>202210</v>
      </c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</row>
    <row r="1307" spans="1:21" ht="12.75" customHeight="1">
      <c r="A1307" s="7">
        <v>143388760</v>
      </c>
      <c r="B1307" s="13">
        <v>5540246188200</v>
      </c>
      <c r="C1307" s="31">
        <v>44844</v>
      </c>
      <c r="D1307" s="8">
        <v>2228</v>
      </c>
      <c r="E1307" s="14" t="str">
        <f>VLOOKUP(B1307, 'Catégorie des articles'!A:E, 4, FALSE)</f>
        <v>CREMERIE</v>
      </c>
      <c r="F1307" s="14">
        <f t="shared" si="20"/>
        <v>202210</v>
      </c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</row>
    <row r="1308" spans="1:21" ht="12.75" customHeight="1">
      <c r="A1308" s="7">
        <v>143388762</v>
      </c>
      <c r="B1308" s="13">
        <v>5540246172978</v>
      </c>
      <c r="C1308" s="31">
        <v>44844</v>
      </c>
      <c r="D1308" s="8">
        <v>2506</v>
      </c>
      <c r="E1308" s="14" t="str">
        <f>VLOOKUP(B1308, 'Catégorie des articles'!A:E, 4, FALSE)</f>
        <v>CREMERIE</v>
      </c>
      <c r="F1308" s="14">
        <f t="shared" si="20"/>
        <v>202210</v>
      </c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</row>
    <row r="1309" spans="1:21" ht="12.75" customHeight="1">
      <c r="A1309" s="10">
        <v>143388762</v>
      </c>
      <c r="B1309" s="15">
        <v>5540246174174</v>
      </c>
      <c r="C1309" s="32">
        <v>44844</v>
      </c>
      <c r="D1309" s="11">
        <v>232</v>
      </c>
      <c r="E1309" s="14" t="str">
        <f>VLOOKUP(B1309, 'Catégorie des articles'!A:E, 4, FALSE)</f>
        <v>CREMERIE</v>
      </c>
      <c r="F1309" s="14">
        <f t="shared" si="20"/>
        <v>202210</v>
      </c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</row>
    <row r="1310" spans="1:21" ht="12.75" customHeight="1">
      <c r="A1310" s="10">
        <v>143388762</v>
      </c>
      <c r="B1310" s="15">
        <v>5540246176699</v>
      </c>
      <c r="C1310" s="32">
        <v>44844</v>
      </c>
      <c r="D1310" s="11">
        <v>4176</v>
      </c>
      <c r="E1310" s="14" t="str">
        <f>VLOOKUP(B1310, 'Catégorie des articles'!A:E, 4, FALSE)</f>
        <v>CREMERIE</v>
      </c>
      <c r="F1310" s="14">
        <f t="shared" si="20"/>
        <v>202210</v>
      </c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</row>
    <row r="1311" spans="1:21" ht="12.75" customHeight="1">
      <c r="A1311" s="10">
        <v>143388762</v>
      </c>
      <c r="B1311" s="15">
        <v>5540246188175</v>
      </c>
      <c r="C1311" s="32">
        <v>44844</v>
      </c>
      <c r="D1311" s="11">
        <v>464</v>
      </c>
      <c r="E1311" s="14" t="str">
        <f>VLOOKUP(B1311, 'Catégorie des articles'!A:E, 4, FALSE)</f>
        <v>CREMERIE</v>
      </c>
      <c r="F1311" s="14">
        <f t="shared" si="20"/>
        <v>202210</v>
      </c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</row>
    <row r="1312" spans="1:21" ht="12.75" customHeight="1">
      <c r="A1312" s="10">
        <v>143388762</v>
      </c>
      <c r="B1312" s="15">
        <v>5540246192102</v>
      </c>
      <c r="C1312" s="32">
        <v>44844</v>
      </c>
      <c r="D1312" s="11">
        <v>4009</v>
      </c>
      <c r="E1312" s="14" t="str">
        <f>VLOOKUP(B1312, 'Catégorie des articles'!A:E, 4, FALSE)</f>
        <v>CREMERIE</v>
      </c>
      <c r="F1312" s="14">
        <f t="shared" si="20"/>
        <v>202210</v>
      </c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</row>
    <row r="1313" spans="1:21" ht="12.75" customHeight="1">
      <c r="A1313" s="7">
        <v>143388800</v>
      </c>
      <c r="B1313" s="13">
        <v>5540246170256</v>
      </c>
      <c r="C1313" s="31">
        <v>44857</v>
      </c>
      <c r="D1313" s="8">
        <v>2822</v>
      </c>
      <c r="E1313" s="14" t="str">
        <f>VLOOKUP(B1313, 'Catégorie des articles'!A:E, 4, FALSE)</f>
        <v>BOULANGERIE</v>
      </c>
      <c r="F1313" s="14">
        <f t="shared" si="20"/>
        <v>202210</v>
      </c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</row>
    <row r="1314" spans="1:21" ht="12.75" customHeight="1">
      <c r="A1314" s="10">
        <v>143388800</v>
      </c>
      <c r="B1314" s="15">
        <v>5540246171888</v>
      </c>
      <c r="C1314" s="32">
        <v>44857</v>
      </c>
      <c r="D1314" s="11">
        <v>780</v>
      </c>
      <c r="E1314" s="14" t="str">
        <f>VLOOKUP(B1314, 'Catégorie des articles'!A:E, 4, FALSE)</f>
        <v>BOULANGERIE</v>
      </c>
      <c r="F1314" s="14">
        <f t="shared" si="20"/>
        <v>202210</v>
      </c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</row>
    <row r="1315" spans="1:21" ht="12.75" customHeight="1">
      <c r="A1315" s="10">
        <v>143388802</v>
      </c>
      <c r="B1315" s="15">
        <v>5540246171933</v>
      </c>
      <c r="C1315" s="32">
        <v>44848</v>
      </c>
      <c r="D1315" s="11">
        <v>1114</v>
      </c>
      <c r="E1315" s="14" t="str">
        <f>VLOOKUP(B1315, 'Catégorie des articles'!A:E, 4, FALSE)</f>
        <v>CREMERIE</v>
      </c>
      <c r="F1315" s="14">
        <f t="shared" si="20"/>
        <v>202210</v>
      </c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</row>
    <row r="1316" spans="1:21" ht="12.75" customHeight="1">
      <c r="A1316" s="10">
        <v>143388802</v>
      </c>
      <c r="B1316" s="15">
        <v>5540246187987</v>
      </c>
      <c r="C1316" s="32">
        <v>44848</v>
      </c>
      <c r="D1316" s="11">
        <v>6682</v>
      </c>
      <c r="E1316" s="14" t="str">
        <f>VLOOKUP(B1316, 'Catégorie des articles'!A:E, 4, FALSE)</f>
        <v>CREMERIE</v>
      </c>
      <c r="F1316" s="14">
        <f t="shared" si="20"/>
        <v>202210</v>
      </c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</row>
    <row r="1317" spans="1:21" ht="12.75" customHeight="1">
      <c r="A1317" s="7">
        <v>143388802</v>
      </c>
      <c r="B1317" s="13">
        <v>5540246188200</v>
      </c>
      <c r="C1317" s="31">
        <v>44848</v>
      </c>
      <c r="D1317" s="8">
        <v>743</v>
      </c>
      <c r="E1317" s="14" t="str">
        <f>VLOOKUP(B1317, 'Catégorie des articles'!A:E, 4, FALSE)</f>
        <v>CREMERIE</v>
      </c>
      <c r="F1317" s="14">
        <f t="shared" si="20"/>
        <v>202210</v>
      </c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</row>
    <row r="1318" spans="1:21" ht="12.75" customHeight="1">
      <c r="A1318" s="10">
        <v>143388803</v>
      </c>
      <c r="B1318" s="15">
        <v>5540246172669</v>
      </c>
      <c r="C1318" s="32">
        <v>44848</v>
      </c>
      <c r="D1318" s="11">
        <v>418</v>
      </c>
      <c r="E1318" s="14" t="str">
        <f>VLOOKUP(B1318, 'Catégorie des articles'!A:E, 4, FALSE)</f>
        <v>CREMERIE</v>
      </c>
      <c r="F1318" s="14">
        <f t="shared" si="20"/>
        <v>202210</v>
      </c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</row>
    <row r="1319" spans="1:21" ht="12.75" customHeight="1">
      <c r="A1319" s="7">
        <v>143388803</v>
      </c>
      <c r="B1319" s="13">
        <v>5540246172978</v>
      </c>
      <c r="C1319" s="31">
        <v>44848</v>
      </c>
      <c r="D1319" s="8">
        <v>1671</v>
      </c>
      <c r="E1319" s="14" t="str">
        <f>VLOOKUP(B1319, 'Catégorie des articles'!A:E, 4, FALSE)</f>
        <v>CREMERIE</v>
      </c>
      <c r="F1319" s="14">
        <f t="shared" si="20"/>
        <v>202210</v>
      </c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</row>
    <row r="1320" spans="1:21" ht="12.75" customHeight="1">
      <c r="A1320" s="10">
        <v>143388803</v>
      </c>
      <c r="B1320" s="15">
        <v>5540246174174</v>
      </c>
      <c r="C1320" s="32">
        <v>44848</v>
      </c>
      <c r="D1320" s="11">
        <v>232</v>
      </c>
      <c r="E1320" s="14" t="str">
        <f>VLOOKUP(B1320, 'Catégorie des articles'!A:E, 4, FALSE)</f>
        <v>CREMERIE</v>
      </c>
      <c r="F1320" s="14">
        <f t="shared" si="20"/>
        <v>202210</v>
      </c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</row>
    <row r="1321" spans="1:21" ht="12.75" customHeight="1">
      <c r="A1321" s="10">
        <v>143388803</v>
      </c>
      <c r="B1321" s="15">
        <v>5540246176699</v>
      </c>
      <c r="C1321" s="32">
        <v>44848</v>
      </c>
      <c r="D1321" s="11">
        <v>8352</v>
      </c>
      <c r="E1321" s="14" t="str">
        <f>VLOOKUP(B1321, 'Catégorie des articles'!A:E, 4, FALSE)</f>
        <v>CREMERIE</v>
      </c>
      <c r="F1321" s="14">
        <f t="shared" si="20"/>
        <v>202210</v>
      </c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</row>
    <row r="1322" spans="1:21" ht="12.75" customHeight="1">
      <c r="A1322" s="10">
        <v>143388803</v>
      </c>
      <c r="B1322" s="15">
        <v>5540246192102</v>
      </c>
      <c r="C1322" s="32">
        <v>44848</v>
      </c>
      <c r="D1322" s="11">
        <v>2005</v>
      </c>
      <c r="E1322" s="14" t="str">
        <f>VLOOKUP(B1322, 'Catégorie des articles'!A:E, 4, FALSE)</f>
        <v>CREMERIE</v>
      </c>
      <c r="F1322" s="14">
        <f t="shared" si="20"/>
        <v>202210</v>
      </c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</row>
    <row r="1323" spans="1:21" ht="12.75" customHeight="1">
      <c r="A1323" s="7">
        <v>143388806</v>
      </c>
      <c r="B1323" s="13">
        <v>5540246173472</v>
      </c>
      <c r="C1323" s="31">
        <v>44854</v>
      </c>
      <c r="D1323" s="8">
        <v>418</v>
      </c>
      <c r="E1323" s="14" t="str">
        <f>VLOOKUP(B1323, 'Catégorie des articles'!A:E, 4, FALSE)</f>
        <v>CREMERIE</v>
      </c>
      <c r="F1323" s="14">
        <f t="shared" si="20"/>
        <v>202210</v>
      </c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</row>
    <row r="1324" spans="1:21" ht="12.75" customHeight="1">
      <c r="A1324" s="10">
        <v>143388806</v>
      </c>
      <c r="B1324" s="15">
        <v>5540246174095</v>
      </c>
      <c r="C1324" s="32">
        <v>44854</v>
      </c>
      <c r="D1324" s="11">
        <v>140</v>
      </c>
      <c r="E1324" s="14" t="str">
        <f>VLOOKUP(B1324, 'Catégorie des articles'!A:E, 4, FALSE)</f>
        <v>CREMERIE</v>
      </c>
      <c r="F1324" s="14">
        <f t="shared" si="20"/>
        <v>202210</v>
      </c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</row>
    <row r="1325" spans="1:21" ht="12.75" customHeight="1">
      <c r="A1325" s="7">
        <v>143388806</v>
      </c>
      <c r="B1325" s="13">
        <v>5540246175047</v>
      </c>
      <c r="C1325" s="31">
        <v>44854</v>
      </c>
      <c r="D1325" s="8">
        <v>279</v>
      </c>
      <c r="E1325" s="14" t="str">
        <f>VLOOKUP(B1325, 'Catégorie des articles'!A:E, 4, FALSE)</f>
        <v>CREMERIE</v>
      </c>
      <c r="F1325" s="14">
        <f t="shared" si="20"/>
        <v>202210</v>
      </c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</row>
    <row r="1326" spans="1:21" ht="12.75" customHeight="1">
      <c r="A1326" s="10">
        <v>143388806</v>
      </c>
      <c r="B1326" s="15">
        <v>5540246175049</v>
      </c>
      <c r="C1326" s="32">
        <v>44854</v>
      </c>
      <c r="D1326" s="11">
        <v>1114</v>
      </c>
      <c r="E1326" s="14" t="str">
        <f>VLOOKUP(B1326, 'Catégorie des articles'!A:E, 4, FALSE)</f>
        <v>CREMERIE</v>
      </c>
      <c r="F1326" s="14">
        <f t="shared" si="20"/>
        <v>202210</v>
      </c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</row>
    <row r="1327" spans="1:21" ht="12.75" customHeight="1">
      <c r="A1327" s="7">
        <v>143388806</v>
      </c>
      <c r="B1327" s="13">
        <v>5540246175050</v>
      </c>
      <c r="C1327" s="31">
        <v>44854</v>
      </c>
      <c r="D1327" s="8">
        <v>836</v>
      </c>
      <c r="E1327" s="14" t="str">
        <f>VLOOKUP(B1327, 'Catégorie des articles'!A:E, 4, FALSE)</f>
        <v>CREMERIE</v>
      </c>
      <c r="F1327" s="14">
        <f t="shared" si="20"/>
        <v>202210</v>
      </c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</row>
    <row r="1328" spans="1:21" ht="12.75" customHeight="1">
      <c r="A1328" s="10">
        <v>143388806</v>
      </c>
      <c r="B1328" s="15">
        <v>5540246190743</v>
      </c>
      <c r="C1328" s="32">
        <v>44854</v>
      </c>
      <c r="D1328" s="11">
        <v>279</v>
      </c>
      <c r="E1328" s="14" t="str">
        <f>VLOOKUP(B1328, 'Catégorie des articles'!A:E, 4, FALSE)</f>
        <v>CREMERIE</v>
      </c>
      <c r="F1328" s="14">
        <f t="shared" si="20"/>
        <v>202210</v>
      </c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</row>
    <row r="1329" spans="1:21" ht="12.75" customHeight="1">
      <c r="A1329" s="7">
        <v>143388818</v>
      </c>
      <c r="B1329" s="13">
        <v>5540246195943</v>
      </c>
      <c r="C1329" s="31">
        <v>44854</v>
      </c>
      <c r="D1329" s="8">
        <v>232</v>
      </c>
      <c r="E1329" s="14" t="str">
        <f>VLOOKUP(B1329, 'Catégorie des articles'!A:E, 4, FALSE)</f>
        <v>CREMERIE</v>
      </c>
      <c r="F1329" s="14">
        <f t="shared" si="20"/>
        <v>202210</v>
      </c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</row>
    <row r="1330" spans="1:21" ht="12.75" customHeight="1">
      <c r="A1330" s="10">
        <v>143388818</v>
      </c>
      <c r="B1330" s="15">
        <v>5540246195944</v>
      </c>
      <c r="C1330" s="32">
        <v>44854</v>
      </c>
      <c r="D1330" s="11">
        <v>928</v>
      </c>
      <c r="E1330" s="14" t="str">
        <f>VLOOKUP(B1330, 'Catégorie des articles'!A:E, 4, FALSE)</f>
        <v>CREMERIE</v>
      </c>
      <c r="F1330" s="14">
        <f t="shared" si="20"/>
        <v>202210</v>
      </c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</row>
    <row r="1331" spans="1:21" ht="12.75" customHeight="1">
      <c r="A1331" s="7">
        <v>143388819</v>
      </c>
      <c r="B1331" s="13">
        <v>5540246195943</v>
      </c>
      <c r="C1331" s="31">
        <v>44870</v>
      </c>
      <c r="D1331" s="8">
        <v>1184</v>
      </c>
      <c r="E1331" s="14" t="str">
        <f>VLOOKUP(B1331, 'Catégorie des articles'!A:E, 4, FALSE)</f>
        <v>CREMERIE</v>
      </c>
      <c r="F1331" s="14">
        <f t="shared" si="20"/>
        <v>202211</v>
      </c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</row>
    <row r="1332" spans="1:21" ht="12.75" customHeight="1">
      <c r="A1332" s="10">
        <v>143388819</v>
      </c>
      <c r="B1332" s="15">
        <v>5540246195944</v>
      </c>
      <c r="C1332" s="32">
        <v>44870</v>
      </c>
      <c r="D1332" s="11">
        <v>464</v>
      </c>
      <c r="E1332" s="14" t="str">
        <f>VLOOKUP(B1332, 'Catégorie des articles'!A:E, 4, FALSE)</f>
        <v>CREMERIE</v>
      </c>
      <c r="F1332" s="14">
        <f t="shared" si="20"/>
        <v>202211</v>
      </c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</row>
    <row r="1333" spans="1:21" ht="12.75" customHeight="1">
      <c r="A1333" s="10">
        <v>143388821</v>
      </c>
      <c r="B1333" s="15">
        <v>5540246181061</v>
      </c>
      <c r="C1333" s="32">
        <v>44850</v>
      </c>
      <c r="D1333" s="11">
        <v>4410</v>
      </c>
      <c r="E1333" s="14" t="str">
        <f>VLOOKUP(B1333, 'Catégorie des articles'!A:E, 4, FALSE)</f>
        <v>VOLAILLE</v>
      </c>
      <c r="F1333" s="14">
        <f t="shared" si="20"/>
        <v>202210</v>
      </c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</row>
    <row r="1334" spans="1:21" ht="12.75" customHeight="1">
      <c r="A1334" s="7">
        <v>143388821</v>
      </c>
      <c r="B1334" s="13">
        <v>5540246183547</v>
      </c>
      <c r="C1334" s="31">
        <v>44850</v>
      </c>
      <c r="D1334" s="8">
        <v>6682</v>
      </c>
      <c r="E1334" s="14" t="str">
        <f>VLOOKUP(B1334, 'Catégorie des articles'!A:E, 4, FALSE)</f>
        <v>VOLAILLE</v>
      </c>
      <c r="F1334" s="14">
        <f t="shared" si="20"/>
        <v>202210</v>
      </c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</row>
    <row r="1335" spans="1:21" ht="12.75" customHeight="1">
      <c r="A1335" s="10">
        <v>143388821</v>
      </c>
      <c r="B1335" s="15">
        <v>5540246185278</v>
      </c>
      <c r="C1335" s="32">
        <v>44850</v>
      </c>
      <c r="D1335" s="11">
        <v>2239</v>
      </c>
      <c r="E1335" s="14" t="str">
        <f>VLOOKUP(B1335, 'Catégorie des articles'!A:E, 4, FALSE)</f>
        <v>VOLAILLE</v>
      </c>
      <c r="F1335" s="14">
        <f t="shared" si="20"/>
        <v>202210</v>
      </c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</row>
    <row r="1336" spans="1:21" ht="12.75" customHeight="1">
      <c r="A1336" s="7">
        <v>143388822</v>
      </c>
      <c r="B1336" s="13">
        <v>5540246193316</v>
      </c>
      <c r="C1336" s="31">
        <v>44870</v>
      </c>
      <c r="D1336" s="8">
        <v>335</v>
      </c>
      <c r="E1336" s="14" t="str">
        <f>VLOOKUP(B1336, 'Catégorie des articles'!A:E, 4, FALSE)</f>
        <v>BOULANGERIE</v>
      </c>
      <c r="F1336" s="14">
        <f t="shared" si="20"/>
        <v>202211</v>
      </c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</row>
    <row r="1337" spans="1:21" ht="12.75" customHeight="1">
      <c r="A1337" s="7">
        <v>143388827</v>
      </c>
      <c r="B1337" s="13">
        <v>5540246177133</v>
      </c>
      <c r="C1337" s="31">
        <v>44851</v>
      </c>
      <c r="D1337" s="8">
        <v>6682</v>
      </c>
      <c r="E1337" s="14" t="str">
        <f>VLOOKUP(B1337, 'Catégorie des articles'!A:E, 4, FALSE)</f>
        <v>MIX LEGUMES</v>
      </c>
      <c r="F1337" s="14">
        <f t="shared" si="20"/>
        <v>202210</v>
      </c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</row>
    <row r="1338" spans="1:21" ht="12.75" customHeight="1">
      <c r="A1338" s="10">
        <v>143388827</v>
      </c>
      <c r="B1338" s="15">
        <v>5540246192148</v>
      </c>
      <c r="C1338" s="32">
        <v>44851</v>
      </c>
      <c r="D1338" s="11">
        <v>13920</v>
      </c>
      <c r="E1338" s="14" t="str">
        <f>VLOOKUP(B1338, 'Catégorie des articles'!A:E, 4, FALSE)</f>
        <v>MIX LEGUMES</v>
      </c>
      <c r="F1338" s="14">
        <f t="shared" si="20"/>
        <v>202210</v>
      </c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</row>
    <row r="1339" spans="1:21" ht="12.75" customHeight="1">
      <c r="A1339" s="7">
        <v>143388827</v>
      </c>
      <c r="B1339" s="13">
        <v>5540246192518</v>
      </c>
      <c r="C1339" s="31">
        <v>44851</v>
      </c>
      <c r="D1339" s="8">
        <v>4385</v>
      </c>
      <c r="E1339" s="14" t="str">
        <f>VLOOKUP(B1339, 'Catégorie des articles'!A:E, 4, FALSE)</f>
        <v>MIX LEGUMES</v>
      </c>
      <c r="F1339" s="14">
        <f t="shared" si="20"/>
        <v>202210</v>
      </c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</row>
    <row r="1340" spans="1:21" ht="12.75" customHeight="1">
      <c r="A1340" s="7">
        <v>143388828</v>
      </c>
      <c r="B1340" s="13">
        <v>5540246194632</v>
      </c>
      <c r="C1340" s="31">
        <v>44855</v>
      </c>
      <c r="D1340" s="8">
        <v>1337</v>
      </c>
      <c r="E1340" s="14" t="str">
        <f>VLOOKUP(B1340, 'Catégorie des articles'!A:E, 4, FALSE)</f>
        <v>BOULANGERIE</v>
      </c>
      <c r="F1340" s="14">
        <f t="shared" si="20"/>
        <v>202210</v>
      </c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</row>
    <row r="1341" spans="1:21" ht="12.75" customHeight="1">
      <c r="A1341" s="10">
        <v>143388837</v>
      </c>
      <c r="B1341" s="15">
        <v>5540246183558</v>
      </c>
      <c r="C1341" s="32">
        <v>44858</v>
      </c>
      <c r="D1341" s="11">
        <v>2599</v>
      </c>
      <c r="E1341" s="14" t="str">
        <f>VLOOKUP(B1341, 'Catégorie des articles'!A:E, 4, FALSE)</f>
        <v>MIX LEGUMES</v>
      </c>
      <c r="F1341" s="14">
        <f t="shared" si="20"/>
        <v>202210</v>
      </c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</row>
    <row r="1342" spans="1:21" ht="12.75" customHeight="1">
      <c r="A1342" s="7">
        <v>143388837</v>
      </c>
      <c r="B1342" s="13">
        <v>5540246183560</v>
      </c>
      <c r="C1342" s="31">
        <v>44858</v>
      </c>
      <c r="D1342" s="8">
        <v>223</v>
      </c>
      <c r="E1342" s="14" t="str">
        <f>VLOOKUP(B1342, 'Catégorie des articles'!A:E, 4, FALSE)</f>
        <v>MIX LEGUMES</v>
      </c>
      <c r="F1342" s="14">
        <f t="shared" si="20"/>
        <v>202210</v>
      </c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</row>
    <row r="1343" spans="1:21" ht="12.75" customHeight="1">
      <c r="A1343" s="10">
        <v>143388837</v>
      </c>
      <c r="B1343" s="15">
        <v>5540246192209</v>
      </c>
      <c r="C1343" s="32">
        <v>44858</v>
      </c>
      <c r="D1343" s="11">
        <v>2228</v>
      </c>
      <c r="E1343" s="14" t="str">
        <f>VLOOKUP(B1343, 'Catégorie des articles'!A:E, 4, FALSE)</f>
        <v>MIX LEGUMES</v>
      </c>
      <c r="F1343" s="14">
        <f t="shared" si="20"/>
        <v>202210</v>
      </c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</row>
    <row r="1344" spans="1:21" ht="12.75" customHeight="1">
      <c r="A1344" s="7">
        <v>143388837</v>
      </c>
      <c r="B1344" s="13">
        <v>5540246192462</v>
      </c>
      <c r="C1344" s="31">
        <v>44858</v>
      </c>
      <c r="D1344" s="8">
        <v>1114</v>
      </c>
      <c r="E1344" s="14" t="str">
        <f>VLOOKUP(B1344, 'Catégorie des articles'!A:E, 4, FALSE)</f>
        <v>MIX LEGUMES</v>
      </c>
      <c r="F1344" s="14">
        <f t="shared" si="20"/>
        <v>202210</v>
      </c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</row>
    <row r="1345" spans="1:21" ht="12.75" customHeight="1">
      <c r="A1345" s="10">
        <v>143388837</v>
      </c>
      <c r="B1345" s="15">
        <v>5540246192831</v>
      </c>
      <c r="C1345" s="32">
        <v>44858</v>
      </c>
      <c r="D1345" s="11">
        <v>2599</v>
      </c>
      <c r="E1345" s="14" t="str">
        <f>VLOOKUP(B1345, 'Catégorie des articles'!A:E, 4, FALSE)</f>
        <v>MIX LEGUMES</v>
      </c>
      <c r="F1345" s="14">
        <f t="shared" si="20"/>
        <v>202210</v>
      </c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</row>
    <row r="1346" spans="1:21" ht="12.75" customHeight="1">
      <c r="A1346" s="10">
        <v>143388848</v>
      </c>
      <c r="B1346" s="15">
        <v>5540246172978</v>
      </c>
      <c r="C1346" s="32">
        <v>44849</v>
      </c>
      <c r="D1346" s="11">
        <v>1671</v>
      </c>
      <c r="E1346" s="14" t="str">
        <f>VLOOKUP(B1346, 'Catégorie des articles'!A:E, 4, FALSE)</f>
        <v>CREMERIE</v>
      </c>
      <c r="F1346" s="14">
        <f t="shared" ref="F1346:F1409" si="21">YEAR(C1346)*100 + MONTH(C1346)</f>
        <v>202210</v>
      </c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</row>
    <row r="1347" spans="1:21" ht="12.75" customHeight="1">
      <c r="A1347" s="7">
        <v>143388848</v>
      </c>
      <c r="B1347" s="13">
        <v>5540246174174</v>
      </c>
      <c r="C1347" s="31">
        <v>44849</v>
      </c>
      <c r="D1347" s="8">
        <v>232</v>
      </c>
      <c r="E1347" s="14" t="str">
        <f>VLOOKUP(B1347, 'Catégorie des articles'!A:E, 4, FALSE)</f>
        <v>CREMERIE</v>
      </c>
      <c r="F1347" s="14">
        <f t="shared" si="21"/>
        <v>202210</v>
      </c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</row>
    <row r="1348" spans="1:21" ht="12.75" customHeight="1">
      <c r="A1348" s="10">
        <v>143388850</v>
      </c>
      <c r="B1348" s="15">
        <v>5540246171933</v>
      </c>
      <c r="C1348" s="32">
        <v>44849</v>
      </c>
      <c r="D1348" s="11">
        <v>1114</v>
      </c>
      <c r="E1348" s="14" t="str">
        <f>VLOOKUP(B1348, 'Catégorie des articles'!A:E, 4, FALSE)</f>
        <v>CREMERIE</v>
      </c>
      <c r="F1348" s="14">
        <f t="shared" si="21"/>
        <v>202210</v>
      </c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</row>
    <row r="1349" spans="1:21" ht="12.75" customHeight="1">
      <c r="A1349" s="7">
        <v>143388850</v>
      </c>
      <c r="B1349" s="13">
        <v>5540246187987</v>
      </c>
      <c r="C1349" s="31">
        <v>44849</v>
      </c>
      <c r="D1349" s="8">
        <v>4455</v>
      </c>
      <c r="E1349" s="14" t="str">
        <f>VLOOKUP(B1349, 'Catégorie des articles'!A:E, 4, FALSE)</f>
        <v>CREMERIE</v>
      </c>
      <c r="F1349" s="14">
        <f t="shared" si="21"/>
        <v>202210</v>
      </c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</row>
    <row r="1350" spans="1:21" ht="12.75" customHeight="1">
      <c r="A1350" s="7">
        <v>143388857</v>
      </c>
      <c r="B1350" s="13">
        <v>5540246194632</v>
      </c>
      <c r="C1350" s="31">
        <v>44848</v>
      </c>
      <c r="D1350" s="8">
        <v>502</v>
      </c>
      <c r="E1350" s="14" t="str">
        <f>VLOOKUP(B1350, 'Catégorie des articles'!A:E, 4, FALSE)</f>
        <v>BOULANGERIE</v>
      </c>
      <c r="F1350" s="14">
        <f t="shared" si="21"/>
        <v>202210</v>
      </c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</row>
    <row r="1351" spans="1:21" ht="12.75" customHeight="1">
      <c r="A1351" s="7">
        <v>143388865</v>
      </c>
      <c r="B1351" s="13">
        <v>5540246194632</v>
      </c>
      <c r="C1351" s="31">
        <v>44844</v>
      </c>
      <c r="D1351" s="8">
        <v>168</v>
      </c>
      <c r="E1351" s="14" t="str">
        <f>VLOOKUP(B1351, 'Catégorie des articles'!A:E, 4, FALSE)</f>
        <v>BOULANGERIE</v>
      </c>
      <c r="F1351" s="14">
        <f t="shared" si="21"/>
        <v>202210</v>
      </c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</row>
    <row r="1352" spans="1:21" ht="12.75" customHeight="1">
      <c r="A1352" s="10">
        <v>143388867</v>
      </c>
      <c r="B1352" s="15">
        <v>5540246183541</v>
      </c>
      <c r="C1352" s="32">
        <v>44871</v>
      </c>
      <c r="D1352" s="11">
        <v>2784</v>
      </c>
      <c r="E1352" s="14" t="str">
        <f>VLOOKUP(B1352, 'Catégorie des articles'!A:E, 4, FALSE)</f>
        <v>MIX LEGUMES</v>
      </c>
      <c r="F1352" s="14">
        <f t="shared" si="21"/>
        <v>202211</v>
      </c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</row>
    <row r="1353" spans="1:21" ht="12.75" customHeight="1">
      <c r="A1353" s="7">
        <v>143388869</v>
      </c>
      <c r="B1353" s="13">
        <v>5540246171759</v>
      </c>
      <c r="C1353" s="31">
        <v>44855</v>
      </c>
      <c r="D1353" s="8">
        <v>10023</v>
      </c>
      <c r="E1353" s="14" t="str">
        <f>VLOOKUP(B1353, 'Catégorie des articles'!A:E, 4, FALSE)</f>
        <v>MIX LEGUMES</v>
      </c>
      <c r="F1353" s="14">
        <f t="shared" si="21"/>
        <v>202210</v>
      </c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</row>
    <row r="1354" spans="1:21" ht="12.75" customHeight="1">
      <c r="A1354" s="10">
        <v>143388869</v>
      </c>
      <c r="B1354" s="15">
        <v>5540246177133</v>
      </c>
      <c r="C1354" s="32">
        <v>44855</v>
      </c>
      <c r="D1354" s="11">
        <v>10023</v>
      </c>
      <c r="E1354" s="14" t="str">
        <f>VLOOKUP(B1354, 'Catégorie des articles'!A:E, 4, FALSE)</f>
        <v>MIX LEGUMES</v>
      </c>
      <c r="F1354" s="14">
        <f t="shared" si="21"/>
        <v>202210</v>
      </c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</row>
    <row r="1355" spans="1:21" ht="12.75" customHeight="1">
      <c r="A1355" s="10">
        <v>143388870</v>
      </c>
      <c r="B1355" s="15">
        <v>5540246192148</v>
      </c>
      <c r="C1355" s="32">
        <v>44856</v>
      </c>
      <c r="D1355" s="11">
        <v>45936</v>
      </c>
      <c r="E1355" s="14" t="str">
        <f>VLOOKUP(B1355, 'Catégorie des articles'!A:E, 4, FALSE)</f>
        <v>MIX LEGUMES</v>
      </c>
      <c r="F1355" s="14">
        <f t="shared" si="21"/>
        <v>202210</v>
      </c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</row>
    <row r="1356" spans="1:21" ht="12.75" customHeight="1">
      <c r="A1356" s="7">
        <v>143398885</v>
      </c>
      <c r="B1356" s="13">
        <v>5540246172539</v>
      </c>
      <c r="C1356" s="31">
        <v>44850</v>
      </c>
      <c r="D1356" s="8">
        <v>70</v>
      </c>
      <c r="E1356" s="14" t="str">
        <f>VLOOKUP(B1356, 'Catégorie des articles'!A:E, 4, FALSE)</f>
        <v>CREMERIE</v>
      </c>
      <c r="F1356" s="14">
        <f t="shared" si="21"/>
        <v>202210</v>
      </c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</row>
    <row r="1357" spans="1:21" ht="12.75" customHeight="1">
      <c r="A1357" s="10">
        <v>143398885</v>
      </c>
      <c r="B1357" s="15">
        <v>5540246172978</v>
      </c>
      <c r="C1357" s="32">
        <v>44850</v>
      </c>
      <c r="D1357" s="11">
        <v>1671</v>
      </c>
      <c r="E1357" s="14" t="str">
        <f>VLOOKUP(B1357, 'Catégorie des articles'!A:E, 4, FALSE)</f>
        <v>CREMERIE</v>
      </c>
      <c r="F1357" s="14">
        <f t="shared" si="21"/>
        <v>202210</v>
      </c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</row>
    <row r="1358" spans="1:21" ht="12.75" customHeight="1">
      <c r="A1358" s="7">
        <v>143398885</v>
      </c>
      <c r="B1358" s="13">
        <v>5540246174174</v>
      </c>
      <c r="C1358" s="31">
        <v>44850</v>
      </c>
      <c r="D1358" s="8">
        <v>464</v>
      </c>
      <c r="E1358" s="14" t="str">
        <f>VLOOKUP(B1358, 'Catégorie des articles'!A:E, 4, FALSE)</f>
        <v>CREMERIE</v>
      </c>
      <c r="F1358" s="14">
        <f t="shared" si="21"/>
        <v>202210</v>
      </c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</row>
    <row r="1359" spans="1:21" ht="12.75" customHeight="1">
      <c r="A1359" s="7">
        <v>143398885</v>
      </c>
      <c r="B1359" s="13">
        <v>5540246176699</v>
      </c>
      <c r="C1359" s="31">
        <v>44850</v>
      </c>
      <c r="D1359" s="8">
        <v>8352</v>
      </c>
      <c r="E1359" s="14" t="str">
        <f>VLOOKUP(B1359, 'Catégorie des articles'!A:E, 4, FALSE)</f>
        <v>CREMERIE</v>
      </c>
      <c r="F1359" s="14">
        <f t="shared" si="21"/>
        <v>202210</v>
      </c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</row>
    <row r="1360" spans="1:21" ht="12.75" customHeight="1">
      <c r="A1360" s="7">
        <v>143398886</v>
      </c>
      <c r="B1360" s="13">
        <v>5540246191598</v>
      </c>
      <c r="C1360" s="31">
        <v>44851</v>
      </c>
      <c r="D1360" s="8">
        <v>1601</v>
      </c>
      <c r="E1360" s="14" t="str">
        <f>VLOOKUP(B1360, 'Catégorie des articles'!A:E, 4, FALSE)</f>
        <v>CREMERIE</v>
      </c>
      <c r="F1360" s="14">
        <f t="shared" si="21"/>
        <v>202210</v>
      </c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</row>
    <row r="1361" spans="1:21" ht="12.75" customHeight="1">
      <c r="A1361" s="10">
        <v>143398888</v>
      </c>
      <c r="B1361" s="15">
        <v>5540246176295</v>
      </c>
      <c r="C1361" s="32">
        <v>44850</v>
      </c>
      <c r="D1361" s="11">
        <v>4455</v>
      </c>
      <c r="E1361" s="14" t="str">
        <f>VLOOKUP(B1361, 'Catégorie des articles'!A:E, 4, FALSE)</f>
        <v>CREMERIE</v>
      </c>
      <c r="F1361" s="14">
        <f t="shared" si="21"/>
        <v>202210</v>
      </c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</row>
    <row r="1362" spans="1:21" ht="12.75" customHeight="1">
      <c r="A1362" s="10">
        <v>143398888</v>
      </c>
      <c r="B1362" s="15">
        <v>5540246187987</v>
      </c>
      <c r="C1362" s="32">
        <v>44850</v>
      </c>
      <c r="D1362" s="11">
        <v>2228</v>
      </c>
      <c r="E1362" s="14" t="str">
        <f>VLOOKUP(B1362, 'Catégorie des articles'!A:E, 4, FALSE)</f>
        <v>CREMERIE</v>
      </c>
      <c r="F1362" s="14">
        <f t="shared" si="21"/>
        <v>202210</v>
      </c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</row>
    <row r="1363" spans="1:21" ht="12.75" customHeight="1">
      <c r="A1363" s="7">
        <v>143398888</v>
      </c>
      <c r="B1363" s="13">
        <v>5540246188200</v>
      </c>
      <c r="C1363" s="31">
        <v>44850</v>
      </c>
      <c r="D1363" s="8">
        <v>1485</v>
      </c>
      <c r="E1363" s="14" t="str">
        <f>VLOOKUP(B1363, 'Catégorie des articles'!A:E, 4, FALSE)</f>
        <v>CREMERIE</v>
      </c>
      <c r="F1363" s="14">
        <f t="shared" si="21"/>
        <v>202210</v>
      </c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</row>
    <row r="1364" spans="1:21" ht="12.75" customHeight="1">
      <c r="A1364" s="10">
        <v>143398898</v>
      </c>
      <c r="B1364" s="15">
        <v>5540246176295</v>
      </c>
      <c r="C1364" s="32">
        <v>44849</v>
      </c>
      <c r="D1364" s="11">
        <v>11136</v>
      </c>
      <c r="E1364" s="14" t="str">
        <f>VLOOKUP(B1364, 'Catégorie des articles'!A:E, 4, FALSE)</f>
        <v>CREMERIE</v>
      </c>
      <c r="F1364" s="14">
        <f t="shared" si="21"/>
        <v>202210</v>
      </c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</row>
    <row r="1365" spans="1:21" ht="12.75" customHeight="1">
      <c r="A1365" s="7">
        <v>143398901</v>
      </c>
      <c r="B1365" s="13">
        <v>5540246173906</v>
      </c>
      <c r="C1365" s="31">
        <v>44854</v>
      </c>
      <c r="D1365" s="8">
        <v>5309</v>
      </c>
      <c r="E1365" s="14" t="str">
        <f>VLOOKUP(B1365, 'Catégorie des articles'!A:E, 4, FALSE)</f>
        <v>VOLAILLE</v>
      </c>
      <c r="F1365" s="14">
        <f t="shared" si="21"/>
        <v>202210</v>
      </c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</row>
    <row r="1366" spans="1:21" ht="12.75" customHeight="1">
      <c r="A1366" s="10">
        <v>143398901</v>
      </c>
      <c r="B1366" s="15">
        <v>5540246181016</v>
      </c>
      <c r="C1366" s="32">
        <v>44854</v>
      </c>
      <c r="D1366" s="11">
        <v>9800</v>
      </c>
      <c r="E1366" s="14" t="str">
        <f>VLOOKUP(B1366, 'Catégorie des articles'!A:E, 4, FALSE)</f>
        <v>VOLAILLE</v>
      </c>
      <c r="F1366" s="14">
        <f t="shared" si="21"/>
        <v>202210</v>
      </c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</row>
    <row r="1367" spans="1:21" ht="12.75" customHeight="1">
      <c r="A1367" s="7">
        <v>143398902</v>
      </c>
      <c r="B1367" s="13">
        <v>5540246195242</v>
      </c>
      <c r="C1367" s="31">
        <v>44851</v>
      </c>
      <c r="D1367" s="8">
        <v>743</v>
      </c>
      <c r="E1367" s="14" t="str">
        <f>VLOOKUP(B1367, 'Catégorie des articles'!A:E, 4, FALSE)</f>
        <v>MIX LEGUMES</v>
      </c>
      <c r="F1367" s="14">
        <f t="shared" si="21"/>
        <v>202210</v>
      </c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</row>
    <row r="1368" spans="1:21" ht="12.75" customHeight="1">
      <c r="A1368" s="10">
        <v>143398914</v>
      </c>
      <c r="B1368" s="15">
        <v>5540246176294</v>
      </c>
      <c r="C1368" s="32">
        <v>44851</v>
      </c>
      <c r="D1368" s="11">
        <v>1485</v>
      </c>
      <c r="E1368" s="14" t="str">
        <f>VLOOKUP(B1368, 'Catégorie des articles'!A:E, 4, FALSE)</f>
        <v>CREMERIE</v>
      </c>
      <c r="F1368" s="14">
        <f t="shared" si="21"/>
        <v>202210</v>
      </c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</row>
    <row r="1369" spans="1:21" ht="12.75" customHeight="1">
      <c r="A1369" s="7">
        <v>143398914</v>
      </c>
      <c r="B1369" s="13">
        <v>5540246176295</v>
      </c>
      <c r="C1369" s="31">
        <v>44851</v>
      </c>
      <c r="D1369" s="8">
        <v>4455</v>
      </c>
      <c r="E1369" s="14" t="str">
        <f>VLOOKUP(B1369, 'Catégorie des articles'!A:E, 4, FALSE)</f>
        <v>CREMERIE</v>
      </c>
      <c r="F1369" s="14">
        <f t="shared" si="21"/>
        <v>202210</v>
      </c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</row>
    <row r="1370" spans="1:21" ht="12.75" customHeight="1">
      <c r="A1370" s="10">
        <v>143398914</v>
      </c>
      <c r="B1370" s="15">
        <v>5540246187987</v>
      </c>
      <c r="C1370" s="32">
        <v>44851</v>
      </c>
      <c r="D1370" s="11">
        <v>3341</v>
      </c>
      <c r="E1370" s="14" t="str">
        <f>VLOOKUP(B1370, 'Catégorie des articles'!A:E, 4, FALSE)</f>
        <v>CREMERIE</v>
      </c>
      <c r="F1370" s="14">
        <f t="shared" si="21"/>
        <v>202210</v>
      </c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</row>
    <row r="1371" spans="1:21" ht="12.75" customHeight="1">
      <c r="A1371" s="7">
        <v>143398914</v>
      </c>
      <c r="B1371" s="13">
        <v>5540246188200</v>
      </c>
      <c r="C1371" s="31">
        <v>44851</v>
      </c>
      <c r="D1371" s="8">
        <v>743</v>
      </c>
      <c r="E1371" s="14" t="str">
        <f>VLOOKUP(B1371, 'Catégorie des articles'!A:E, 4, FALSE)</f>
        <v>CREMERIE</v>
      </c>
      <c r="F1371" s="14">
        <f t="shared" si="21"/>
        <v>202210</v>
      </c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</row>
    <row r="1372" spans="1:21" ht="12.75" customHeight="1">
      <c r="A1372" s="10">
        <v>143398915</v>
      </c>
      <c r="B1372" s="15">
        <v>5540246172669</v>
      </c>
      <c r="C1372" s="32">
        <v>44851</v>
      </c>
      <c r="D1372" s="11">
        <v>140</v>
      </c>
      <c r="E1372" s="14" t="str">
        <f>VLOOKUP(B1372, 'Catégorie des articles'!A:E, 4, FALSE)</f>
        <v>CREMERIE</v>
      </c>
      <c r="F1372" s="14">
        <f t="shared" si="21"/>
        <v>202210</v>
      </c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</row>
    <row r="1373" spans="1:21" ht="12.75" customHeight="1">
      <c r="A1373" s="10">
        <v>143398937</v>
      </c>
      <c r="B1373" s="15">
        <v>5540246194632</v>
      </c>
      <c r="C1373" s="32">
        <v>44858</v>
      </c>
      <c r="D1373" s="11">
        <v>1504</v>
      </c>
      <c r="E1373" s="14" t="str">
        <f>VLOOKUP(B1373, 'Catégorie des articles'!A:E, 4, FALSE)</f>
        <v>BOULANGERIE</v>
      </c>
      <c r="F1373" s="14">
        <f t="shared" si="21"/>
        <v>202210</v>
      </c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</row>
    <row r="1374" spans="1:21" ht="12.75" customHeight="1">
      <c r="A1374" s="7">
        <v>143398938</v>
      </c>
      <c r="B1374" s="13">
        <v>5540246182684</v>
      </c>
      <c r="C1374" s="31">
        <v>44856</v>
      </c>
      <c r="D1374" s="8">
        <v>232</v>
      </c>
      <c r="E1374" s="14" t="str">
        <f>VLOOKUP(B1374, 'Catégorie des articles'!A:E, 4, FALSE)</f>
        <v>BOULANGERIE</v>
      </c>
      <c r="F1374" s="14">
        <f t="shared" si="21"/>
        <v>202210</v>
      </c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</row>
    <row r="1375" spans="1:21" ht="12.75" customHeight="1">
      <c r="A1375" s="10">
        <v>143398938</v>
      </c>
      <c r="B1375" s="15">
        <v>5540246183844</v>
      </c>
      <c r="C1375" s="32">
        <v>44856</v>
      </c>
      <c r="D1375" s="11">
        <v>372</v>
      </c>
      <c r="E1375" s="14" t="str">
        <f>VLOOKUP(B1375, 'Catégorie des articles'!A:E, 4, FALSE)</f>
        <v>BOULANGERIE</v>
      </c>
      <c r="F1375" s="14">
        <f t="shared" si="21"/>
        <v>202210</v>
      </c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</row>
    <row r="1376" spans="1:21" ht="12.75" customHeight="1">
      <c r="A1376" s="10">
        <v>143398938</v>
      </c>
      <c r="B1376" s="15">
        <v>5540246194467</v>
      </c>
      <c r="C1376" s="32">
        <v>44856</v>
      </c>
      <c r="D1376" s="11">
        <v>24277</v>
      </c>
      <c r="E1376" s="14" t="str">
        <f>VLOOKUP(B1376, 'Catégorie des articles'!A:E, 4, FALSE)</f>
        <v>BOULANGERIE</v>
      </c>
      <c r="F1376" s="14">
        <f t="shared" si="21"/>
        <v>202210</v>
      </c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</row>
    <row r="1377" spans="1:21" ht="12.75" customHeight="1">
      <c r="A1377" s="10">
        <v>143398953</v>
      </c>
      <c r="B1377" s="15">
        <v>5540246170256</v>
      </c>
      <c r="C1377" s="32">
        <v>44864</v>
      </c>
      <c r="D1377" s="11">
        <v>2822</v>
      </c>
      <c r="E1377" s="14" t="str">
        <f>VLOOKUP(B1377, 'Catégorie des articles'!A:E, 4, FALSE)</f>
        <v>BOULANGERIE</v>
      </c>
      <c r="F1377" s="14">
        <f t="shared" si="21"/>
        <v>202210</v>
      </c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</row>
    <row r="1378" spans="1:21" ht="12.75" customHeight="1">
      <c r="A1378" s="7">
        <v>143398953</v>
      </c>
      <c r="B1378" s="13">
        <v>5540246171888</v>
      </c>
      <c r="C1378" s="31">
        <v>44864</v>
      </c>
      <c r="D1378" s="8">
        <v>780</v>
      </c>
      <c r="E1378" s="14" t="str">
        <f>VLOOKUP(B1378, 'Catégorie des articles'!A:E, 4, FALSE)</f>
        <v>BOULANGERIE</v>
      </c>
      <c r="F1378" s="14">
        <f t="shared" si="21"/>
        <v>202210</v>
      </c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</row>
    <row r="1379" spans="1:21" ht="12.75" customHeight="1">
      <c r="A1379" s="7">
        <v>143398960</v>
      </c>
      <c r="B1379" s="13">
        <v>5540246183589</v>
      </c>
      <c r="C1379" s="31">
        <v>44858</v>
      </c>
      <c r="D1379" s="8">
        <v>650</v>
      </c>
      <c r="E1379" s="14" t="str">
        <f>VLOOKUP(B1379, 'Catégorie des articles'!A:E, 4, FALSE)</f>
        <v>MIX LEGUMES</v>
      </c>
      <c r="F1379" s="14">
        <f t="shared" si="21"/>
        <v>202210</v>
      </c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</row>
    <row r="1380" spans="1:21" ht="12.75" customHeight="1">
      <c r="A1380" s="10">
        <v>143398960</v>
      </c>
      <c r="B1380" s="15">
        <v>5540246186352</v>
      </c>
      <c r="C1380" s="32">
        <v>44858</v>
      </c>
      <c r="D1380" s="11">
        <v>940</v>
      </c>
      <c r="E1380" s="14" t="str">
        <f>VLOOKUP(B1380, 'Catégorie des articles'!A:E, 4, FALSE)</f>
        <v>MIX LEGUMES</v>
      </c>
      <c r="F1380" s="14">
        <f t="shared" si="21"/>
        <v>202210</v>
      </c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</row>
    <row r="1381" spans="1:21" ht="12.75" customHeight="1">
      <c r="A1381" s="7">
        <v>143398960</v>
      </c>
      <c r="B1381" s="13">
        <v>5540246194790</v>
      </c>
      <c r="C1381" s="31">
        <v>44858</v>
      </c>
      <c r="D1381" s="8">
        <v>1316</v>
      </c>
      <c r="E1381" s="14" t="str">
        <f>VLOOKUP(B1381, 'Catégorie des articles'!A:E, 4, FALSE)</f>
        <v>MIX LEGUMES</v>
      </c>
      <c r="F1381" s="14">
        <f t="shared" si="21"/>
        <v>202210</v>
      </c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</row>
    <row r="1382" spans="1:21" ht="12.75" customHeight="1">
      <c r="A1382" s="7">
        <v>143398980</v>
      </c>
      <c r="B1382" s="13">
        <v>5540246187987</v>
      </c>
      <c r="C1382" s="31">
        <v>44854</v>
      </c>
      <c r="D1382" s="8">
        <v>2228</v>
      </c>
      <c r="E1382" s="14" t="str">
        <f>VLOOKUP(B1382, 'Catégorie des articles'!A:E, 4, FALSE)</f>
        <v>CREMERIE</v>
      </c>
      <c r="F1382" s="14">
        <f t="shared" si="21"/>
        <v>202210</v>
      </c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</row>
    <row r="1383" spans="1:21" ht="12.75" customHeight="1">
      <c r="A1383" s="10">
        <v>143398980</v>
      </c>
      <c r="B1383" s="15">
        <v>5540246188200</v>
      </c>
      <c r="C1383" s="32">
        <v>44854</v>
      </c>
      <c r="D1383" s="11">
        <v>1485</v>
      </c>
      <c r="E1383" s="14" t="str">
        <f>VLOOKUP(B1383, 'Catégorie des articles'!A:E, 4, FALSE)</f>
        <v>CREMERIE</v>
      </c>
      <c r="F1383" s="14">
        <f t="shared" si="21"/>
        <v>202210</v>
      </c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</row>
    <row r="1384" spans="1:21" ht="12.75" customHeight="1">
      <c r="A1384" s="10">
        <v>143398981</v>
      </c>
      <c r="B1384" s="15">
        <v>5540246188175</v>
      </c>
      <c r="C1384" s="32">
        <v>44854</v>
      </c>
      <c r="D1384" s="11">
        <v>186</v>
      </c>
      <c r="E1384" s="14" t="str">
        <f>VLOOKUP(B1384, 'Catégorie des articles'!A:E, 4, FALSE)</f>
        <v>CREMERIE</v>
      </c>
      <c r="F1384" s="14">
        <f t="shared" si="21"/>
        <v>202210</v>
      </c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</row>
    <row r="1385" spans="1:21" ht="12.75" customHeight="1">
      <c r="A1385" s="7">
        <v>143398989</v>
      </c>
      <c r="B1385" s="13">
        <v>5540246196002</v>
      </c>
      <c r="C1385" s="31">
        <v>44878</v>
      </c>
      <c r="D1385" s="8">
        <v>845</v>
      </c>
      <c r="E1385" s="14" t="str">
        <f>VLOOKUP(B1385, 'Catégorie des articles'!A:E, 4, FALSE)</f>
        <v>CREMERIE</v>
      </c>
      <c r="F1385" s="14">
        <f t="shared" si="21"/>
        <v>202211</v>
      </c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</row>
    <row r="1386" spans="1:21" ht="12.75" customHeight="1">
      <c r="A1386" s="10">
        <v>143399001</v>
      </c>
      <c r="B1386" s="15">
        <v>5540246194632</v>
      </c>
      <c r="C1386" s="32">
        <v>44861</v>
      </c>
      <c r="D1386" s="11">
        <v>669</v>
      </c>
      <c r="E1386" s="14" t="str">
        <f>VLOOKUP(B1386, 'Catégorie des articles'!A:E, 4, FALSE)</f>
        <v>BOULANGERIE</v>
      </c>
      <c r="F1386" s="14">
        <f t="shared" si="21"/>
        <v>202210</v>
      </c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</row>
    <row r="1387" spans="1:21" ht="12.75" customHeight="1">
      <c r="A1387" s="7">
        <v>143399001</v>
      </c>
      <c r="B1387" s="13">
        <v>5540246195250</v>
      </c>
      <c r="C1387" s="31">
        <v>44861</v>
      </c>
      <c r="D1387" s="8">
        <v>418</v>
      </c>
      <c r="E1387" s="14" t="str">
        <f>VLOOKUP(B1387, 'Catégorie des articles'!A:E, 4, FALSE)</f>
        <v>BOULANGERIE</v>
      </c>
      <c r="F1387" s="14">
        <f t="shared" si="21"/>
        <v>202210</v>
      </c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</row>
    <row r="1388" spans="1:21" ht="12.75" customHeight="1">
      <c r="A1388" s="10">
        <v>143399002</v>
      </c>
      <c r="B1388" s="15">
        <v>5540246194632</v>
      </c>
      <c r="C1388" s="32">
        <v>44863</v>
      </c>
      <c r="D1388" s="11">
        <v>1942</v>
      </c>
      <c r="E1388" s="14" t="str">
        <f>VLOOKUP(B1388, 'Catégorie des articles'!A:E, 4, FALSE)</f>
        <v>BOULANGERIE</v>
      </c>
      <c r="F1388" s="14">
        <f t="shared" si="21"/>
        <v>202210</v>
      </c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</row>
    <row r="1389" spans="1:21" ht="12.75" customHeight="1">
      <c r="A1389" s="10">
        <v>143399003</v>
      </c>
      <c r="B1389" s="15">
        <v>5540246194632</v>
      </c>
      <c r="C1389" s="32">
        <v>44865</v>
      </c>
      <c r="D1389" s="11">
        <v>585</v>
      </c>
      <c r="E1389" s="14" t="str">
        <f>VLOOKUP(B1389, 'Catégorie des articles'!A:E, 4, FALSE)</f>
        <v>BOULANGERIE</v>
      </c>
      <c r="F1389" s="14">
        <f t="shared" si="21"/>
        <v>202210</v>
      </c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</row>
    <row r="1390" spans="1:21" ht="12.75" customHeight="1">
      <c r="A1390" s="7">
        <v>143399003</v>
      </c>
      <c r="B1390" s="13">
        <v>5540246195250</v>
      </c>
      <c r="C1390" s="31">
        <v>44865</v>
      </c>
      <c r="D1390" s="8">
        <v>242</v>
      </c>
      <c r="E1390" s="14" t="str">
        <f>VLOOKUP(B1390, 'Catégorie des articles'!A:E, 4, FALSE)</f>
        <v>BOULANGERIE</v>
      </c>
      <c r="F1390" s="14">
        <f t="shared" si="21"/>
        <v>202210</v>
      </c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</row>
    <row r="1391" spans="1:21" ht="12.75" customHeight="1">
      <c r="A1391" s="10">
        <v>143399013</v>
      </c>
      <c r="B1391" s="15">
        <v>5540246172669</v>
      </c>
      <c r="C1391" s="32">
        <v>44855</v>
      </c>
      <c r="D1391" s="11">
        <v>140</v>
      </c>
      <c r="E1391" s="14" t="str">
        <f>VLOOKUP(B1391, 'Catégorie des articles'!A:E, 4, FALSE)</f>
        <v>CREMERIE</v>
      </c>
      <c r="F1391" s="14">
        <f t="shared" si="21"/>
        <v>202210</v>
      </c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</row>
    <row r="1392" spans="1:21" ht="12.75" customHeight="1">
      <c r="A1392" s="10">
        <v>143399013</v>
      </c>
      <c r="B1392" s="15">
        <v>5540246174174</v>
      </c>
      <c r="C1392" s="32">
        <v>44855</v>
      </c>
      <c r="D1392" s="11">
        <v>464</v>
      </c>
      <c r="E1392" s="14" t="str">
        <f>VLOOKUP(B1392, 'Catégorie des articles'!A:E, 4, FALSE)</f>
        <v>CREMERIE</v>
      </c>
      <c r="F1392" s="14">
        <f t="shared" si="21"/>
        <v>202210</v>
      </c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</row>
    <row r="1393" spans="1:21" ht="12.75" customHeight="1">
      <c r="A1393" s="7">
        <v>143399013</v>
      </c>
      <c r="B1393" s="13">
        <v>5540246176699</v>
      </c>
      <c r="C1393" s="31">
        <v>44855</v>
      </c>
      <c r="D1393" s="8">
        <v>8352</v>
      </c>
      <c r="E1393" s="14" t="str">
        <f>VLOOKUP(B1393, 'Catégorie des articles'!A:E, 4, FALSE)</f>
        <v>CREMERIE</v>
      </c>
      <c r="F1393" s="14">
        <f t="shared" si="21"/>
        <v>202210</v>
      </c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</row>
    <row r="1394" spans="1:21" ht="12.75" customHeight="1">
      <c r="A1394" s="7">
        <v>143399013</v>
      </c>
      <c r="B1394" s="13">
        <v>5540246188175</v>
      </c>
      <c r="C1394" s="31">
        <v>44855</v>
      </c>
      <c r="D1394" s="8">
        <v>232</v>
      </c>
      <c r="E1394" s="14" t="str">
        <f>VLOOKUP(B1394, 'Catégorie des articles'!A:E, 4, FALSE)</f>
        <v>CREMERIE</v>
      </c>
      <c r="F1394" s="14">
        <f t="shared" si="21"/>
        <v>202210</v>
      </c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</row>
    <row r="1395" spans="1:21" ht="12.75" customHeight="1">
      <c r="A1395" s="7">
        <v>143399014</v>
      </c>
      <c r="B1395" s="13">
        <v>5540246176295</v>
      </c>
      <c r="C1395" s="31">
        <v>44855</v>
      </c>
      <c r="D1395" s="8">
        <v>7424</v>
      </c>
      <c r="E1395" s="14" t="str">
        <f>VLOOKUP(B1395, 'Catégorie des articles'!A:E, 4, FALSE)</f>
        <v>CREMERIE</v>
      </c>
      <c r="F1395" s="14">
        <f t="shared" si="21"/>
        <v>202210</v>
      </c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</row>
    <row r="1396" spans="1:21" ht="12.75" customHeight="1">
      <c r="A1396" s="7">
        <v>143399014</v>
      </c>
      <c r="B1396" s="13">
        <v>5540246187987</v>
      </c>
      <c r="C1396" s="31">
        <v>44855</v>
      </c>
      <c r="D1396" s="8">
        <v>1114</v>
      </c>
      <c r="E1396" s="14" t="str">
        <f>VLOOKUP(B1396, 'Catégorie des articles'!A:E, 4, FALSE)</f>
        <v>CREMERIE</v>
      </c>
      <c r="F1396" s="14">
        <f t="shared" si="21"/>
        <v>202210</v>
      </c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</row>
    <row r="1397" spans="1:21" ht="12.75" customHeight="1">
      <c r="A1397" s="10">
        <v>143399014</v>
      </c>
      <c r="B1397" s="15">
        <v>5540246188200</v>
      </c>
      <c r="C1397" s="32">
        <v>44855</v>
      </c>
      <c r="D1397" s="11">
        <v>1485</v>
      </c>
      <c r="E1397" s="14" t="str">
        <f>VLOOKUP(B1397, 'Catégorie des articles'!A:E, 4, FALSE)</f>
        <v>CREMERIE</v>
      </c>
      <c r="F1397" s="14">
        <f t="shared" si="21"/>
        <v>202210</v>
      </c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</row>
    <row r="1398" spans="1:21" ht="12.75" customHeight="1">
      <c r="A1398" s="10">
        <v>143399018</v>
      </c>
      <c r="B1398" s="15">
        <v>5540246185429</v>
      </c>
      <c r="C1398" s="32">
        <v>44856</v>
      </c>
      <c r="D1398" s="11">
        <v>140</v>
      </c>
      <c r="E1398" s="14" t="str">
        <f>VLOOKUP(B1398, 'Catégorie des articles'!A:E, 4, FALSE)</f>
        <v>CREMERIE</v>
      </c>
      <c r="F1398" s="14">
        <f t="shared" si="21"/>
        <v>202210</v>
      </c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</row>
    <row r="1399" spans="1:21" ht="12.75" customHeight="1">
      <c r="A1399" s="7">
        <v>143399018</v>
      </c>
      <c r="B1399" s="13">
        <v>5540246185562</v>
      </c>
      <c r="C1399" s="31">
        <v>44856</v>
      </c>
      <c r="D1399" s="8">
        <v>140</v>
      </c>
      <c r="E1399" s="14" t="str">
        <f>VLOOKUP(B1399, 'Catégorie des articles'!A:E, 4, FALSE)</f>
        <v>CREMERIE</v>
      </c>
      <c r="F1399" s="14">
        <f t="shared" si="21"/>
        <v>202210</v>
      </c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</row>
    <row r="1400" spans="1:21" ht="12.75" customHeight="1">
      <c r="A1400" s="7">
        <v>143399033</v>
      </c>
      <c r="B1400" s="13">
        <v>5540246195999</v>
      </c>
      <c r="C1400" s="31">
        <v>44886</v>
      </c>
      <c r="D1400" s="8">
        <v>7517</v>
      </c>
      <c r="E1400" s="14" t="str">
        <f>VLOOKUP(B1400, 'Catégorie des articles'!A:E, 4, FALSE)</f>
        <v>MIX LEGUMES</v>
      </c>
      <c r="F1400" s="14">
        <f t="shared" si="21"/>
        <v>202211</v>
      </c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</row>
    <row r="1401" spans="1:21" ht="12.75" customHeight="1">
      <c r="A1401" s="10">
        <v>143399042</v>
      </c>
      <c r="B1401" s="15">
        <v>5540246181061</v>
      </c>
      <c r="C1401" s="32">
        <v>44856</v>
      </c>
      <c r="D1401" s="11">
        <v>3308</v>
      </c>
      <c r="E1401" s="14" t="str">
        <f>VLOOKUP(B1401, 'Catégorie des articles'!A:E, 4, FALSE)</f>
        <v>VOLAILLE</v>
      </c>
      <c r="F1401" s="14">
        <f t="shared" si="21"/>
        <v>202210</v>
      </c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</row>
    <row r="1402" spans="1:21" ht="12.75" customHeight="1">
      <c r="A1402" s="7">
        <v>143399042</v>
      </c>
      <c r="B1402" s="13">
        <v>5540246183547</v>
      </c>
      <c r="C1402" s="31">
        <v>44856</v>
      </c>
      <c r="D1402" s="8">
        <v>5789</v>
      </c>
      <c r="E1402" s="14" t="str">
        <f>VLOOKUP(B1402, 'Catégorie des articles'!A:E, 4, FALSE)</f>
        <v>VOLAILLE</v>
      </c>
      <c r="F1402" s="14">
        <f t="shared" si="21"/>
        <v>202210</v>
      </c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</row>
    <row r="1403" spans="1:21" ht="12.75" customHeight="1">
      <c r="A1403" s="10">
        <v>143399042</v>
      </c>
      <c r="B1403" s="15">
        <v>5540246185278</v>
      </c>
      <c r="C1403" s="32">
        <v>44856</v>
      </c>
      <c r="D1403" s="11">
        <v>1120</v>
      </c>
      <c r="E1403" s="14" t="str">
        <f>VLOOKUP(B1403, 'Catégorie des articles'!A:E, 4, FALSE)</f>
        <v>VOLAILLE</v>
      </c>
      <c r="F1403" s="14">
        <f t="shared" si="21"/>
        <v>202210</v>
      </c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</row>
    <row r="1404" spans="1:21" ht="12.75" customHeight="1">
      <c r="A1404" s="7">
        <v>143399043</v>
      </c>
      <c r="B1404" s="13">
        <v>5540246171759</v>
      </c>
      <c r="C1404" s="31">
        <v>44862</v>
      </c>
      <c r="D1404" s="8">
        <v>3341</v>
      </c>
      <c r="E1404" s="14" t="str">
        <f>VLOOKUP(B1404, 'Catégorie des articles'!A:E, 4, FALSE)</f>
        <v>MIX LEGUMES</v>
      </c>
      <c r="F1404" s="14">
        <f t="shared" si="21"/>
        <v>202210</v>
      </c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</row>
    <row r="1405" spans="1:21" ht="12.75" customHeight="1">
      <c r="A1405" s="10">
        <v>143399043</v>
      </c>
      <c r="B1405" s="15">
        <v>5540246177133</v>
      </c>
      <c r="C1405" s="32">
        <v>44862</v>
      </c>
      <c r="D1405" s="11">
        <v>5568</v>
      </c>
      <c r="E1405" s="14" t="str">
        <f>VLOOKUP(B1405, 'Catégorie des articles'!A:E, 4, FALSE)</f>
        <v>MIX LEGUMES</v>
      </c>
      <c r="F1405" s="14">
        <f t="shared" si="21"/>
        <v>202210</v>
      </c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</row>
    <row r="1406" spans="1:21" ht="12.75" customHeight="1">
      <c r="A1406" s="7">
        <v>143399043</v>
      </c>
      <c r="B1406" s="13">
        <v>5540246192148</v>
      </c>
      <c r="C1406" s="31">
        <v>44862</v>
      </c>
      <c r="D1406" s="8">
        <v>29232</v>
      </c>
      <c r="E1406" s="14" t="str">
        <f>VLOOKUP(B1406, 'Catégorie des articles'!A:E, 4, FALSE)</f>
        <v>MIX LEGUMES</v>
      </c>
      <c r="F1406" s="14">
        <f t="shared" si="21"/>
        <v>202210</v>
      </c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</row>
    <row r="1407" spans="1:21" ht="12.75" customHeight="1">
      <c r="A1407" s="10">
        <v>143399044</v>
      </c>
      <c r="B1407" s="15">
        <v>5540246173906</v>
      </c>
      <c r="C1407" s="32">
        <v>44863</v>
      </c>
      <c r="D1407" s="11">
        <v>5717</v>
      </c>
      <c r="E1407" s="14" t="str">
        <f>VLOOKUP(B1407, 'Catégorie des articles'!A:E, 4, FALSE)</f>
        <v>VOLAILLE</v>
      </c>
      <c r="F1407" s="14">
        <f t="shared" si="21"/>
        <v>202210</v>
      </c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</row>
    <row r="1408" spans="1:21" ht="12.75" customHeight="1">
      <c r="A1408" s="7">
        <v>143399044</v>
      </c>
      <c r="B1408" s="13">
        <v>5540246181016</v>
      </c>
      <c r="C1408" s="31">
        <v>44863</v>
      </c>
      <c r="D1408" s="8">
        <v>10691</v>
      </c>
      <c r="E1408" s="14" t="str">
        <f>VLOOKUP(B1408, 'Catégorie des articles'!A:E, 4, FALSE)</f>
        <v>VOLAILLE</v>
      </c>
      <c r="F1408" s="14">
        <f t="shared" si="21"/>
        <v>202210</v>
      </c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</row>
    <row r="1409" spans="1:21" ht="12.75" customHeight="1">
      <c r="A1409" s="10">
        <v>143399048</v>
      </c>
      <c r="B1409" s="15">
        <v>5540246191594</v>
      </c>
      <c r="C1409" s="32">
        <v>44856</v>
      </c>
      <c r="D1409" s="11">
        <v>1504</v>
      </c>
      <c r="E1409" s="14" t="str">
        <f>VLOOKUP(B1409, 'Catégorie des articles'!A:E, 4, FALSE)</f>
        <v>CREMERIE</v>
      </c>
      <c r="F1409" s="14">
        <f t="shared" si="21"/>
        <v>202210</v>
      </c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</row>
    <row r="1410" spans="1:21" ht="12.75" customHeight="1">
      <c r="A1410" s="7">
        <v>143399049</v>
      </c>
      <c r="B1410" s="13">
        <v>5540246175047</v>
      </c>
      <c r="C1410" s="31">
        <v>44858</v>
      </c>
      <c r="D1410" s="8">
        <v>279</v>
      </c>
      <c r="E1410" s="14" t="str">
        <f>VLOOKUP(B1410, 'Catégorie des articles'!A:E, 4, FALSE)</f>
        <v>CREMERIE</v>
      </c>
      <c r="F1410" s="14">
        <f t="shared" ref="F1410:F1473" si="22">YEAR(C1410)*100 + MONTH(C1410)</f>
        <v>202210</v>
      </c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</row>
    <row r="1411" spans="1:21" ht="12.75" customHeight="1">
      <c r="A1411" s="7">
        <v>143409059</v>
      </c>
      <c r="B1411" s="13">
        <v>5540246174174</v>
      </c>
      <c r="C1411" s="31">
        <v>44856</v>
      </c>
      <c r="D1411" s="8">
        <v>464</v>
      </c>
      <c r="E1411" s="14" t="str">
        <f>VLOOKUP(B1411, 'Catégorie des articles'!A:E, 4, FALSE)</f>
        <v>CREMERIE</v>
      </c>
      <c r="F1411" s="14">
        <f t="shared" si="22"/>
        <v>202210</v>
      </c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</row>
    <row r="1412" spans="1:21" ht="12.75" customHeight="1">
      <c r="A1412" s="7">
        <v>143409059</v>
      </c>
      <c r="B1412" s="13">
        <v>5540246176699</v>
      </c>
      <c r="C1412" s="31">
        <v>44856</v>
      </c>
      <c r="D1412" s="8">
        <v>4176</v>
      </c>
      <c r="E1412" s="14" t="str">
        <f>VLOOKUP(B1412, 'Catégorie des articles'!A:E, 4, FALSE)</f>
        <v>CREMERIE</v>
      </c>
      <c r="F1412" s="14">
        <f t="shared" si="22"/>
        <v>202210</v>
      </c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</row>
    <row r="1413" spans="1:21" ht="12.75" customHeight="1">
      <c r="A1413" s="10">
        <v>143409061</v>
      </c>
      <c r="B1413" s="15">
        <v>5540246188200</v>
      </c>
      <c r="C1413" s="32">
        <v>44856</v>
      </c>
      <c r="D1413" s="11">
        <v>1485</v>
      </c>
      <c r="E1413" s="14" t="str">
        <f>VLOOKUP(B1413, 'Catégorie des articles'!A:E, 4, FALSE)</f>
        <v>CREMERIE</v>
      </c>
      <c r="F1413" s="14">
        <f t="shared" si="22"/>
        <v>202210</v>
      </c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</row>
    <row r="1414" spans="1:21" ht="12.75" customHeight="1">
      <c r="A1414" s="7">
        <v>143409062</v>
      </c>
      <c r="B1414" s="13">
        <v>5540246195653</v>
      </c>
      <c r="C1414" s="31">
        <v>44869</v>
      </c>
      <c r="D1414" s="8">
        <v>446</v>
      </c>
      <c r="E1414" s="14" t="str">
        <f>VLOOKUP(B1414, 'Catégorie des articles'!A:E, 4, FALSE)</f>
        <v>EMBALLAGES</v>
      </c>
      <c r="F1414" s="14">
        <f t="shared" si="22"/>
        <v>202211</v>
      </c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</row>
    <row r="1415" spans="1:21" ht="12.75" customHeight="1">
      <c r="A1415" s="10">
        <v>143409072</v>
      </c>
      <c r="B1415" s="15">
        <v>5540246173492</v>
      </c>
      <c r="C1415" s="32">
        <v>44858</v>
      </c>
      <c r="D1415" s="11">
        <v>9188</v>
      </c>
      <c r="E1415" s="14" t="str">
        <f>VLOOKUP(B1415, 'Catégorie des articles'!A:E, 4, FALSE)</f>
        <v>VOLAILLE</v>
      </c>
      <c r="F1415" s="14">
        <f t="shared" si="22"/>
        <v>202210</v>
      </c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</row>
    <row r="1416" spans="1:21" ht="12.75" customHeight="1">
      <c r="A1416" s="7">
        <v>143409082</v>
      </c>
      <c r="B1416" s="13">
        <v>5540246177133</v>
      </c>
      <c r="C1416" s="31">
        <v>44864</v>
      </c>
      <c r="D1416" s="8">
        <v>7239</v>
      </c>
      <c r="E1416" s="14" t="str">
        <f>VLOOKUP(B1416, 'Catégorie des articles'!A:E, 4, FALSE)</f>
        <v>MIX LEGUMES</v>
      </c>
      <c r="F1416" s="14">
        <f t="shared" si="22"/>
        <v>202210</v>
      </c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</row>
    <row r="1417" spans="1:21" ht="12.75" customHeight="1">
      <c r="A1417" s="10">
        <v>143409082</v>
      </c>
      <c r="B1417" s="15">
        <v>5540246192148</v>
      </c>
      <c r="C1417" s="32">
        <v>44864</v>
      </c>
      <c r="D1417" s="11">
        <v>11136</v>
      </c>
      <c r="E1417" s="14" t="str">
        <f>VLOOKUP(B1417, 'Catégorie des articles'!A:E, 4, FALSE)</f>
        <v>MIX LEGUMES</v>
      </c>
      <c r="F1417" s="14">
        <f t="shared" si="22"/>
        <v>202210</v>
      </c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</row>
    <row r="1418" spans="1:21" ht="12.75" customHeight="1">
      <c r="A1418" s="7">
        <v>143409082</v>
      </c>
      <c r="B1418" s="13">
        <v>5540246192518</v>
      </c>
      <c r="C1418" s="31">
        <v>44864</v>
      </c>
      <c r="D1418" s="8">
        <v>11693</v>
      </c>
      <c r="E1418" s="14" t="str">
        <f>VLOOKUP(B1418, 'Catégorie des articles'!A:E, 4, FALSE)</f>
        <v>MIX LEGUMES</v>
      </c>
      <c r="F1418" s="14">
        <f t="shared" si="22"/>
        <v>202210</v>
      </c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</row>
    <row r="1419" spans="1:21" ht="12.75" customHeight="1">
      <c r="A1419" s="7">
        <v>143409095</v>
      </c>
      <c r="B1419" s="13">
        <v>5540246196046</v>
      </c>
      <c r="C1419" s="31">
        <v>44858</v>
      </c>
      <c r="D1419" s="8">
        <v>328</v>
      </c>
      <c r="E1419" s="14" t="str">
        <f>VLOOKUP(B1419, 'Catégorie des articles'!A:E, 4, FALSE)</f>
        <v>BOULANGERIE</v>
      </c>
      <c r="F1419" s="14">
        <f t="shared" si="22"/>
        <v>202210</v>
      </c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</row>
    <row r="1420" spans="1:21" ht="12.75" customHeight="1">
      <c r="A1420" s="7">
        <v>143409121</v>
      </c>
      <c r="B1420" s="13">
        <v>5540246191598</v>
      </c>
      <c r="C1420" s="31">
        <v>44858</v>
      </c>
      <c r="D1420" s="8">
        <v>1601</v>
      </c>
      <c r="E1420" s="14" t="str">
        <f>VLOOKUP(B1420, 'Catégorie des articles'!A:E, 4, FALSE)</f>
        <v>CREMERIE</v>
      </c>
      <c r="F1420" s="14">
        <f t="shared" si="22"/>
        <v>202210</v>
      </c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</row>
    <row r="1421" spans="1:21" ht="12.75" customHeight="1">
      <c r="A1421" s="7">
        <v>143409134</v>
      </c>
      <c r="B1421" s="13">
        <v>5540246183130</v>
      </c>
      <c r="C1421" s="31">
        <v>44870</v>
      </c>
      <c r="D1421" s="8">
        <v>4511</v>
      </c>
      <c r="E1421" s="14" t="str">
        <f>VLOOKUP(B1421, 'Catégorie des articles'!A:E, 4, FALSE)</f>
        <v>MIX LEGUMES</v>
      </c>
      <c r="F1421" s="14">
        <f t="shared" si="22"/>
        <v>202211</v>
      </c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</row>
    <row r="1422" spans="1:21" ht="12.75" customHeight="1">
      <c r="A1422" s="10">
        <v>143409134</v>
      </c>
      <c r="B1422" s="15">
        <v>5540246183538</v>
      </c>
      <c r="C1422" s="32">
        <v>44870</v>
      </c>
      <c r="D1422" s="11">
        <v>919</v>
      </c>
      <c r="E1422" s="14" t="str">
        <f>VLOOKUP(B1422, 'Catégorie des articles'!A:E, 4, FALSE)</f>
        <v>MIX LEGUMES</v>
      </c>
      <c r="F1422" s="14">
        <f t="shared" si="22"/>
        <v>202211</v>
      </c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</row>
    <row r="1423" spans="1:21" ht="12.75" customHeight="1">
      <c r="A1423" s="7">
        <v>143409134</v>
      </c>
      <c r="B1423" s="13">
        <v>5540246192571</v>
      </c>
      <c r="C1423" s="31">
        <v>44870</v>
      </c>
      <c r="D1423" s="8">
        <v>669</v>
      </c>
      <c r="E1423" s="14" t="str">
        <f>VLOOKUP(B1423, 'Catégorie des articles'!A:E, 4, FALSE)</f>
        <v>MIX LEGUMES</v>
      </c>
      <c r="F1423" s="14">
        <f t="shared" si="22"/>
        <v>202211</v>
      </c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</row>
    <row r="1424" spans="1:21" ht="12.75" customHeight="1">
      <c r="A1424" s="10">
        <v>143409136</v>
      </c>
      <c r="B1424" s="15">
        <v>5540246192148</v>
      </c>
      <c r="C1424" s="32">
        <v>44870</v>
      </c>
      <c r="D1424" s="11">
        <v>45936</v>
      </c>
      <c r="E1424" s="14" t="str">
        <f>VLOOKUP(B1424, 'Catégorie des articles'!A:E, 4, FALSE)</f>
        <v>MIX LEGUMES</v>
      </c>
      <c r="F1424" s="14">
        <f t="shared" si="22"/>
        <v>202211</v>
      </c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</row>
    <row r="1425" spans="1:21" ht="12.75" customHeight="1">
      <c r="A1425" s="10">
        <v>143409137</v>
      </c>
      <c r="B1425" s="15">
        <v>5540246171759</v>
      </c>
      <c r="C1425" s="32">
        <v>44870</v>
      </c>
      <c r="D1425" s="11">
        <v>3341</v>
      </c>
      <c r="E1425" s="14" t="str">
        <f>VLOOKUP(B1425, 'Catégorie des articles'!A:E, 4, FALSE)</f>
        <v>MIX LEGUMES</v>
      </c>
      <c r="F1425" s="14">
        <f t="shared" si="22"/>
        <v>202211</v>
      </c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</row>
    <row r="1426" spans="1:21" ht="12.75" customHeight="1">
      <c r="A1426" s="7">
        <v>143409137</v>
      </c>
      <c r="B1426" s="13">
        <v>5540246177133</v>
      </c>
      <c r="C1426" s="31">
        <v>44870</v>
      </c>
      <c r="D1426" s="8">
        <v>11693</v>
      </c>
      <c r="E1426" s="14" t="str">
        <f>VLOOKUP(B1426, 'Catégorie des articles'!A:E, 4, FALSE)</f>
        <v>MIX LEGUMES</v>
      </c>
      <c r="F1426" s="14">
        <f t="shared" si="22"/>
        <v>202211</v>
      </c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</row>
    <row r="1427" spans="1:21" ht="12.75" customHeight="1">
      <c r="A1427" s="10">
        <v>143409137</v>
      </c>
      <c r="B1427" s="15">
        <v>5540246192518</v>
      </c>
      <c r="C1427" s="32">
        <v>44870</v>
      </c>
      <c r="D1427" s="11">
        <v>2924</v>
      </c>
      <c r="E1427" s="14" t="str">
        <f>VLOOKUP(B1427, 'Catégorie des articles'!A:E, 4, FALSE)</f>
        <v>MIX LEGUMES</v>
      </c>
      <c r="F1427" s="14">
        <f t="shared" si="22"/>
        <v>202211</v>
      </c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</row>
    <row r="1428" spans="1:21" ht="12.75" customHeight="1">
      <c r="A1428" s="10">
        <v>143409140</v>
      </c>
      <c r="B1428" s="15">
        <v>5540246183558</v>
      </c>
      <c r="C1428" s="32">
        <v>44869</v>
      </c>
      <c r="D1428" s="11">
        <v>5197</v>
      </c>
      <c r="E1428" s="14" t="str">
        <f>VLOOKUP(B1428, 'Catégorie des articles'!A:E, 4, FALSE)</f>
        <v>MIX LEGUMES</v>
      </c>
      <c r="F1428" s="14">
        <f t="shared" si="22"/>
        <v>202211</v>
      </c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</row>
    <row r="1429" spans="1:21" ht="12.75" customHeight="1">
      <c r="A1429" s="7">
        <v>143409140</v>
      </c>
      <c r="B1429" s="13">
        <v>5540246183560</v>
      </c>
      <c r="C1429" s="31">
        <v>44869</v>
      </c>
      <c r="D1429" s="8">
        <v>446</v>
      </c>
      <c r="E1429" s="14" t="str">
        <f>VLOOKUP(B1429, 'Catégorie des articles'!A:E, 4, FALSE)</f>
        <v>MIX LEGUMES</v>
      </c>
      <c r="F1429" s="14">
        <f t="shared" si="22"/>
        <v>202211</v>
      </c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</row>
    <row r="1430" spans="1:21" ht="12.75" customHeight="1">
      <c r="A1430" s="10">
        <v>143409140</v>
      </c>
      <c r="B1430" s="15">
        <v>5540246192209</v>
      </c>
      <c r="C1430" s="32">
        <v>44869</v>
      </c>
      <c r="D1430" s="11">
        <v>2228</v>
      </c>
      <c r="E1430" s="14" t="str">
        <f>VLOOKUP(B1430, 'Catégorie des articles'!A:E, 4, FALSE)</f>
        <v>MIX LEGUMES</v>
      </c>
      <c r="F1430" s="14">
        <f t="shared" si="22"/>
        <v>202211</v>
      </c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</row>
    <row r="1431" spans="1:21" ht="12.75" customHeight="1">
      <c r="A1431" s="7">
        <v>143409140</v>
      </c>
      <c r="B1431" s="13">
        <v>5540246192462</v>
      </c>
      <c r="C1431" s="31">
        <v>44869</v>
      </c>
      <c r="D1431" s="8">
        <v>1114</v>
      </c>
      <c r="E1431" s="14" t="str">
        <f>VLOOKUP(B1431, 'Catégorie des articles'!A:E, 4, FALSE)</f>
        <v>MIX LEGUMES</v>
      </c>
      <c r="F1431" s="14">
        <f t="shared" si="22"/>
        <v>202211</v>
      </c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</row>
    <row r="1432" spans="1:21" ht="12.75" customHeight="1">
      <c r="A1432" s="10">
        <v>143409140</v>
      </c>
      <c r="B1432" s="15">
        <v>5540246192594</v>
      </c>
      <c r="C1432" s="32">
        <v>44869</v>
      </c>
      <c r="D1432" s="11">
        <v>743</v>
      </c>
      <c r="E1432" s="14" t="str">
        <f>VLOOKUP(B1432, 'Catégorie des articles'!A:E, 4, FALSE)</f>
        <v>MIX LEGUMES</v>
      </c>
      <c r="F1432" s="14">
        <f t="shared" si="22"/>
        <v>202211</v>
      </c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</row>
    <row r="1433" spans="1:21" ht="12.75" customHeight="1">
      <c r="A1433" s="7">
        <v>143409142</v>
      </c>
      <c r="B1433" s="13">
        <v>5540246183589</v>
      </c>
      <c r="C1433" s="31">
        <v>44871</v>
      </c>
      <c r="D1433" s="8">
        <v>1949</v>
      </c>
      <c r="E1433" s="14" t="str">
        <f>VLOOKUP(B1433, 'Catégorie des articles'!A:E, 4, FALSE)</f>
        <v>MIX LEGUMES</v>
      </c>
      <c r="F1433" s="14">
        <f t="shared" si="22"/>
        <v>202211</v>
      </c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</row>
    <row r="1434" spans="1:21" ht="12.75" customHeight="1">
      <c r="A1434" s="7">
        <v>143409154</v>
      </c>
      <c r="B1434" s="13">
        <v>5540246180522</v>
      </c>
      <c r="C1434" s="31">
        <v>44865</v>
      </c>
      <c r="D1434" s="8">
        <v>1114</v>
      </c>
      <c r="E1434" s="14" t="str">
        <f>VLOOKUP(B1434, 'Catégorie des articles'!A:E, 4, FALSE)</f>
        <v>BOULANGERIE</v>
      </c>
      <c r="F1434" s="14">
        <f t="shared" si="22"/>
        <v>202210</v>
      </c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</row>
    <row r="1435" spans="1:21" ht="12.75" customHeight="1">
      <c r="A1435" s="10">
        <v>143409155</v>
      </c>
      <c r="B1435" s="15">
        <v>5540246182684</v>
      </c>
      <c r="C1435" s="32">
        <v>44876</v>
      </c>
      <c r="D1435" s="11">
        <v>232</v>
      </c>
      <c r="E1435" s="14" t="str">
        <f>VLOOKUP(B1435, 'Catégorie des articles'!A:E, 4, FALSE)</f>
        <v>BOULANGERIE</v>
      </c>
      <c r="F1435" s="14">
        <f t="shared" si="22"/>
        <v>202211</v>
      </c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</row>
    <row r="1436" spans="1:21" ht="12.75" customHeight="1">
      <c r="A1436" s="10">
        <v>143409155</v>
      </c>
      <c r="B1436" s="15">
        <v>5540246194467</v>
      </c>
      <c r="C1436" s="32">
        <v>44876</v>
      </c>
      <c r="D1436" s="11">
        <v>42095</v>
      </c>
      <c r="E1436" s="14" t="str">
        <f>VLOOKUP(B1436, 'Catégorie des articles'!A:E, 4, FALSE)</f>
        <v>BOULANGERIE</v>
      </c>
      <c r="F1436" s="14">
        <f t="shared" si="22"/>
        <v>202211</v>
      </c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</row>
    <row r="1437" spans="1:21" ht="12.75" customHeight="1">
      <c r="A1437" s="7">
        <v>143409164</v>
      </c>
      <c r="B1437" s="13">
        <v>5540246193316</v>
      </c>
      <c r="C1437" s="31">
        <v>44875</v>
      </c>
      <c r="D1437" s="8">
        <v>780</v>
      </c>
      <c r="E1437" s="14" t="str">
        <f>VLOOKUP(B1437, 'Catégorie des articles'!A:E, 4, FALSE)</f>
        <v>BOULANGERIE</v>
      </c>
      <c r="F1437" s="14">
        <f t="shared" si="22"/>
        <v>202211</v>
      </c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</row>
    <row r="1438" spans="1:21" ht="12.75" customHeight="1">
      <c r="A1438" s="10">
        <v>143409166</v>
      </c>
      <c r="B1438" s="15">
        <v>5540246176295</v>
      </c>
      <c r="C1438" s="32">
        <v>44858</v>
      </c>
      <c r="D1438" s="11">
        <v>6645</v>
      </c>
      <c r="E1438" s="14" t="str">
        <f>VLOOKUP(B1438, 'Catégorie des articles'!A:E, 4, FALSE)</f>
        <v>CREMERIE</v>
      </c>
      <c r="F1438" s="14">
        <f t="shared" si="22"/>
        <v>202210</v>
      </c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</row>
    <row r="1439" spans="1:21" ht="12.75" customHeight="1">
      <c r="A1439" s="7">
        <v>143409166</v>
      </c>
      <c r="B1439" s="13">
        <v>5540246187987</v>
      </c>
      <c r="C1439" s="31">
        <v>44858</v>
      </c>
      <c r="D1439" s="8">
        <v>6682</v>
      </c>
      <c r="E1439" s="14" t="str">
        <f>VLOOKUP(B1439, 'Catégorie des articles'!A:E, 4, FALSE)</f>
        <v>CREMERIE</v>
      </c>
      <c r="F1439" s="14">
        <f t="shared" si="22"/>
        <v>202210</v>
      </c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</row>
    <row r="1440" spans="1:21" ht="12.75" customHeight="1">
      <c r="A1440" s="10">
        <v>143409166</v>
      </c>
      <c r="B1440" s="15">
        <v>5540246188200</v>
      </c>
      <c r="C1440" s="32">
        <v>44858</v>
      </c>
      <c r="D1440" s="11">
        <v>1485</v>
      </c>
      <c r="E1440" s="14" t="str">
        <f>VLOOKUP(B1440, 'Catégorie des articles'!A:E, 4, FALSE)</f>
        <v>CREMERIE</v>
      </c>
      <c r="F1440" s="14">
        <f t="shared" si="22"/>
        <v>202210</v>
      </c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</row>
    <row r="1441" spans="1:21" ht="12.75" customHeight="1">
      <c r="A1441" s="7">
        <v>143409167</v>
      </c>
      <c r="B1441" s="13">
        <v>5540246176699</v>
      </c>
      <c r="C1441" s="31">
        <v>44858</v>
      </c>
      <c r="D1441" s="8">
        <v>4176</v>
      </c>
      <c r="E1441" s="14" t="str">
        <f>VLOOKUP(B1441, 'Catégorie des articles'!A:E, 4, FALSE)</f>
        <v>CREMERIE</v>
      </c>
      <c r="F1441" s="14">
        <f t="shared" si="22"/>
        <v>202210</v>
      </c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</row>
    <row r="1442" spans="1:21" ht="12.75" customHeight="1">
      <c r="A1442" s="10">
        <v>143409167</v>
      </c>
      <c r="B1442" s="15">
        <v>5540246192102</v>
      </c>
      <c r="C1442" s="32">
        <v>44858</v>
      </c>
      <c r="D1442" s="11">
        <v>2005</v>
      </c>
      <c r="E1442" s="14" t="str">
        <f>VLOOKUP(B1442, 'Catégorie des articles'!A:E, 4, FALSE)</f>
        <v>CREMERIE</v>
      </c>
      <c r="F1442" s="14">
        <f t="shared" si="22"/>
        <v>202210</v>
      </c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</row>
    <row r="1443" spans="1:21" ht="12.75" customHeight="1">
      <c r="A1443" s="7">
        <v>143409168</v>
      </c>
      <c r="B1443" s="13">
        <v>5540246186325</v>
      </c>
      <c r="C1443" s="31">
        <v>44863</v>
      </c>
      <c r="D1443" s="8">
        <v>140</v>
      </c>
      <c r="E1443" s="14" t="str">
        <f>VLOOKUP(B1443, 'Catégorie des articles'!A:E, 4, FALSE)</f>
        <v>CREMERIE</v>
      </c>
      <c r="F1443" s="14">
        <f t="shared" si="22"/>
        <v>202210</v>
      </c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</row>
    <row r="1444" spans="1:21" ht="12.75" customHeight="1">
      <c r="A1444" s="7">
        <v>143409176</v>
      </c>
      <c r="B1444" s="13">
        <v>5540246194632</v>
      </c>
      <c r="C1444" s="31">
        <v>44869</v>
      </c>
      <c r="D1444" s="8">
        <v>1253</v>
      </c>
      <c r="E1444" s="14" t="str">
        <f>VLOOKUP(B1444, 'Catégorie des articles'!A:E, 4, FALSE)</f>
        <v>BOULANGERIE</v>
      </c>
      <c r="F1444" s="14">
        <f t="shared" si="22"/>
        <v>202211</v>
      </c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</row>
    <row r="1445" spans="1:21" ht="12.75" customHeight="1">
      <c r="A1445" s="10">
        <v>143409176</v>
      </c>
      <c r="B1445" s="15">
        <v>5540246195250</v>
      </c>
      <c r="C1445" s="32">
        <v>44869</v>
      </c>
      <c r="D1445" s="11">
        <v>161</v>
      </c>
      <c r="E1445" s="14" t="str">
        <f>VLOOKUP(B1445, 'Catégorie des articles'!A:E, 4, FALSE)</f>
        <v>BOULANGERIE</v>
      </c>
      <c r="F1445" s="14">
        <f t="shared" si="22"/>
        <v>202211</v>
      </c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</row>
    <row r="1446" spans="1:21" ht="12.75" customHeight="1">
      <c r="A1446" s="7">
        <v>143409176</v>
      </c>
      <c r="B1446" s="13">
        <v>5540246196046</v>
      </c>
      <c r="C1446" s="31">
        <v>44869</v>
      </c>
      <c r="D1446" s="8">
        <v>251</v>
      </c>
      <c r="E1446" s="14" t="str">
        <f>VLOOKUP(B1446, 'Catégorie des articles'!A:E, 4, FALSE)</f>
        <v>BOULANGERIE</v>
      </c>
      <c r="F1446" s="14">
        <f t="shared" si="22"/>
        <v>202211</v>
      </c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</row>
    <row r="1447" spans="1:21" ht="12.75" customHeight="1">
      <c r="A1447" s="10">
        <v>143409186</v>
      </c>
      <c r="B1447" s="15">
        <v>5540246170256</v>
      </c>
      <c r="C1447" s="32">
        <v>44870</v>
      </c>
      <c r="D1447" s="11">
        <v>2822</v>
      </c>
      <c r="E1447" s="14" t="str">
        <f>VLOOKUP(B1447, 'Catégorie des articles'!A:E, 4, FALSE)</f>
        <v>BOULANGERIE</v>
      </c>
      <c r="F1447" s="14">
        <f t="shared" si="22"/>
        <v>202211</v>
      </c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</row>
    <row r="1448" spans="1:21" ht="12.75" customHeight="1">
      <c r="A1448" s="7">
        <v>143409186</v>
      </c>
      <c r="B1448" s="13">
        <v>5540246171888</v>
      </c>
      <c r="C1448" s="31">
        <v>44870</v>
      </c>
      <c r="D1448" s="8">
        <v>780</v>
      </c>
      <c r="E1448" s="14" t="str">
        <f>VLOOKUP(B1448, 'Catégorie des articles'!A:E, 4, FALSE)</f>
        <v>BOULANGERIE</v>
      </c>
      <c r="F1448" s="14">
        <f t="shared" si="22"/>
        <v>202211</v>
      </c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</row>
    <row r="1449" spans="1:21" ht="12.75" customHeight="1">
      <c r="A1449" s="7">
        <v>143409188</v>
      </c>
      <c r="B1449" s="13">
        <v>5540246181061</v>
      </c>
      <c r="C1449" s="31">
        <v>44862</v>
      </c>
      <c r="D1449" s="8">
        <v>3446</v>
      </c>
      <c r="E1449" s="14" t="str">
        <f>VLOOKUP(B1449, 'Catégorie des articles'!A:E, 4, FALSE)</f>
        <v>VOLAILLE</v>
      </c>
      <c r="F1449" s="14">
        <f t="shared" si="22"/>
        <v>202210</v>
      </c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</row>
    <row r="1450" spans="1:21" ht="12.75" customHeight="1">
      <c r="A1450" s="10">
        <v>143409188</v>
      </c>
      <c r="B1450" s="15">
        <v>5540246185278</v>
      </c>
      <c r="C1450" s="32">
        <v>44862</v>
      </c>
      <c r="D1450" s="11">
        <v>1120</v>
      </c>
      <c r="E1450" s="14" t="str">
        <f>VLOOKUP(B1450, 'Catégorie des articles'!A:E, 4, FALSE)</f>
        <v>VOLAILLE</v>
      </c>
      <c r="F1450" s="14">
        <f t="shared" si="22"/>
        <v>202210</v>
      </c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</row>
    <row r="1451" spans="1:21" ht="12.75" customHeight="1">
      <c r="A1451" s="7">
        <v>143409204</v>
      </c>
      <c r="B1451" s="13">
        <v>5540246187995</v>
      </c>
      <c r="C1451" s="31">
        <v>44871</v>
      </c>
      <c r="D1451" s="8">
        <v>2135</v>
      </c>
      <c r="E1451" s="14" t="str">
        <f>VLOOKUP(B1451, 'Catégorie des articles'!A:E, 4, FALSE)</f>
        <v>EMBALLAGES</v>
      </c>
      <c r="F1451" s="14">
        <f t="shared" si="22"/>
        <v>202211</v>
      </c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</row>
    <row r="1452" spans="1:21" ht="12.75" customHeight="1">
      <c r="A1452" s="10">
        <v>143409204</v>
      </c>
      <c r="B1452" s="15">
        <v>5540246187998</v>
      </c>
      <c r="C1452" s="32">
        <v>44871</v>
      </c>
      <c r="D1452" s="11">
        <v>1230</v>
      </c>
      <c r="E1452" s="14" t="str">
        <f>VLOOKUP(B1452, 'Catégorie des articles'!A:E, 4, FALSE)</f>
        <v>EMBALLAGES</v>
      </c>
      <c r="F1452" s="14">
        <f t="shared" si="22"/>
        <v>202211</v>
      </c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</row>
    <row r="1453" spans="1:21" ht="12.75" customHeight="1">
      <c r="A1453" s="7">
        <v>143409205</v>
      </c>
      <c r="B1453" s="13">
        <v>5540246196092</v>
      </c>
      <c r="C1453" s="31">
        <v>44931</v>
      </c>
      <c r="D1453" s="8">
        <v>3620</v>
      </c>
      <c r="E1453" s="14" t="str">
        <f>VLOOKUP(B1453, 'Catégorie des articles'!A:E, 4, FALSE)</f>
        <v>VOLAILLE</v>
      </c>
      <c r="F1453" s="14">
        <f t="shared" si="22"/>
        <v>202301</v>
      </c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</row>
    <row r="1454" spans="1:21" ht="12.75" customHeight="1">
      <c r="A1454" s="7">
        <v>143409209</v>
      </c>
      <c r="B1454" s="13">
        <v>5540246172978</v>
      </c>
      <c r="C1454" s="31">
        <v>44861</v>
      </c>
      <c r="D1454" s="8">
        <v>2506</v>
      </c>
      <c r="E1454" s="14" t="str">
        <f>VLOOKUP(B1454, 'Catégorie des articles'!A:E, 4, FALSE)</f>
        <v>CREMERIE</v>
      </c>
      <c r="F1454" s="14">
        <f t="shared" si="22"/>
        <v>202210</v>
      </c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</row>
    <row r="1455" spans="1:21" ht="12.75" customHeight="1">
      <c r="A1455" s="7">
        <v>143409209</v>
      </c>
      <c r="B1455" s="13">
        <v>5540246174174</v>
      </c>
      <c r="C1455" s="31">
        <v>44861</v>
      </c>
      <c r="D1455" s="8">
        <v>232</v>
      </c>
      <c r="E1455" s="14" t="str">
        <f>VLOOKUP(B1455, 'Catégorie des articles'!A:E, 4, FALSE)</f>
        <v>CREMERIE</v>
      </c>
      <c r="F1455" s="14">
        <f t="shared" si="22"/>
        <v>202210</v>
      </c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</row>
    <row r="1456" spans="1:21" ht="12.75" customHeight="1">
      <c r="A1456" s="7">
        <v>143409209</v>
      </c>
      <c r="B1456" s="13">
        <v>5540246176699</v>
      </c>
      <c r="C1456" s="31">
        <v>44861</v>
      </c>
      <c r="D1456" s="8">
        <v>4176</v>
      </c>
      <c r="E1456" s="14" t="str">
        <f>VLOOKUP(B1456, 'Catégorie des articles'!A:E, 4, FALSE)</f>
        <v>CREMERIE</v>
      </c>
      <c r="F1456" s="14">
        <f t="shared" si="22"/>
        <v>202210</v>
      </c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</row>
    <row r="1457" spans="1:21" ht="12.75" customHeight="1">
      <c r="A1457" s="7">
        <v>143409211</v>
      </c>
      <c r="B1457" s="13">
        <v>5540246176295</v>
      </c>
      <c r="C1457" s="31">
        <v>44861</v>
      </c>
      <c r="D1457" s="8">
        <v>2599</v>
      </c>
      <c r="E1457" s="14" t="str">
        <f>VLOOKUP(B1457, 'Catégorie des articles'!A:E, 4, FALSE)</f>
        <v>CREMERIE</v>
      </c>
      <c r="F1457" s="14">
        <f t="shared" si="22"/>
        <v>202210</v>
      </c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</row>
    <row r="1458" spans="1:21" ht="12.75" customHeight="1">
      <c r="A1458" s="7">
        <v>143409211</v>
      </c>
      <c r="B1458" s="13">
        <v>5540246187987</v>
      </c>
      <c r="C1458" s="31">
        <v>44861</v>
      </c>
      <c r="D1458" s="8">
        <v>4455</v>
      </c>
      <c r="E1458" s="14" t="str">
        <f>VLOOKUP(B1458, 'Catégorie des articles'!A:E, 4, FALSE)</f>
        <v>CREMERIE</v>
      </c>
      <c r="F1458" s="14">
        <f t="shared" si="22"/>
        <v>202210</v>
      </c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</row>
    <row r="1459" spans="1:21" ht="12.75" customHeight="1">
      <c r="A1459" s="7">
        <v>143409216</v>
      </c>
      <c r="B1459" s="13">
        <v>5540246175049</v>
      </c>
      <c r="C1459" s="31">
        <v>44865</v>
      </c>
      <c r="D1459" s="8">
        <v>557</v>
      </c>
      <c r="E1459" s="14" t="str">
        <f>VLOOKUP(B1459, 'Catégorie des articles'!A:E, 4, FALSE)</f>
        <v>CREMERIE</v>
      </c>
      <c r="F1459" s="14">
        <f t="shared" si="22"/>
        <v>202210</v>
      </c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</row>
    <row r="1460" spans="1:21" ht="12.75" customHeight="1">
      <c r="A1460" s="10">
        <v>143409216</v>
      </c>
      <c r="B1460" s="15">
        <v>5540246190743</v>
      </c>
      <c r="C1460" s="32">
        <v>44865</v>
      </c>
      <c r="D1460" s="11">
        <v>418</v>
      </c>
      <c r="E1460" s="14" t="str">
        <f>VLOOKUP(B1460, 'Catégorie des articles'!A:E, 4, FALSE)</f>
        <v>CREMERIE</v>
      </c>
      <c r="F1460" s="14">
        <f t="shared" si="22"/>
        <v>202210</v>
      </c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</row>
    <row r="1461" spans="1:21" ht="12.75" customHeight="1">
      <c r="A1461" s="10">
        <v>143409224</v>
      </c>
      <c r="B1461" s="15">
        <v>5540246196092</v>
      </c>
      <c r="C1461" s="32">
        <v>44864</v>
      </c>
      <c r="D1461" s="11">
        <v>4826</v>
      </c>
      <c r="E1461" s="14" t="str">
        <f>VLOOKUP(B1461, 'Catégorie des articles'!A:E, 4, FALSE)</f>
        <v>VOLAILLE</v>
      </c>
      <c r="F1461" s="14">
        <f t="shared" si="22"/>
        <v>202210</v>
      </c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</row>
    <row r="1462" spans="1:21" ht="12.75" customHeight="1">
      <c r="A1462" s="10">
        <v>143409235</v>
      </c>
      <c r="B1462" s="15">
        <v>5540246183547</v>
      </c>
      <c r="C1462" s="32">
        <v>44870</v>
      </c>
      <c r="D1462" s="11">
        <v>11136</v>
      </c>
      <c r="E1462" s="14" t="str">
        <f>VLOOKUP(B1462, 'Catégorie des articles'!A:E, 4, FALSE)</f>
        <v>VOLAILLE</v>
      </c>
      <c r="F1462" s="14">
        <f t="shared" si="22"/>
        <v>202211</v>
      </c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</row>
    <row r="1463" spans="1:21" ht="12.75" customHeight="1">
      <c r="A1463" s="10">
        <v>143409237</v>
      </c>
      <c r="B1463" s="15">
        <v>5540246196065</v>
      </c>
      <c r="C1463" s="32">
        <v>44878</v>
      </c>
      <c r="D1463" s="11">
        <v>891</v>
      </c>
      <c r="E1463" s="14" t="str">
        <f>VLOOKUP(B1463, 'Catégorie des articles'!A:E, 4, FALSE)</f>
        <v>BOULANGERIE</v>
      </c>
      <c r="F1463" s="14">
        <f t="shared" si="22"/>
        <v>202211</v>
      </c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</row>
    <row r="1464" spans="1:21" ht="12.75" customHeight="1">
      <c r="A1464" s="10">
        <v>143409250</v>
      </c>
      <c r="B1464" s="15">
        <v>5540246176699</v>
      </c>
      <c r="C1464" s="32">
        <v>44862</v>
      </c>
      <c r="D1464" s="11">
        <v>4176</v>
      </c>
      <c r="E1464" s="14" t="str">
        <f>VLOOKUP(B1464, 'Catégorie des articles'!A:E, 4, FALSE)</f>
        <v>CREMERIE</v>
      </c>
      <c r="F1464" s="14">
        <f t="shared" si="22"/>
        <v>202210</v>
      </c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</row>
    <row r="1465" spans="1:21" ht="12.75" customHeight="1">
      <c r="A1465" s="10">
        <v>143409251</v>
      </c>
      <c r="B1465" s="15">
        <v>5540246171933</v>
      </c>
      <c r="C1465" s="32">
        <v>44862</v>
      </c>
      <c r="D1465" s="11">
        <v>2228</v>
      </c>
      <c r="E1465" s="14" t="str">
        <f>VLOOKUP(B1465, 'Catégorie des articles'!A:E, 4, FALSE)</f>
        <v>CREMERIE</v>
      </c>
      <c r="F1465" s="14">
        <f t="shared" si="22"/>
        <v>202210</v>
      </c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</row>
    <row r="1466" spans="1:21" ht="12.75" customHeight="1">
      <c r="A1466" s="10">
        <v>143409251</v>
      </c>
      <c r="B1466" s="15">
        <v>5540246176294</v>
      </c>
      <c r="C1466" s="32">
        <v>44862</v>
      </c>
      <c r="D1466" s="11">
        <v>1485</v>
      </c>
      <c r="E1466" s="14" t="str">
        <f>VLOOKUP(B1466, 'Catégorie des articles'!A:E, 4, FALSE)</f>
        <v>CREMERIE</v>
      </c>
      <c r="F1466" s="14">
        <f t="shared" si="22"/>
        <v>202210</v>
      </c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</row>
    <row r="1467" spans="1:21" ht="12.75" customHeight="1">
      <c r="A1467" s="7">
        <v>143409251</v>
      </c>
      <c r="B1467" s="13">
        <v>5540246187987</v>
      </c>
      <c r="C1467" s="31">
        <v>44862</v>
      </c>
      <c r="D1467" s="8">
        <v>2228</v>
      </c>
      <c r="E1467" s="14" t="str">
        <f>VLOOKUP(B1467, 'Catégorie des articles'!A:E, 4, FALSE)</f>
        <v>CREMERIE</v>
      </c>
      <c r="F1467" s="14">
        <f t="shared" si="22"/>
        <v>202210</v>
      </c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</row>
    <row r="1468" spans="1:21" ht="12.75" customHeight="1">
      <c r="A1468" s="10">
        <v>143409269</v>
      </c>
      <c r="B1468" s="15">
        <v>5540246196092</v>
      </c>
      <c r="C1468" s="32">
        <v>44858</v>
      </c>
      <c r="D1468" s="11">
        <v>3620</v>
      </c>
      <c r="E1468" s="14" t="str">
        <f>VLOOKUP(B1468, 'Catégorie des articles'!A:E, 4, FALSE)</f>
        <v>VOLAILLE</v>
      </c>
      <c r="F1468" s="14">
        <f t="shared" si="22"/>
        <v>202210</v>
      </c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</row>
    <row r="1469" spans="1:21" ht="12.75" customHeight="1">
      <c r="A1469" s="10">
        <v>143419283</v>
      </c>
      <c r="B1469" s="15">
        <v>5540246188175</v>
      </c>
      <c r="C1469" s="32">
        <v>44863</v>
      </c>
      <c r="D1469" s="11">
        <v>232</v>
      </c>
      <c r="E1469" s="14" t="str">
        <f>VLOOKUP(B1469, 'Catégorie des articles'!A:E, 4, FALSE)</f>
        <v>CREMERIE</v>
      </c>
      <c r="F1469" s="14">
        <f t="shared" si="22"/>
        <v>202210</v>
      </c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</row>
    <row r="1470" spans="1:21" ht="12.75" customHeight="1">
      <c r="A1470" s="10">
        <v>143419284</v>
      </c>
      <c r="B1470" s="15">
        <v>5540246171933</v>
      </c>
      <c r="C1470" s="32">
        <v>44863</v>
      </c>
      <c r="D1470" s="11">
        <v>1114</v>
      </c>
      <c r="E1470" s="14" t="str">
        <f>VLOOKUP(B1470, 'Catégorie des articles'!A:E, 4, FALSE)</f>
        <v>CREMERIE</v>
      </c>
      <c r="F1470" s="14">
        <f t="shared" si="22"/>
        <v>202210</v>
      </c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</row>
    <row r="1471" spans="1:21" ht="12.75" customHeight="1">
      <c r="A1471" s="7">
        <v>143419284</v>
      </c>
      <c r="B1471" s="13">
        <v>5540246176295</v>
      </c>
      <c r="C1471" s="31">
        <v>44863</v>
      </c>
      <c r="D1471" s="8">
        <v>7424</v>
      </c>
      <c r="E1471" s="14" t="str">
        <f>VLOOKUP(B1471, 'Catégorie des articles'!A:E, 4, FALSE)</f>
        <v>CREMERIE</v>
      </c>
      <c r="F1471" s="14">
        <f t="shared" si="22"/>
        <v>202210</v>
      </c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</row>
    <row r="1472" spans="1:21" ht="12.75" customHeight="1">
      <c r="A1472" s="10">
        <v>143419284</v>
      </c>
      <c r="B1472" s="15">
        <v>5540246188200</v>
      </c>
      <c r="C1472" s="32">
        <v>44863</v>
      </c>
      <c r="D1472" s="11">
        <v>1485</v>
      </c>
      <c r="E1472" s="14" t="str">
        <f>VLOOKUP(B1472, 'Catégorie des articles'!A:E, 4, FALSE)</f>
        <v>CREMERIE</v>
      </c>
      <c r="F1472" s="14">
        <f t="shared" si="22"/>
        <v>202210</v>
      </c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</row>
    <row r="1473" spans="1:21" ht="12.75" customHeight="1">
      <c r="A1473" s="7">
        <v>143419285</v>
      </c>
      <c r="B1473" s="13">
        <v>5540246191594</v>
      </c>
      <c r="C1473" s="31">
        <v>44864</v>
      </c>
      <c r="D1473" s="8">
        <v>1504</v>
      </c>
      <c r="E1473" s="14" t="str">
        <f>VLOOKUP(B1473, 'Catégorie des articles'!A:E, 4, FALSE)</f>
        <v>CREMERIE</v>
      </c>
      <c r="F1473" s="14">
        <f t="shared" si="22"/>
        <v>202210</v>
      </c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</row>
    <row r="1474" spans="1:21" ht="12.75" customHeight="1">
      <c r="A1474" s="7">
        <v>143419300</v>
      </c>
      <c r="B1474" s="13">
        <v>5540246192907</v>
      </c>
      <c r="C1474" s="31">
        <v>44877</v>
      </c>
      <c r="D1474" s="8">
        <v>11136</v>
      </c>
      <c r="E1474" s="14" t="str">
        <f>VLOOKUP(B1474, 'Catégorie des articles'!A:E, 4, FALSE)</f>
        <v>VOLAILLE</v>
      </c>
      <c r="F1474" s="14">
        <f t="shared" ref="F1474:F1537" si="23">YEAR(C1474)*100 + MONTH(C1474)</f>
        <v>202211</v>
      </c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</row>
    <row r="1475" spans="1:21" ht="12.75" customHeight="1">
      <c r="A1475" s="10">
        <v>143419301</v>
      </c>
      <c r="B1475" s="15">
        <v>5540246193878</v>
      </c>
      <c r="C1475" s="32">
        <v>44875</v>
      </c>
      <c r="D1475" s="11">
        <v>16774</v>
      </c>
      <c r="E1475" s="14" t="str">
        <f>VLOOKUP(B1475, 'Catégorie des articles'!A:E, 4, FALSE)</f>
        <v>VOLAILLE</v>
      </c>
      <c r="F1475" s="14">
        <f t="shared" si="23"/>
        <v>202211</v>
      </c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</row>
    <row r="1476" spans="1:21" ht="12.75" customHeight="1">
      <c r="A1476" s="7">
        <v>143419307</v>
      </c>
      <c r="B1476" s="13">
        <v>5540246171933</v>
      </c>
      <c r="C1476" s="31">
        <v>44864</v>
      </c>
      <c r="D1476" s="8">
        <v>1671</v>
      </c>
      <c r="E1476" s="14" t="str">
        <f>VLOOKUP(B1476, 'Catégorie des articles'!A:E, 4, FALSE)</f>
        <v>CREMERIE</v>
      </c>
      <c r="F1476" s="14">
        <f t="shared" si="23"/>
        <v>202210</v>
      </c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</row>
    <row r="1477" spans="1:21" ht="12.75" customHeight="1">
      <c r="A1477" s="10">
        <v>143419307</v>
      </c>
      <c r="B1477" s="15">
        <v>5540246176295</v>
      </c>
      <c r="C1477" s="32">
        <v>44864</v>
      </c>
      <c r="D1477" s="11">
        <v>5940</v>
      </c>
      <c r="E1477" s="14" t="str">
        <f>VLOOKUP(B1477, 'Catégorie des articles'!A:E, 4, FALSE)</f>
        <v>CREMERIE</v>
      </c>
      <c r="F1477" s="14">
        <f t="shared" si="23"/>
        <v>202210</v>
      </c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</row>
    <row r="1478" spans="1:21" ht="12.75" customHeight="1">
      <c r="A1478" s="7">
        <v>143419307</v>
      </c>
      <c r="B1478" s="13">
        <v>5540246187987</v>
      </c>
      <c r="C1478" s="31">
        <v>44864</v>
      </c>
      <c r="D1478" s="8">
        <v>3341</v>
      </c>
      <c r="E1478" s="14" t="str">
        <f>VLOOKUP(B1478, 'Catégorie des articles'!A:E, 4, FALSE)</f>
        <v>CREMERIE</v>
      </c>
      <c r="F1478" s="14">
        <f t="shared" si="23"/>
        <v>202210</v>
      </c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</row>
    <row r="1479" spans="1:21" ht="12.75" customHeight="1">
      <c r="A1479" s="10">
        <v>143419307</v>
      </c>
      <c r="B1479" s="15">
        <v>5540246188200</v>
      </c>
      <c r="C1479" s="32">
        <v>44864</v>
      </c>
      <c r="D1479" s="11">
        <v>1485</v>
      </c>
      <c r="E1479" s="14" t="str">
        <f>VLOOKUP(B1479, 'Catégorie des articles'!A:E, 4, FALSE)</f>
        <v>CREMERIE</v>
      </c>
      <c r="F1479" s="14">
        <f t="shared" si="23"/>
        <v>202210</v>
      </c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</row>
    <row r="1480" spans="1:21" ht="12.75" customHeight="1">
      <c r="A1480" s="7">
        <v>143419308</v>
      </c>
      <c r="B1480" s="13">
        <v>5540246172669</v>
      </c>
      <c r="C1480" s="31">
        <v>44864</v>
      </c>
      <c r="D1480" s="8">
        <v>140</v>
      </c>
      <c r="E1480" s="14" t="str">
        <f>VLOOKUP(B1480, 'Catégorie des articles'!A:E, 4, FALSE)</f>
        <v>CREMERIE</v>
      </c>
      <c r="F1480" s="14">
        <f t="shared" si="23"/>
        <v>202210</v>
      </c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</row>
    <row r="1481" spans="1:21" ht="12.75" customHeight="1">
      <c r="A1481" s="10">
        <v>143419308</v>
      </c>
      <c r="B1481" s="15">
        <v>5540246172978</v>
      </c>
      <c r="C1481" s="32">
        <v>44864</v>
      </c>
      <c r="D1481" s="11">
        <v>1671</v>
      </c>
      <c r="E1481" s="14" t="str">
        <f>VLOOKUP(B1481, 'Catégorie des articles'!A:E, 4, FALSE)</f>
        <v>CREMERIE</v>
      </c>
      <c r="F1481" s="14">
        <f t="shared" si="23"/>
        <v>202210</v>
      </c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</row>
    <row r="1482" spans="1:21" ht="12.75" customHeight="1">
      <c r="A1482" s="7">
        <v>143419310</v>
      </c>
      <c r="B1482" s="13">
        <v>5540246173472</v>
      </c>
      <c r="C1482" s="31">
        <v>44869</v>
      </c>
      <c r="D1482" s="8">
        <v>279</v>
      </c>
      <c r="E1482" s="14" t="str">
        <f>VLOOKUP(B1482, 'Catégorie des articles'!A:E, 4, FALSE)</f>
        <v>CREMERIE</v>
      </c>
      <c r="F1482" s="14">
        <f t="shared" si="23"/>
        <v>202211</v>
      </c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</row>
    <row r="1483" spans="1:21" ht="12.75" customHeight="1">
      <c r="A1483" s="10">
        <v>143419310</v>
      </c>
      <c r="B1483" s="15">
        <v>5540246175047</v>
      </c>
      <c r="C1483" s="32">
        <v>44869</v>
      </c>
      <c r="D1483" s="11">
        <v>279</v>
      </c>
      <c r="E1483" s="14" t="str">
        <f>VLOOKUP(B1483, 'Catégorie des articles'!A:E, 4, FALSE)</f>
        <v>CREMERIE</v>
      </c>
      <c r="F1483" s="14">
        <f t="shared" si="23"/>
        <v>202211</v>
      </c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</row>
    <row r="1484" spans="1:21" ht="12.75" customHeight="1">
      <c r="A1484" s="7">
        <v>143419310</v>
      </c>
      <c r="B1484" s="13">
        <v>5540246175049</v>
      </c>
      <c r="C1484" s="31">
        <v>44869</v>
      </c>
      <c r="D1484" s="8">
        <v>836</v>
      </c>
      <c r="E1484" s="14" t="str">
        <f>VLOOKUP(B1484, 'Catégorie des articles'!A:E, 4, FALSE)</f>
        <v>CREMERIE</v>
      </c>
      <c r="F1484" s="14">
        <f t="shared" si="23"/>
        <v>202211</v>
      </c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</row>
    <row r="1485" spans="1:21" ht="12.75" customHeight="1">
      <c r="A1485" s="10">
        <v>143419310</v>
      </c>
      <c r="B1485" s="15">
        <v>5540246175050</v>
      </c>
      <c r="C1485" s="32">
        <v>44869</v>
      </c>
      <c r="D1485" s="11">
        <v>557</v>
      </c>
      <c r="E1485" s="14" t="str">
        <f>VLOOKUP(B1485, 'Catégorie des articles'!A:E, 4, FALSE)</f>
        <v>CREMERIE</v>
      </c>
      <c r="F1485" s="14">
        <f t="shared" si="23"/>
        <v>202211</v>
      </c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</row>
    <row r="1486" spans="1:21" ht="12.75" customHeight="1">
      <c r="A1486" s="7">
        <v>143419332</v>
      </c>
      <c r="B1486" s="13">
        <v>5540246171933</v>
      </c>
      <c r="C1486" s="31">
        <v>44865</v>
      </c>
      <c r="D1486" s="8">
        <v>1114</v>
      </c>
      <c r="E1486" s="14" t="str">
        <f>VLOOKUP(B1486, 'Catégorie des articles'!A:E, 4, FALSE)</f>
        <v>CREMERIE</v>
      </c>
      <c r="F1486" s="14">
        <f t="shared" si="23"/>
        <v>202210</v>
      </c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</row>
    <row r="1487" spans="1:21" ht="12.75" customHeight="1">
      <c r="A1487" s="7">
        <v>143419332</v>
      </c>
      <c r="B1487" s="13">
        <v>5540246176295</v>
      </c>
      <c r="C1487" s="31">
        <v>44865</v>
      </c>
      <c r="D1487" s="8">
        <v>4603</v>
      </c>
      <c r="E1487" s="14" t="str">
        <f>VLOOKUP(B1487, 'Catégorie des articles'!A:E, 4, FALSE)</f>
        <v>CREMERIE</v>
      </c>
      <c r="F1487" s="14">
        <f t="shared" si="23"/>
        <v>202210</v>
      </c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</row>
    <row r="1488" spans="1:21" ht="12.75" customHeight="1">
      <c r="A1488" s="10">
        <v>143419332</v>
      </c>
      <c r="B1488" s="15">
        <v>5540246187987</v>
      </c>
      <c r="C1488" s="32">
        <v>44865</v>
      </c>
      <c r="D1488" s="11">
        <v>4455</v>
      </c>
      <c r="E1488" s="14" t="str">
        <f>VLOOKUP(B1488, 'Catégorie des articles'!A:E, 4, FALSE)</f>
        <v>CREMERIE</v>
      </c>
      <c r="F1488" s="14">
        <f t="shared" si="23"/>
        <v>202210</v>
      </c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</row>
    <row r="1489" spans="1:21" ht="12.75" customHeight="1">
      <c r="A1489" s="7">
        <v>143419332</v>
      </c>
      <c r="B1489" s="13">
        <v>5540246188200</v>
      </c>
      <c r="C1489" s="31">
        <v>44865</v>
      </c>
      <c r="D1489" s="8">
        <v>1485</v>
      </c>
      <c r="E1489" s="14" t="str">
        <f>VLOOKUP(B1489, 'Catégorie des articles'!A:E, 4, FALSE)</f>
        <v>CREMERIE</v>
      </c>
      <c r="F1489" s="14">
        <f t="shared" si="23"/>
        <v>202210</v>
      </c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</row>
    <row r="1490" spans="1:21" ht="12.75" customHeight="1">
      <c r="A1490" s="10">
        <v>143419333</v>
      </c>
      <c r="B1490" s="15">
        <v>5540246172978</v>
      </c>
      <c r="C1490" s="32">
        <v>44865</v>
      </c>
      <c r="D1490" s="11">
        <v>418</v>
      </c>
      <c r="E1490" s="14" t="str">
        <f>VLOOKUP(B1490, 'Catégorie des articles'!A:E, 4, FALSE)</f>
        <v>CREMERIE</v>
      </c>
      <c r="F1490" s="14">
        <f t="shared" si="23"/>
        <v>202210</v>
      </c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</row>
    <row r="1491" spans="1:21" ht="12.75" customHeight="1">
      <c r="A1491" s="7">
        <v>143419333</v>
      </c>
      <c r="B1491" s="13">
        <v>5540246174174</v>
      </c>
      <c r="C1491" s="31">
        <v>44865</v>
      </c>
      <c r="D1491" s="8">
        <v>464</v>
      </c>
      <c r="E1491" s="14" t="str">
        <f>VLOOKUP(B1491, 'Catégorie des articles'!A:E, 4, FALSE)</f>
        <v>CREMERIE</v>
      </c>
      <c r="F1491" s="14">
        <f t="shared" si="23"/>
        <v>202210</v>
      </c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</row>
    <row r="1492" spans="1:21" ht="12.75" customHeight="1">
      <c r="A1492" s="7">
        <v>143419333</v>
      </c>
      <c r="B1492" s="13">
        <v>5540246176699</v>
      </c>
      <c r="C1492" s="31">
        <v>44865</v>
      </c>
      <c r="D1492" s="8">
        <v>4176</v>
      </c>
      <c r="E1492" s="14" t="str">
        <f>VLOOKUP(B1492, 'Catégorie des articles'!A:E, 4, FALSE)</f>
        <v>CREMERIE</v>
      </c>
      <c r="F1492" s="14">
        <f t="shared" si="23"/>
        <v>202210</v>
      </c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</row>
    <row r="1493" spans="1:21" ht="12.75" customHeight="1">
      <c r="A1493" s="10">
        <v>143419333</v>
      </c>
      <c r="B1493" s="15">
        <v>5540246188175</v>
      </c>
      <c r="C1493" s="32">
        <v>44865</v>
      </c>
      <c r="D1493" s="11">
        <v>232</v>
      </c>
      <c r="E1493" s="14" t="str">
        <f>VLOOKUP(B1493, 'Catégorie des articles'!A:E, 4, FALSE)</f>
        <v>CREMERIE</v>
      </c>
      <c r="F1493" s="14">
        <f t="shared" si="23"/>
        <v>202210</v>
      </c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</row>
    <row r="1494" spans="1:21" ht="12.75" customHeight="1">
      <c r="A1494" s="7">
        <v>143419343</v>
      </c>
      <c r="B1494" s="13">
        <v>5540246174095</v>
      </c>
      <c r="C1494" s="31">
        <v>44872</v>
      </c>
      <c r="D1494" s="8">
        <v>140</v>
      </c>
      <c r="E1494" s="14" t="str">
        <f>VLOOKUP(B1494, 'Catégorie des articles'!A:E, 4, FALSE)</f>
        <v>CREMERIE</v>
      </c>
      <c r="F1494" s="14">
        <f t="shared" si="23"/>
        <v>202211</v>
      </c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</row>
    <row r="1495" spans="1:21" ht="12.75" customHeight="1">
      <c r="A1495" s="10">
        <v>143419343</v>
      </c>
      <c r="B1495" s="15">
        <v>5540246175047</v>
      </c>
      <c r="C1495" s="32">
        <v>44872</v>
      </c>
      <c r="D1495" s="11">
        <v>279</v>
      </c>
      <c r="E1495" s="14" t="str">
        <f>VLOOKUP(B1495, 'Catégorie des articles'!A:E, 4, FALSE)</f>
        <v>CREMERIE</v>
      </c>
      <c r="F1495" s="14">
        <f t="shared" si="23"/>
        <v>202211</v>
      </c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</row>
    <row r="1496" spans="1:21" ht="12.75" customHeight="1">
      <c r="A1496" s="7">
        <v>143419343</v>
      </c>
      <c r="B1496" s="13">
        <v>5540246175049</v>
      </c>
      <c r="C1496" s="31">
        <v>44872</v>
      </c>
      <c r="D1496" s="8">
        <v>1114</v>
      </c>
      <c r="E1496" s="14" t="str">
        <f>VLOOKUP(B1496, 'Catégorie des articles'!A:E, 4, FALSE)</f>
        <v>CREMERIE</v>
      </c>
      <c r="F1496" s="14">
        <f t="shared" si="23"/>
        <v>202211</v>
      </c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</row>
    <row r="1497" spans="1:21" ht="12.75" customHeight="1">
      <c r="A1497" s="10">
        <v>143419343</v>
      </c>
      <c r="B1497" s="15">
        <v>5540246175050</v>
      </c>
      <c r="C1497" s="32">
        <v>44872</v>
      </c>
      <c r="D1497" s="11">
        <v>418</v>
      </c>
      <c r="E1497" s="14" t="str">
        <f>VLOOKUP(B1497, 'Catégorie des articles'!A:E, 4, FALSE)</f>
        <v>CREMERIE</v>
      </c>
      <c r="F1497" s="14">
        <f t="shared" si="23"/>
        <v>202211</v>
      </c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</row>
    <row r="1498" spans="1:21" ht="12.75" customHeight="1">
      <c r="A1498" s="7">
        <v>143419356</v>
      </c>
      <c r="B1498" s="13">
        <v>5540246171933</v>
      </c>
      <c r="C1498" s="31">
        <v>44868</v>
      </c>
      <c r="D1498" s="8">
        <v>1671</v>
      </c>
      <c r="E1498" s="14" t="str">
        <f>VLOOKUP(B1498, 'Catégorie des articles'!A:E, 4, FALSE)</f>
        <v>CREMERIE</v>
      </c>
      <c r="F1498" s="14">
        <f t="shared" si="23"/>
        <v>202211</v>
      </c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</row>
    <row r="1499" spans="1:21" ht="12.75" customHeight="1">
      <c r="A1499" s="10">
        <v>143419356</v>
      </c>
      <c r="B1499" s="15">
        <v>5540246176295</v>
      </c>
      <c r="C1499" s="32">
        <v>44868</v>
      </c>
      <c r="D1499" s="11">
        <v>5940</v>
      </c>
      <c r="E1499" s="14" t="str">
        <f>VLOOKUP(B1499, 'Catégorie des articles'!A:E, 4, FALSE)</f>
        <v>CREMERIE</v>
      </c>
      <c r="F1499" s="14">
        <f t="shared" si="23"/>
        <v>202211</v>
      </c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</row>
    <row r="1500" spans="1:21" ht="12.75" customHeight="1">
      <c r="A1500" s="10">
        <v>143419356</v>
      </c>
      <c r="B1500" s="15">
        <v>5540246187987</v>
      </c>
      <c r="C1500" s="32">
        <v>44868</v>
      </c>
      <c r="D1500" s="11">
        <v>4455</v>
      </c>
      <c r="E1500" s="14" t="str">
        <f>VLOOKUP(B1500, 'Catégorie des articles'!A:E, 4, FALSE)</f>
        <v>CREMERIE</v>
      </c>
      <c r="F1500" s="14">
        <f t="shared" si="23"/>
        <v>202211</v>
      </c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</row>
    <row r="1501" spans="1:21" ht="12.75" customHeight="1">
      <c r="A1501" s="7">
        <v>143419356</v>
      </c>
      <c r="B1501" s="13">
        <v>5540246188200</v>
      </c>
      <c r="C1501" s="31">
        <v>44868</v>
      </c>
      <c r="D1501" s="8">
        <v>2970</v>
      </c>
      <c r="E1501" s="14" t="str">
        <f>VLOOKUP(B1501, 'Catégorie des articles'!A:E, 4, FALSE)</f>
        <v>CREMERIE</v>
      </c>
      <c r="F1501" s="14">
        <f t="shared" si="23"/>
        <v>202211</v>
      </c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</row>
    <row r="1502" spans="1:21" ht="12.75" customHeight="1">
      <c r="A1502" s="10">
        <v>143419360</v>
      </c>
      <c r="B1502" s="15">
        <v>5540246174174</v>
      </c>
      <c r="C1502" s="32">
        <v>44868</v>
      </c>
      <c r="D1502" s="11">
        <v>464</v>
      </c>
      <c r="E1502" s="14" t="str">
        <f>VLOOKUP(B1502, 'Catégorie des articles'!A:E, 4, FALSE)</f>
        <v>CREMERIE</v>
      </c>
      <c r="F1502" s="14">
        <f t="shared" si="23"/>
        <v>202211</v>
      </c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</row>
    <row r="1503" spans="1:21" ht="12.75" customHeight="1">
      <c r="A1503" s="7">
        <v>143419360</v>
      </c>
      <c r="B1503" s="13">
        <v>5540246176699</v>
      </c>
      <c r="C1503" s="31">
        <v>44868</v>
      </c>
      <c r="D1503" s="8">
        <v>8352</v>
      </c>
      <c r="E1503" s="14" t="str">
        <f>VLOOKUP(B1503, 'Catégorie des articles'!A:E, 4, FALSE)</f>
        <v>CREMERIE</v>
      </c>
      <c r="F1503" s="14">
        <f t="shared" si="23"/>
        <v>202211</v>
      </c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</row>
    <row r="1504" spans="1:21" ht="12.75" customHeight="1">
      <c r="A1504" s="10">
        <v>143419360</v>
      </c>
      <c r="B1504" s="15">
        <v>5540246192102</v>
      </c>
      <c r="C1504" s="32">
        <v>44868</v>
      </c>
      <c r="D1504" s="11">
        <v>2005</v>
      </c>
      <c r="E1504" s="14" t="str">
        <f>VLOOKUP(B1504, 'Catégorie des articles'!A:E, 4, FALSE)</f>
        <v>CREMERIE</v>
      </c>
      <c r="F1504" s="14">
        <f t="shared" si="23"/>
        <v>202211</v>
      </c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</row>
    <row r="1505" spans="1:21" ht="12.75" customHeight="1">
      <c r="A1505" s="7">
        <v>143419365</v>
      </c>
      <c r="B1505" s="13">
        <v>5540246186325</v>
      </c>
      <c r="C1505" s="31">
        <v>44869</v>
      </c>
      <c r="D1505" s="8">
        <v>140</v>
      </c>
      <c r="E1505" s="14" t="str">
        <f>VLOOKUP(B1505, 'Catégorie des articles'!A:E, 4, FALSE)</f>
        <v>CREMERIE</v>
      </c>
      <c r="F1505" s="14">
        <f t="shared" si="23"/>
        <v>202211</v>
      </c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</row>
    <row r="1506" spans="1:21" ht="12.75" customHeight="1">
      <c r="A1506" s="7">
        <v>143419376</v>
      </c>
      <c r="B1506" s="13">
        <v>5540246196148</v>
      </c>
      <c r="C1506" s="31">
        <v>44871</v>
      </c>
      <c r="D1506" s="8">
        <v>780</v>
      </c>
      <c r="E1506" s="14" t="str">
        <f>VLOOKUP(B1506, 'Catégorie des articles'!A:E, 4, FALSE)</f>
        <v>EMBALLAGES</v>
      </c>
      <c r="F1506" s="14">
        <f t="shared" si="23"/>
        <v>202211</v>
      </c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</row>
    <row r="1507" spans="1:21" ht="12.75" customHeight="1">
      <c r="A1507" s="7">
        <v>143419407</v>
      </c>
      <c r="B1507" s="13">
        <v>5540246172669</v>
      </c>
      <c r="C1507" s="31">
        <v>44869</v>
      </c>
      <c r="D1507" s="8">
        <v>279</v>
      </c>
      <c r="E1507" s="14" t="str">
        <f>VLOOKUP(B1507, 'Catégorie des articles'!A:E, 4, FALSE)</f>
        <v>CREMERIE</v>
      </c>
      <c r="F1507" s="14">
        <f t="shared" si="23"/>
        <v>202211</v>
      </c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</row>
    <row r="1508" spans="1:21" ht="12.75" customHeight="1">
      <c r="A1508" s="10">
        <v>143419407</v>
      </c>
      <c r="B1508" s="15">
        <v>5540246174174</v>
      </c>
      <c r="C1508" s="32">
        <v>44869</v>
      </c>
      <c r="D1508" s="11">
        <v>464</v>
      </c>
      <c r="E1508" s="14" t="str">
        <f>VLOOKUP(B1508, 'Catégorie des articles'!A:E, 4, FALSE)</f>
        <v>CREMERIE</v>
      </c>
      <c r="F1508" s="14">
        <f t="shared" si="23"/>
        <v>202211</v>
      </c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</row>
    <row r="1509" spans="1:21" ht="12.75" customHeight="1">
      <c r="A1509" s="10">
        <v>143419409</v>
      </c>
      <c r="B1509" s="15">
        <v>5540246176294</v>
      </c>
      <c r="C1509" s="32">
        <v>44869</v>
      </c>
      <c r="D1509" s="11">
        <v>1114</v>
      </c>
      <c r="E1509" s="14" t="str">
        <f>VLOOKUP(B1509, 'Catégorie des articles'!A:E, 4, FALSE)</f>
        <v>CREMERIE</v>
      </c>
      <c r="F1509" s="14">
        <f t="shared" si="23"/>
        <v>202211</v>
      </c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</row>
    <row r="1510" spans="1:21" ht="12.75" customHeight="1">
      <c r="A1510" s="7">
        <v>143419409</v>
      </c>
      <c r="B1510" s="13">
        <v>5540246176295</v>
      </c>
      <c r="C1510" s="31">
        <v>44869</v>
      </c>
      <c r="D1510" s="8">
        <v>4752</v>
      </c>
      <c r="E1510" s="14" t="str">
        <f>VLOOKUP(B1510, 'Catégorie des articles'!A:E, 4, FALSE)</f>
        <v>CREMERIE</v>
      </c>
      <c r="F1510" s="14">
        <f t="shared" si="23"/>
        <v>202211</v>
      </c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</row>
    <row r="1511" spans="1:21" ht="12.75" customHeight="1">
      <c r="A1511" s="7">
        <v>143419418</v>
      </c>
      <c r="B1511" s="13">
        <v>5540246195241</v>
      </c>
      <c r="C1511" s="31">
        <v>44883</v>
      </c>
      <c r="D1511" s="8">
        <v>743</v>
      </c>
      <c r="E1511" s="14" t="str">
        <f>VLOOKUP(B1511, 'Catégorie des articles'!A:E, 4, FALSE)</f>
        <v>MIX LEGUMES</v>
      </c>
      <c r="F1511" s="14">
        <f t="shared" si="23"/>
        <v>202211</v>
      </c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</row>
    <row r="1512" spans="1:21" ht="12.75" customHeight="1">
      <c r="A1512" s="10">
        <v>143419418</v>
      </c>
      <c r="B1512" s="15">
        <v>5540246195242</v>
      </c>
      <c r="C1512" s="32">
        <v>44883</v>
      </c>
      <c r="D1512" s="11">
        <v>743</v>
      </c>
      <c r="E1512" s="14" t="str">
        <f>VLOOKUP(B1512, 'Catégorie des articles'!A:E, 4, FALSE)</f>
        <v>MIX LEGUMES</v>
      </c>
      <c r="F1512" s="14">
        <f t="shared" si="23"/>
        <v>202211</v>
      </c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</row>
    <row r="1513" spans="1:21" ht="12.75" customHeight="1">
      <c r="A1513" s="10">
        <v>143419428</v>
      </c>
      <c r="B1513" s="15">
        <v>5540246195653</v>
      </c>
      <c r="C1513" s="32">
        <v>44891</v>
      </c>
      <c r="D1513" s="11">
        <v>446</v>
      </c>
      <c r="E1513" s="14" t="str">
        <f>VLOOKUP(B1513, 'Catégorie des articles'!A:E, 4, FALSE)</f>
        <v>EMBALLAGES</v>
      </c>
      <c r="F1513" s="14">
        <f t="shared" si="23"/>
        <v>202211</v>
      </c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</row>
    <row r="1514" spans="1:21" ht="12.75" customHeight="1">
      <c r="A1514" s="10">
        <v>143429435</v>
      </c>
      <c r="B1514" s="15">
        <v>5540246172978</v>
      </c>
      <c r="C1514" s="32">
        <v>44870</v>
      </c>
      <c r="D1514" s="11">
        <v>1671</v>
      </c>
      <c r="E1514" s="14" t="str">
        <f>VLOOKUP(B1514, 'Catégorie des articles'!A:E, 4, FALSE)</f>
        <v>CREMERIE</v>
      </c>
      <c r="F1514" s="14">
        <f t="shared" si="23"/>
        <v>202211</v>
      </c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</row>
    <row r="1515" spans="1:21" ht="12.75" customHeight="1">
      <c r="A1515" s="10">
        <v>143429435</v>
      </c>
      <c r="B1515" s="15">
        <v>5540246176699</v>
      </c>
      <c r="C1515" s="32">
        <v>44870</v>
      </c>
      <c r="D1515" s="11">
        <v>8352</v>
      </c>
      <c r="E1515" s="14" t="str">
        <f>VLOOKUP(B1515, 'Catégorie des articles'!A:E, 4, FALSE)</f>
        <v>CREMERIE</v>
      </c>
      <c r="F1515" s="14">
        <f t="shared" si="23"/>
        <v>202211</v>
      </c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</row>
    <row r="1516" spans="1:21" ht="12.75" customHeight="1">
      <c r="A1516" s="10">
        <v>143429435</v>
      </c>
      <c r="B1516" s="15">
        <v>5540246188175</v>
      </c>
      <c r="C1516" s="32">
        <v>44870</v>
      </c>
      <c r="D1516" s="11">
        <v>232</v>
      </c>
      <c r="E1516" s="14" t="str">
        <f>VLOOKUP(B1516, 'Catégorie des articles'!A:E, 4, FALSE)</f>
        <v>CREMERIE</v>
      </c>
      <c r="F1516" s="14">
        <f t="shared" si="23"/>
        <v>202211</v>
      </c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</row>
    <row r="1517" spans="1:21" ht="12.75" customHeight="1">
      <c r="A1517" s="7">
        <v>143429436</v>
      </c>
      <c r="B1517" s="13">
        <v>5540246171933</v>
      </c>
      <c r="C1517" s="31">
        <v>44870</v>
      </c>
      <c r="D1517" s="8">
        <v>557</v>
      </c>
      <c r="E1517" s="14" t="str">
        <f>VLOOKUP(B1517, 'Catégorie des articles'!A:E, 4, FALSE)</f>
        <v>CREMERIE</v>
      </c>
      <c r="F1517" s="14">
        <f t="shared" si="23"/>
        <v>202211</v>
      </c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</row>
    <row r="1518" spans="1:21" ht="12.75" customHeight="1">
      <c r="A1518" s="10">
        <v>143429442</v>
      </c>
      <c r="B1518" s="15">
        <v>5540246181016</v>
      </c>
      <c r="C1518" s="32">
        <v>44878</v>
      </c>
      <c r="D1518" s="11">
        <v>14255</v>
      </c>
      <c r="E1518" s="14" t="str">
        <f>VLOOKUP(B1518, 'Catégorie des articles'!A:E, 4, FALSE)</f>
        <v>VOLAILLE</v>
      </c>
      <c r="F1518" s="14">
        <f t="shared" si="23"/>
        <v>202211</v>
      </c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</row>
    <row r="1519" spans="1:21" ht="12.75" customHeight="1">
      <c r="A1519" s="7">
        <v>143429450</v>
      </c>
      <c r="B1519" s="13">
        <v>5540246195943</v>
      </c>
      <c r="C1519" s="31">
        <v>44875</v>
      </c>
      <c r="D1519" s="8">
        <v>859</v>
      </c>
      <c r="E1519" s="14" t="str">
        <f>VLOOKUP(B1519, 'Catégorie des articles'!A:E, 4, FALSE)</f>
        <v>CREMERIE</v>
      </c>
      <c r="F1519" s="14">
        <f t="shared" si="23"/>
        <v>202211</v>
      </c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</row>
    <row r="1520" spans="1:21" ht="12.75" customHeight="1">
      <c r="A1520" s="7">
        <v>143429456</v>
      </c>
      <c r="B1520" s="13">
        <v>5540246171759</v>
      </c>
      <c r="C1520" s="31">
        <v>44875</v>
      </c>
      <c r="D1520" s="8">
        <v>3341</v>
      </c>
      <c r="E1520" s="14" t="str">
        <f>VLOOKUP(B1520, 'Catégorie des articles'!A:E, 4, FALSE)</f>
        <v>MIX LEGUMES</v>
      </c>
      <c r="F1520" s="14">
        <f t="shared" si="23"/>
        <v>202211</v>
      </c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</row>
    <row r="1521" spans="1:21" ht="12.75" customHeight="1">
      <c r="A1521" s="10">
        <v>143429456</v>
      </c>
      <c r="B1521" s="15">
        <v>5540246177133</v>
      </c>
      <c r="C1521" s="32">
        <v>44875</v>
      </c>
      <c r="D1521" s="11">
        <v>7239</v>
      </c>
      <c r="E1521" s="14" t="str">
        <f>VLOOKUP(B1521, 'Catégorie des articles'!A:E, 4, FALSE)</f>
        <v>MIX LEGUMES</v>
      </c>
      <c r="F1521" s="14">
        <f t="shared" si="23"/>
        <v>202211</v>
      </c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</row>
    <row r="1522" spans="1:21" ht="12.75" customHeight="1">
      <c r="A1522" s="7">
        <v>143429456</v>
      </c>
      <c r="B1522" s="13">
        <v>5540246192518</v>
      </c>
      <c r="C1522" s="31">
        <v>44875</v>
      </c>
      <c r="D1522" s="8">
        <v>17540</v>
      </c>
      <c r="E1522" s="14" t="str">
        <f>VLOOKUP(B1522, 'Catégorie des articles'!A:E, 4, FALSE)</f>
        <v>MIX LEGUMES</v>
      </c>
      <c r="F1522" s="14">
        <f t="shared" si="23"/>
        <v>202211</v>
      </c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</row>
    <row r="1523" spans="1:21" ht="12.75" customHeight="1">
      <c r="A1523" s="7">
        <v>143429464</v>
      </c>
      <c r="B1523" s="13">
        <v>5540246172539</v>
      </c>
      <c r="C1523" s="31">
        <v>44871</v>
      </c>
      <c r="D1523" s="8">
        <v>47</v>
      </c>
      <c r="E1523" s="14" t="str">
        <f>VLOOKUP(B1523, 'Catégorie des articles'!A:E, 4, FALSE)</f>
        <v>CREMERIE</v>
      </c>
      <c r="F1523" s="14">
        <f t="shared" si="23"/>
        <v>202211</v>
      </c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</row>
    <row r="1524" spans="1:21" ht="12.75" customHeight="1">
      <c r="A1524" s="10">
        <v>143429465</v>
      </c>
      <c r="B1524" s="15">
        <v>5540246176294</v>
      </c>
      <c r="C1524" s="32">
        <v>44871</v>
      </c>
      <c r="D1524" s="11">
        <v>1114</v>
      </c>
      <c r="E1524" s="14" t="str">
        <f>VLOOKUP(B1524, 'Catégorie des articles'!A:E, 4, FALSE)</f>
        <v>CREMERIE</v>
      </c>
      <c r="F1524" s="14">
        <f t="shared" si="23"/>
        <v>202211</v>
      </c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</row>
    <row r="1525" spans="1:21" ht="12.75" customHeight="1">
      <c r="A1525" s="7">
        <v>143429465</v>
      </c>
      <c r="B1525" s="13">
        <v>5540246176295</v>
      </c>
      <c r="C1525" s="31">
        <v>44871</v>
      </c>
      <c r="D1525" s="8">
        <v>4455</v>
      </c>
      <c r="E1525" s="14" t="str">
        <f>VLOOKUP(B1525, 'Catégorie des articles'!A:E, 4, FALSE)</f>
        <v>CREMERIE</v>
      </c>
      <c r="F1525" s="14">
        <f t="shared" si="23"/>
        <v>202211</v>
      </c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</row>
    <row r="1526" spans="1:21" ht="12.75" customHeight="1">
      <c r="A1526" s="10">
        <v>143429465</v>
      </c>
      <c r="B1526" s="15">
        <v>5540246187987</v>
      </c>
      <c r="C1526" s="32">
        <v>44871</v>
      </c>
      <c r="D1526" s="11">
        <v>2228</v>
      </c>
      <c r="E1526" s="14" t="str">
        <f>VLOOKUP(B1526, 'Catégorie des articles'!A:E, 4, FALSE)</f>
        <v>CREMERIE</v>
      </c>
      <c r="F1526" s="14">
        <f t="shared" si="23"/>
        <v>202211</v>
      </c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</row>
    <row r="1527" spans="1:21" ht="12.75" customHeight="1">
      <c r="A1527" s="7">
        <v>143429471</v>
      </c>
      <c r="B1527" s="13">
        <v>5540246192907</v>
      </c>
      <c r="C1527" s="31">
        <v>44899</v>
      </c>
      <c r="D1527" s="8">
        <v>11136</v>
      </c>
      <c r="E1527" s="14" t="str">
        <f>VLOOKUP(B1527, 'Catégorie des articles'!A:E, 4, FALSE)</f>
        <v>VOLAILLE</v>
      </c>
      <c r="F1527" s="14">
        <f t="shared" si="23"/>
        <v>202212</v>
      </c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</row>
    <row r="1528" spans="1:21" ht="12.75" customHeight="1">
      <c r="A1528" s="10">
        <v>143429472</v>
      </c>
      <c r="B1528" s="15">
        <v>5540246192907</v>
      </c>
      <c r="C1528" s="32">
        <v>44899</v>
      </c>
      <c r="D1528" s="11">
        <v>11136</v>
      </c>
      <c r="E1528" s="14" t="str">
        <f>VLOOKUP(B1528, 'Catégorie des articles'!A:E, 4, FALSE)</f>
        <v>VOLAILLE</v>
      </c>
      <c r="F1528" s="14">
        <f t="shared" si="23"/>
        <v>202212</v>
      </c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</row>
    <row r="1529" spans="1:21" ht="12.75" customHeight="1">
      <c r="A1529" s="7">
        <v>143429475</v>
      </c>
      <c r="B1529" s="13">
        <v>5540246194632</v>
      </c>
      <c r="C1529" s="31">
        <v>44876</v>
      </c>
      <c r="D1529" s="8">
        <v>836</v>
      </c>
      <c r="E1529" s="14" t="str">
        <f>VLOOKUP(B1529, 'Catégorie des articles'!A:E, 4, FALSE)</f>
        <v>BOULANGERIE</v>
      </c>
      <c r="F1529" s="14">
        <f t="shared" si="23"/>
        <v>202211</v>
      </c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</row>
    <row r="1530" spans="1:21" ht="12.75" customHeight="1">
      <c r="A1530" s="10">
        <v>143429475</v>
      </c>
      <c r="B1530" s="15">
        <v>5540246196046</v>
      </c>
      <c r="C1530" s="32">
        <v>44876</v>
      </c>
      <c r="D1530" s="11">
        <v>335</v>
      </c>
      <c r="E1530" s="14" t="str">
        <f>VLOOKUP(B1530, 'Catégorie des articles'!A:E, 4, FALSE)</f>
        <v>BOULANGERIE</v>
      </c>
      <c r="F1530" s="14">
        <f t="shared" si="23"/>
        <v>202211</v>
      </c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</row>
    <row r="1531" spans="1:21" ht="12.75" customHeight="1">
      <c r="A1531" s="10">
        <v>143429476</v>
      </c>
      <c r="B1531" s="15">
        <v>5540246194632</v>
      </c>
      <c r="C1531" s="32">
        <v>44879</v>
      </c>
      <c r="D1531" s="11">
        <v>919</v>
      </c>
      <c r="E1531" s="14" t="str">
        <f>VLOOKUP(B1531, 'Catégorie des articles'!A:E, 4, FALSE)</f>
        <v>BOULANGERIE</v>
      </c>
      <c r="F1531" s="14">
        <f t="shared" si="23"/>
        <v>202211</v>
      </c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</row>
    <row r="1532" spans="1:21" ht="12.75" customHeight="1">
      <c r="A1532" s="7">
        <v>143429476</v>
      </c>
      <c r="B1532" s="13">
        <v>5540246196046</v>
      </c>
      <c r="C1532" s="31">
        <v>44879</v>
      </c>
      <c r="D1532" s="8">
        <v>335</v>
      </c>
      <c r="E1532" s="14" t="str">
        <f>VLOOKUP(B1532, 'Catégorie des articles'!A:E, 4, FALSE)</f>
        <v>BOULANGERIE</v>
      </c>
      <c r="F1532" s="14">
        <f t="shared" si="23"/>
        <v>202211</v>
      </c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</row>
    <row r="1533" spans="1:21" ht="12.75" customHeight="1">
      <c r="A1533" s="10">
        <v>143429477</v>
      </c>
      <c r="B1533" s="15">
        <v>5540246191598</v>
      </c>
      <c r="C1533" s="32">
        <v>44872</v>
      </c>
      <c r="D1533" s="11">
        <v>1601</v>
      </c>
      <c r="E1533" s="14" t="str">
        <f>VLOOKUP(B1533, 'Catégorie des articles'!A:E, 4, FALSE)</f>
        <v>CREMERIE</v>
      </c>
      <c r="F1533" s="14">
        <f t="shared" si="23"/>
        <v>202211</v>
      </c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</row>
    <row r="1534" spans="1:21" ht="12.75" customHeight="1">
      <c r="A1534" s="7">
        <v>143429478</v>
      </c>
      <c r="B1534" s="13">
        <v>5540246170256</v>
      </c>
      <c r="C1534" s="31">
        <v>44877</v>
      </c>
      <c r="D1534" s="8">
        <v>2998</v>
      </c>
      <c r="E1534" s="14" t="str">
        <f>VLOOKUP(B1534, 'Catégorie des articles'!A:E, 4, FALSE)</f>
        <v>BOULANGERIE</v>
      </c>
      <c r="F1534" s="14">
        <f t="shared" si="23"/>
        <v>202211</v>
      </c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</row>
    <row r="1535" spans="1:21" ht="12.75" customHeight="1">
      <c r="A1535" s="10">
        <v>143429478</v>
      </c>
      <c r="B1535" s="15">
        <v>5540246171888</v>
      </c>
      <c r="C1535" s="32">
        <v>44877</v>
      </c>
      <c r="D1535" s="11">
        <v>650</v>
      </c>
      <c r="E1535" s="14" t="str">
        <f>VLOOKUP(B1535, 'Catégorie des articles'!A:E, 4, FALSE)</f>
        <v>BOULANGERIE</v>
      </c>
      <c r="F1535" s="14">
        <f t="shared" si="23"/>
        <v>202211</v>
      </c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</row>
    <row r="1536" spans="1:21" ht="12.75" customHeight="1">
      <c r="A1536" s="7">
        <v>143429479</v>
      </c>
      <c r="B1536" s="13">
        <v>5540246170256</v>
      </c>
      <c r="C1536" s="31">
        <v>44884</v>
      </c>
      <c r="D1536" s="8">
        <v>3174</v>
      </c>
      <c r="E1536" s="14" t="str">
        <f>VLOOKUP(B1536, 'Catégorie des articles'!A:E, 4, FALSE)</f>
        <v>BOULANGERIE</v>
      </c>
      <c r="F1536" s="14">
        <f t="shared" si="23"/>
        <v>202211</v>
      </c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</row>
    <row r="1537" spans="1:21" ht="12.75" customHeight="1">
      <c r="A1537" s="10">
        <v>143429479</v>
      </c>
      <c r="B1537" s="15">
        <v>5540246171888</v>
      </c>
      <c r="C1537" s="32">
        <v>44884</v>
      </c>
      <c r="D1537" s="11">
        <v>520</v>
      </c>
      <c r="E1537" s="14" t="str">
        <f>VLOOKUP(B1537, 'Catégorie des articles'!A:E, 4, FALSE)</f>
        <v>BOULANGERIE</v>
      </c>
      <c r="F1537" s="14">
        <f t="shared" si="23"/>
        <v>202211</v>
      </c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</row>
    <row r="1538" spans="1:21" ht="12.75" customHeight="1">
      <c r="A1538" s="7">
        <v>143429480</v>
      </c>
      <c r="B1538" s="13">
        <v>5540246173472</v>
      </c>
      <c r="C1538" s="31">
        <v>44876</v>
      </c>
      <c r="D1538" s="8">
        <v>279</v>
      </c>
      <c r="E1538" s="14" t="str">
        <f>VLOOKUP(B1538, 'Catégorie des articles'!A:E, 4, FALSE)</f>
        <v>CREMERIE</v>
      </c>
      <c r="F1538" s="14">
        <f t="shared" ref="F1538:F1601" si="24">YEAR(C1538)*100 + MONTH(C1538)</f>
        <v>202211</v>
      </c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</row>
    <row r="1539" spans="1:21" ht="12.75" customHeight="1">
      <c r="A1539" s="10">
        <v>143429480</v>
      </c>
      <c r="B1539" s="15">
        <v>5540246175049</v>
      </c>
      <c r="C1539" s="32">
        <v>44876</v>
      </c>
      <c r="D1539" s="11">
        <v>836</v>
      </c>
      <c r="E1539" s="14" t="str">
        <f>VLOOKUP(B1539, 'Catégorie des articles'!A:E, 4, FALSE)</f>
        <v>CREMERIE</v>
      </c>
      <c r="F1539" s="14">
        <f t="shared" si="24"/>
        <v>202211</v>
      </c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</row>
    <row r="1540" spans="1:21" ht="12.75" customHeight="1">
      <c r="A1540" s="7">
        <v>143429480</v>
      </c>
      <c r="B1540" s="13">
        <v>5540246175050</v>
      </c>
      <c r="C1540" s="31">
        <v>44876</v>
      </c>
      <c r="D1540" s="8">
        <v>836</v>
      </c>
      <c r="E1540" s="14" t="str">
        <f>VLOOKUP(B1540, 'Catégorie des articles'!A:E, 4, FALSE)</f>
        <v>CREMERIE</v>
      </c>
      <c r="F1540" s="14">
        <f t="shared" si="24"/>
        <v>202211</v>
      </c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</row>
    <row r="1541" spans="1:21" ht="12.75" customHeight="1">
      <c r="A1541" s="7">
        <v>143429483</v>
      </c>
      <c r="B1541" s="13">
        <v>5540246195999</v>
      </c>
      <c r="C1541" s="31">
        <v>44903</v>
      </c>
      <c r="D1541" s="8">
        <v>7517</v>
      </c>
      <c r="E1541" s="14" t="str">
        <f>VLOOKUP(B1541, 'Catégorie des articles'!A:E, 4, FALSE)</f>
        <v>MIX LEGUMES</v>
      </c>
      <c r="F1541" s="14">
        <f t="shared" si="24"/>
        <v>202212</v>
      </c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</row>
    <row r="1542" spans="1:21" ht="12.75" customHeight="1">
      <c r="A1542" s="7">
        <v>143429490</v>
      </c>
      <c r="B1542" s="13">
        <v>5540246177133</v>
      </c>
      <c r="C1542" s="31">
        <v>44878</v>
      </c>
      <c r="D1542" s="8">
        <v>3898</v>
      </c>
      <c r="E1542" s="14" t="str">
        <f>VLOOKUP(B1542, 'Catégorie des articles'!A:E, 4, FALSE)</f>
        <v>MIX LEGUMES</v>
      </c>
      <c r="F1542" s="14">
        <f t="shared" si="24"/>
        <v>202211</v>
      </c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</row>
    <row r="1543" spans="1:21" ht="12.75" customHeight="1">
      <c r="A1543" s="10">
        <v>143429490</v>
      </c>
      <c r="B1543" s="15">
        <v>5540246192148</v>
      </c>
      <c r="C1543" s="32">
        <v>44878</v>
      </c>
      <c r="D1543" s="11">
        <v>22272</v>
      </c>
      <c r="E1543" s="14" t="str">
        <f>VLOOKUP(B1543, 'Catégorie des articles'!A:E, 4, FALSE)</f>
        <v>MIX LEGUMES</v>
      </c>
      <c r="F1543" s="14">
        <f t="shared" si="24"/>
        <v>202211</v>
      </c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</row>
    <row r="1544" spans="1:21" ht="12.75" customHeight="1">
      <c r="A1544" s="7">
        <v>143429490</v>
      </c>
      <c r="B1544" s="13">
        <v>5540246192518</v>
      </c>
      <c r="C1544" s="31">
        <v>44878</v>
      </c>
      <c r="D1544" s="8">
        <v>4385</v>
      </c>
      <c r="E1544" s="14" t="str">
        <f>VLOOKUP(B1544, 'Catégorie des articles'!A:E, 4, FALSE)</f>
        <v>MIX LEGUMES</v>
      </c>
      <c r="F1544" s="14">
        <f t="shared" si="24"/>
        <v>202211</v>
      </c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</row>
    <row r="1545" spans="1:21" ht="12.75" customHeight="1">
      <c r="A1545" s="7">
        <v>143429508</v>
      </c>
      <c r="B1545" s="13">
        <v>5540246176294</v>
      </c>
      <c r="C1545" s="31">
        <v>44872</v>
      </c>
      <c r="D1545" s="8">
        <v>1114</v>
      </c>
      <c r="E1545" s="14" t="str">
        <f>VLOOKUP(B1545, 'Catégorie des articles'!A:E, 4, FALSE)</f>
        <v>CREMERIE</v>
      </c>
      <c r="F1545" s="14">
        <f t="shared" si="24"/>
        <v>202211</v>
      </c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</row>
    <row r="1546" spans="1:21" ht="12.75" customHeight="1">
      <c r="A1546" s="10">
        <v>143429508</v>
      </c>
      <c r="B1546" s="15">
        <v>5540246176295</v>
      </c>
      <c r="C1546" s="32">
        <v>44872</v>
      </c>
      <c r="D1546" s="11">
        <v>7424</v>
      </c>
      <c r="E1546" s="14" t="str">
        <f>VLOOKUP(B1546, 'Catégorie des articles'!A:E, 4, FALSE)</f>
        <v>CREMERIE</v>
      </c>
      <c r="F1546" s="14">
        <f t="shared" si="24"/>
        <v>202211</v>
      </c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</row>
    <row r="1547" spans="1:21" ht="12.75" customHeight="1">
      <c r="A1547" s="10">
        <v>143429508</v>
      </c>
      <c r="B1547" s="15">
        <v>5540246187987</v>
      </c>
      <c r="C1547" s="32">
        <v>44872</v>
      </c>
      <c r="D1547" s="11">
        <v>4455</v>
      </c>
      <c r="E1547" s="14" t="str">
        <f>VLOOKUP(B1547, 'Catégorie des articles'!A:E, 4, FALSE)</f>
        <v>CREMERIE</v>
      </c>
      <c r="F1547" s="14">
        <f t="shared" si="24"/>
        <v>202211</v>
      </c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</row>
    <row r="1548" spans="1:21" ht="12.75" customHeight="1">
      <c r="A1548" s="10">
        <v>143429509</v>
      </c>
      <c r="B1548" s="15">
        <v>5540246172978</v>
      </c>
      <c r="C1548" s="32">
        <v>44872</v>
      </c>
      <c r="D1548" s="11">
        <v>1671</v>
      </c>
      <c r="E1548" s="14" t="str">
        <f>VLOOKUP(B1548, 'Catégorie des articles'!A:E, 4, FALSE)</f>
        <v>CREMERIE</v>
      </c>
      <c r="F1548" s="14">
        <f t="shared" si="24"/>
        <v>202211</v>
      </c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</row>
    <row r="1549" spans="1:21" ht="12.75" customHeight="1">
      <c r="A1549" s="10">
        <v>143429509</v>
      </c>
      <c r="B1549" s="15">
        <v>5540246188175</v>
      </c>
      <c r="C1549" s="32">
        <v>44872</v>
      </c>
      <c r="D1549" s="11">
        <v>232</v>
      </c>
      <c r="E1549" s="14" t="str">
        <f>VLOOKUP(B1549, 'Catégorie des articles'!A:E, 4, FALSE)</f>
        <v>CREMERIE</v>
      </c>
      <c r="F1549" s="14">
        <f t="shared" si="24"/>
        <v>202211</v>
      </c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</row>
    <row r="1550" spans="1:21" ht="12.75" customHeight="1">
      <c r="A1550" s="7">
        <v>143429538</v>
      </c>
      <c r="B1550" s="13">
        <v>5540246172978</v>
      </c>
      <c r="C1550" s="31">
        <v>44875</v>
      </c>
      <c r="D1550" s="8">
        <v>836</v>
      </c>
      <c r="E1550" s="14" t="str">
        <f>VLOOKUP(B1550, 'Catégorie des articles'!A:E, 4, FALSE)</f>
        <v>CREMERIE</v>
      </c>
      <c r="F1550" s="14">
        <f t="shared" si="24"/>
        <v>202211</v>
      </c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</row>
    <row r="1551" spans="1:21" ht="12.75" customHeight="1">
      <c r="A1551" s="7">
        <v>143429538</v>
      </c>
      <c r="B1551" s="13">
        <v>5540246176699</v>
      </c>
      <c r="C1551" s="31">
        <v>44875</v>
      </c>
      <c r="D1551" s="8">
        <v>4176</v>
      </c>
      <c r="E1551" s="14" t="str">
        <f>VLOOKUP(B1551, 'Catégorie des articles'!A:E, 4, FALSE)</f>
        <v>CREMERIE</v>
      </c>
      <c r="F1551" s="14">
        <f t="shared" si="24"/>
        <v>202211</v>
      </c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</row>
    <row r="1552" spans="1:21" ht="12.75" customHeight="1">
      <c r="A1552" s="10">
        <v>143429538</v>
      </c>
      <c r="B1552" s="15">
        <v>5540246192102</v>
      </c>
      <c r="C1552" s="32">
        <v>44875</v>
      </c>
      <c r="D1552" s="11">
        <v>4009</v>
      </c>
      <c r="E1552" s="14" t="str">
        <f>VLOOKUP(B1552, 'Catégorie des articles'!A:E, 4, FALSE)</f>
        <v>CREMERIE</v>
      </c>
      <c r="F1552" s="14">
        <f t="shared" si="24"/>
        <v>202211</v>
      </c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</row>
    <row r="1553" spans="1:21" ht="12.75" customHeight="1">
      <c r="A1553" s="7">
        <v>143429539</v>
      </c>
      <c r="B1553" s="13">
        <v>5540246187987</v>
      </c>
      <c r="C1553" s="31">
        <v>44875</v>
      </c>
      <c r="D1553" s="8">
        <v>6682</v>
      </c>
      <c r="E1553" s="14" t="str">
        <f>VLOOKUP(B1553, 'Catégorie des articles'!A:E, 4, FALSE)</f>
        <v>CREMERIE</v>
      </c>
      <c r="F1553" s="14">
        <f t="shared" si="24"/>
        <v>202211</v>
      </c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</row>
    <row r="1554" spans="1:21" ht="12.75" customHeight="1">
      <c r="A1554" s="10">
        <v>143429539</v>
      </c>
      <c r="B1554" s="15">
        <v>5540246188200</v>
      </c>
      <c r="C1554" s="32">
        <v>44875</v>
      </c>
      <c r="D1554" s="11">
        <v>2970</v>
      </c>
      <c r="E1554" s="14" t="str">
        <f>VLOOKUP(B1554, 'Catégorie des articles'!A:E, 4, FALSE)</f>
        <v>CREMERIE</v>
      </c>
      <c r="F1554" s="14">
        <f t="shared" si="24"/>
        <v>202211</v>
      </c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</row>
    <row r="1555" spans="1:21" ht="12.75" customHeight="1">
      <c r="A1555" s="7">
        <v>143429553</v>
      </c>
      <c r="B1555" s="13">
        <v>5540246185429</v>
      </c>
      <c r="C1555" s="31">
        <v>44876</v>
      </c>
      <c r="D1555" s="8">
        <v>279</v>
      </c>
      <c r="E1555" s="14" t="str">
        <f>VLOOKUP(B1555, 'Catégorie des articles'!A:E, 4, FALSE)</f>
        <v>CREMERIE</v>
      </c>
      <c r="F1555" s="14">
        <f t="shared" si="24"/>
        <v>202211</v>
      </c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</row>
    <row r="1556" spans="1:21" ht="12.75" customHeight="1">
      <c r="A1556" s="7">
        <v>143429584</v>
      </c>
      <c r="B1556" s="13">
        <v>5540246172539</v>
      </c>
      <c r="C1556" s="31">
        <v>44876</v>
      </c>
      <c r="D1556" s="8">
        <v>24</v>
      </c>
      <c r="E1556" s="14" t="str">
        <f>VLOOKUP(B1556, 'Catégorie des articles'!A:E, 4, FALSE)</f>
        <v>CREMERIE</v>
      </c>
      <c r="F1556" s="14">
        <f t="shared" si="24"/>
        <v>202211</v>
      </c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</row>
    <row r="1557" spans="1:21" ht="12.75" customHeight="1">
      <c r="A1557" s="10">
        <v>143429584</v>
      </c>
      <c r="B1557" s="15">
        <v>5540246172669</v>
      </c>
      <c r="C1557" s="32">
        <v>44876</v>
      </c>
      <c r="D1557" s="11">
        <v>140</v>
      </c>
      <c r="E1557" s="14" t="str">
        <f>VLOOKUP(B1557, 'Catégorie des articles'!A:E, 4, FALSE)</f>
        <v>CREMERIE</v>
      </c>
      <c r="F1557" s="14">
        <f t="shared" si="24"/>
        <v>202211</v>
      </c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</row>
    <row r="1558" spans="1:21" ht="12.75" customHeight="1">
      <c r="A1558" s="7">
        <v>143429584</v>
      </c>
      <c r="B1558" s="13">
        <v>5540246172978</v>
      </c>
      <c r="C1558" s="31">
        <v>44876</v>
      </c>
      <c r="D1558" s="8">
        <v>836</v>
      </c>
      <c r="E1558" s="14" t="str">
        <f>VLOOKUP(B1558, 'Catégorie des articles'!A:E, 4, FALSE)</f>
        <v>CREMERIE</v>
      </c>
      <c r="F1558" s="14">
        <f t="shared" si="24"/>
        <v>202211</v>
      </c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</row>
    <row r="1559" spans="1:21" ht="12.75" customHeight="1">
      <c r="A1559" s="7">
        <v>143429584</v>
      </c>
      <c r="B1559" s="13">
        <v>5540246174174</v>
      </c>
      <c r="C1559" s="31">
        <v>44876</v>
      </c>
      <c r="D1559" s="8">
        <v>696</v>
      </c>
      <c r="E1559" s="14" t="str">
        <f>VLOOKUP(B1559, 'Catégorie des articles'!A:E, 4, FALSE)</f>
        <v>CREMERIE</v>
      </c>
      <c r="F1559" s="14">
        <f t="shared" si="24"/>
        <v>202211</v>
      </c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</row>
    <row r="1560" spans="1:21" ht="12.75" customHeight="1">
      <c r="A1560" s="7">
        <v>143429584</v>
      </c>
      <c r="B1560" s="13">
        <v>5540246176699</v>
      </c>
      <c r="C1560" s="31">
        <v>44876</v>
      </c>
      <c r="D1560" s="8">
        <v>8352</v>
      </c>
      <c r="E1560" s="14" t="str">
        <f>VLOOKUP(B1560, 'Catégorie des articles'!A:E, 4, FALSE)</f>
        <v>CREMERIE</v>
      </c>
      <c r="F1560" s="14">
        <f t="shared" si="24"/>
        <v>202211</v>
      </c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</row>
    <row r="1561" spans="1:21" ht="12.75" customHeight="1">
      <c r="A1561" s="10">
        <v>143429585</v>
      </c>
      <c r="B1561" s="15">
        <v>5540246176294</v>
      </c>
      <c r="C1561" s="32">
        <v>44876</v>
      </c>
      <c r="D1561" s="11">
        <v>1485</v>
      </c>
      <c r="E1561" s="14" t="str">
        <f>VLOOKUP(B1561, 'Catégorie des articles'!A:E, 4, FALSE)</f>
        <v>CREMERIE</v>
      </c>
      <c r="F1561" s="14">
        <f t="shared" si="24"/>
        <v>202211</v>
      </c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</row>
    <row r="1562" spans="1:21" ht="12.75" customHeight="1">
      <c r="A1562" s="7">
        <v>143429585</v>
      </c>
      <c r="B1562" s="13">
        <v>5540246176295</v>
      </c>
      <c r="C1562" s="31">
        <v>44876</v>
      </c>
      <c r="D1562" s="8">
        <v>4455</v>
      </c>
      <c r="E1562" s="14" t="str">
        <f>VLOOKUP(B1562, 'Catégorie des articles'!A:E, 4, FALSE)</f>
        <v>CREMERIE</v>
      </c>
      <c r="F1562" s="14">
        <f t="shared" si="24"/>
        <v>202211</v>
      </c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</row>
    <row r="1563" spans="1:21" ht="12.75" customHeight="1">
      <c r="A1563" s="10">
        <v>143429585</v>
      </c>
      <c r="B1563" s="15">
        <v>5540246187987</v>
      </c>
      <c r="C1563" s="32">
        <v>44876</v>
      </c>
      <c r="D1563" s="11">
        <v>4455</v>
      </c>
      <c r="E1563" s="14" t="str">
        <f>VLOOKUP(B1563, 'Catégorie des articles'!A:E, 4, FALSE)</f>
        <v>CREMERIE</v>
      </c>
      <c r="F1563" s="14">
        <f t="shared" si="24"/>
        <v>202211</v>
      </c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</row>
    <row r="1564" spans="1:21" ht="12.75" customHeight="1">
      <c r="A1564" s="7">
        <v>143429586</v>
      </c>
      <c r="B1564" s="13">
        <v>5540246185429</v>
      </c>
      <c r="C1564" s="31">
        <v>44878</v>
      </c>
      <c r="D1564" s="8">
        <v>140</v>
      </c>
      <c r="E1564" s="14" t="str">
        <f>VLOOKUP(B1564, 'Catégorie des articles'!A:E, 4, FALSE)</f>
        <v>CREMERIE</v>
      </c>
      <c r="F1564" s="14">
        <f t="shared" si="24"/>
        <v>202211</v>
      </c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</row>
    <row r="1565" spans="1:21" ht="12.75" customHeight="1">
      <c r="A1565" s="10">
        <v>143429586</v>
      </c>
      <c r="B1565" s="15">
        <v>5540246185562</v>
      </c>
      <c r="C1565" s="32">
        <v>44878</v>
      </c>
      <c r="D1565" s="11">
        <v>209</v>
      </c>
      <c r="E1565" s="14" t="str">
        <f>VLOOKUP(B1565, 'Catégorie des articles'!A:E, 4, FALSE)</f>
        <v>CREMERIE</v>
      </c>
      <c r="F1565" s="14">
        <f t="shared" si="24"/>
        <v>202211</v>
      </c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</row>
    <row r="1566" spans="1:21" ht="12.75" customHeight="1">
      <c r="A1566" s="7">
        <v>143429586</v>
      </c>
      <c r="B1566" s="13">
        <v>5540246186325</v>
      </c>
      <c r="C1566" s="31">
        <v>44878</v>
      </c>
      <c r="D1566" s="8">
        <v>279</v>
      </c>
      <c r="E1566" s="14" t="str">
        <f>VLOOKUP(B1566, 'Catégorie des articles'!A:E, 4, FALSE)</f>
        <v>CREMERIE</v>
      </c>
      <c r="F1566" s="14">
        <f t="shared" si="24"/>
        <v>202211</v>
      </c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</row>
    <row r="1567" spans="1:21" ht="12.75" customHeight="1">
      <c r="A1567" s="7">
        <v>143429592</v>
      </c>
      <c r="B1567" s="13">
        <v>5540246181061</v>
      </c>
      <c r="C1567" s="31">
        <v>44883</v>
      </c>
      <c r="D1567" s="8">
        <v>6615</v>
      </c>
      <c r="E1567" s="14" t="str">
        <f>VLOOKUP(B1567, 'Catégorie des articles'!A:E, 4, FALSE)</f>
        <v>VOLAILLE</v>
      </c>
      <c r="F1567" s="14">
        <f t="shared" si="24"/>
        <v>202211</v>
      </c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</row>
    <row r="1568" spans="1:21" ht="12.75" customHeight="1">
      <c r="A1568" s="10">
        <v>143429592</v>
      </c>
      <c r="B1568" s="15">
        <v>5540246183547</v>
      </c>
      <c r="C1568" s="32">
        <v>44883</v>
      </c>
      <c r="D1568" s="11">
        <v>13364</v>
      </c>
      <c r="E1568" s="14" t="str">
        <f>VLOOKUP(B1568, 'Catégorie des articles'!A:E, 4, FALSE)</f>
        <v>VOLAILLE</v>
      </c>
      <c r="F1568" s="14">
        <f t="shared" si="24"/>
        <v>202211</v>
      </c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</row>
    <row r="1569" spans="1:21" ht="12.75" customHeight="1">
      <c r="A1569" s="7">
        <v>143429592</v>
      </c>
      <c r="B1569" s="13">
        <v>5540246185278</v>
      </c>
      <c r="C1569" s="31">
        <v>44883</v>
      </c>
      <c r="D1569" s="8">
        <v>3358</v>
      </c>
      <c r="E1569" s="14" t="str">
        <f>VLOOKUP(B1569, 'Catégorie des articles'!A:E, 4, FALSE)</f>
        <v>VOLAILLE</v>
      </c>
      <c r="F1569" s="14">
        <f t="shared" si="24"/>
        <v>202211</v>
      </c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</row>
    <row r="1570" spans="1:21" ht="12.75" customHeight="1">
      <c r="A1570" s="10">
        <v>143429593</v>
      </c>
      <c r="B1570" s="15">
        <v>5540246183587</v>
      </c>
      <c r="C1570" s="32">
        <v>44890</v>
      </c>
      <c r="D1570" s="11">
        <v>1003</v>
      </c>
      <c r="E1570" s="14" t="str">
        <f>VLOOKUP(B1570, 'Catégorie des articles'!A:E, 4, FALSE)</f>
        <v>MIX LEGUMES</v>
      </c>
      <c r="F1570" s="14">
        <f t="shared" si="24"/>
        <v>202211</v>
      </c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</row>
    <row r="1571" spans="1:21" ht="12.75" customHeight="1">
      <c r="A1571" s="7">
        <v>143429593</v>
      </c>
      <c r="B1571" s="13">
        <v>5540246183589</v>
      </c>
      <c r="C1571" s="31">
        <v>44890</v>
      </c>
      <c r="D1571" s="8">
        <v>1300</v>
      </c>
      <c r="E1571" s="14" t="str">
        <f>VLOOKUP(B1571, 'Catégorie des articles'!A:E, 4, FALSE)</f>
        <v>MIX LEGUMES</v>
      </c>
      <c r="F1571" s="14">
        <f t="shared" si="24"/>
        <v>202211</v>
      </c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</row>
    <row r="1572" spans="1:21" ht="12.75" customHeight="1">
      <c r="A1572" s="10">
        <v>143429599</v>
      </c>
      <c r="B1572" s="15">
        <v>5540246177376</v>
      </c>
      <c r="C1572" s="32">
        <v>44889</v>
      </c>
      <c r="D1572" s="11">
        <v>1420</v>
      </c>
      <c r="E1572" s="14" t="str">
        <f>VLOOKUP(B1572, 'Catégorie des articles'!A:E, 4, FALSE)</f>
        <v>BOULANGERIE</v>
      </c>
      <c r="F1572" s="14">
        <f t="shared" si="24"/>
        <v>202211</v>
      </c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</row>
    <row r="1573" spans="1:21" ht="12.75" customHeight="1">
      <c r="A1573" s="7">
        <v>143429600</v>
      </c>
      <c r="B1573" s="13">
        <v>5540246180522</v>
      </c>
      <c r="C1573" s="31">
        <v>44892</v>
      </c>
      <c r="D1573" s="8">
        <v>1671</v>
      </c>
      <c r="E1573" s="14" t="str">
        <f>VLOOKUP(B1573, 'Catégorie des articles'!A:E, 4, FALSE)</f>
        <v>BOULANGERIE</v>
      </c>
      <c r="F1573" s="14">
        <f t="shared" si="24"/>
        <v>202211</v>
      </c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</row>
    <row r="1574" spans="1:21" ht="12.75" customHeight="1">
      <c r="A1574" s="7">
        <v>143429604</v>
      </c>
      <c r="B1574" s="13">
        <v>5540246182684</v>
      </c>
      <c r="C1574" s="31">
        <v>44886</v>
      </c>
      <c r="D1574" s="8">
        <v>232</v>
      </c>
      <c r="E1574" s="14" t="str">
        <f>VLOOKUP(B1574, 'Catégorie des articles'!A:E, 4, FALSE)</f>
        <v>BOULANGERIE</v>
      </c>
      <c r="F1574" s="14">
        <f t="shared" si="24"/>
        <v>202211</v>
      </c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</row>
    <row r="1575" spans="1:21" ht="12.75" customHeight="1">
      <c r="A1575" s="10">
        <v>143429604</v>
      </c>
      <c r="B1575" s="15">
        <v>5540246183844</v>
      </c>
      <c r="C1575" s="32">
        <v>44886</v>
      </c>
      <c r="D1575" s="11">
        <v>464</v>
      </c>
      <c r="E1575" s="14" t="str">
        <f>VLOOKUP(B1575, 'Catégorie des articles'!A:E, 4, FALSE)</f>
        <v>BOULANGERIE</v>
      </c>
      <c r="F1575" s="14">
        <f t="shared" si="24"/>
        <v>202211</v>
      </c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</row>
    <row r="1576" spans="1:21" ht="12.75" customHeight="1">
      <c r="A1576" s="7">
        <v>143429604</v>
      </c>
      <c r="B1576" s="13">
        <v>5540246194467</v>
      </c>
      <c r="C1576" s="31">
        <v>44886</v>
      </c>
      <c r="D1576" s="8">
        <v>17818</v>
      </c>
      <c r="E1576" s="14" t="str">
        <f>VLOOKUP(B1576, 'Catégorie des articles'!A:E, 4, FALSE)</f>
        <v>BOULANGERIE</v>
      </c>
      <c r="F1576" s="14">
        <f t="shared" si="24"/>
        <v>202211</v>
      </c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</row>
    <row r="1577" spans="1:21" ht="12.75" customHeight="1">
      <c r="A1577" s="7">
        <v>143429614</v>
      </c>
      <c r="B1577" s="13">
        <v>5540246183130</v>
      </c>
      <c r="C1577" s="31">
        <v>44892</v>
      </c>
      <c r="D1577" s="8">
        <v>3383</v>
      </c>
      <c r="E1577" s="14" t="str">
        <f>VLOOKUP(B1577, 'Catégorie des articles'!A:E, 4, FALSE)</f>
        <v>MIX LEGUMES</v>
      </c>
      <c r="F1577" s="14">
        <f t="shared" si="24"/>
        <v>202211</v>
      </c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</row>
    <row r="1578" spans="1:21" ht="12.75" customHeight="1">
      <c r="A1578" s="10">
        <v>143429614</v>
      </c>
      <c r="B1578" s="15">
        <v>5540246183455</v>
      </c>
      <c r="C1578" s="32">
        <v>44892</v>
      </c>
      <c r="D1578" s="11">
        <v>1044</v>
      </c>
      <c r="E1578" s="14" t="str">
        <f>VLOOKUP(B1578, 'Catégorie des articles'!A:E, 4, FALSE)</f>
        <v>MIX LEGUMES</v>
      </c>
      <c r="F1578" s="14">
        <f t="shared" si="24"/>
        <v>202211</v>
      </c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</row>
    <row r="1579" spans="1:21" ht="12.75" customHeight="1">
      <c r="A1579" s="7">
        <v>143429614</v>
      </c>
      <c r="B1579" s="13">
        <v>5540246183555</v>
      </c>
      <c r="C1579" s="31">
        <v>44892</v>
      </c>
      <c r="D1579" s="8">
        <v>543</v>
      </c>
      <c r="E1579" s="14" t="str">
        <f>VLOOKUP(B1579, 'Catégorie des articles'!A:E, 4, FALSE)</f>
        <v>MIX LEGUMES</v>
      </c>
      <c r="F1579" s="14">
        <f t="shared" si="24"/>
        <v>202211</v>
      </c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</row>
    <row r="1580" spans="1:21" ht="12.75" customHeight="1">
      <c r="A1580" s="10">
        <v>143429615</v>
      </c>
      <c r="B1580" s="15">
        <v>5540246195943</v>
      </c>
      <c r="C1580" s="32">
        <v>44903</v>
      </c>
      <c r="D1580" s="11">
        <v>928</v>
      </c>
      <c r="E1580" s="14" t="str">
        <f>VLOOKUP(B1580, 'Catégorie des articles'!A:E, 4, FALSE)</f>
        <v>CREMERIE</v>
      </c>
      <c r="F1580" s="14">
        <f t="shared" si="24"/>
        <v>202212</v>
      </c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</row>
    <row r="1581" spans="1:21" ht="12.75" customHeight="1">
      <c r="A1581" s="7">
        <v>143429615</v>
      </c>
      <c r="B1581" s="13">
        <v>5540246195944</v>
      </c>
      <c r="C1581" s="31">
        <v>44903</v>
      </c>
      <c r="D1581" s="8">
        <v>928</v>
      </c>
      <c r="E1581" s="14" t="str">
        <f>VLOOKUP(B1581, 'Catégorie des articles'!A:E, 4, FALSE)</f>
        <v>CREMERIE</v>
      </c>
      <c r="F1581" s="14">
        <f t="shared" si="24"/>
        <v>202212</v>
      </c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</row>
    <row r="1582" spans="1:21" ht="12.75" customHeight="1">
      <c r="A1582" s="10">
        <v>143429616</v>
      </c>
      <c r="B1582" s="15">
        <v>5540246183558</v>
      </c>
      <c r="C1582" s="32">
        <v>44883</v>
      </c>
      <c r="D1582" s="11">
        <v>5197</v>
      </c>
      <c r="E1582" s="14" t="str">
        <f>VLOOKUP(B1582, 'Catégorie des articles'!A:E, 4, FALSE)</f>
        <v>MIX LEGUMES</v>
      </c>
      <c r="F1582" s="14">
        <f t="shared" si="24"/>
        <v>202211</v>
      </c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</row>
    <row r="1583" spans="1:21" ht="12.75" customHeight="1">
      <c r="A1583" s="7">
        <v>143429616</v>
      </c>
      <c r="B1583" s="13">
        <v>5540246192209</v>
      </c>
      <c r="C1583" s="31">
        <v>44883</v>
      </c>
      <c r="D1583" s="8">
        <v>2228</v>
      </c>
      <c r="E1583" s="14" t="str">
        <f>VLOOKUP(B1583, 'Catégorie des articles'!A:E, 4, FALSE)</f>
        <v>MIX LEGUMES</v>
      </c>
      <c r="F1583" s="14">
        <f t="shared" si="24"/>
        <v>202211</v>
      </c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</row>
    <row r="1584" spans="1:21" ht="12.75" customHeight="1">
      <c r="A1584" s="10">
        <v>143429618</v>
      </c>
      <c r="B1584" s="15">
        <v>5540246190727</v>
      </c>
      <c r="C1584" s="32">
        <v>44892</v>
      </c>
      <c r="D1584" s="11">
        <v>877</v>
      </c>
      <c r="E1584" s="14" t="str">
        <f>VLOOKUP(B1584, 'Catégorie des articles'!A:E, 4, FALSE)</f>
        <v>BOULANGERIE</v>
      </c>
      <c r="F1584" s="14">
        <f t="shared" si="24"/>
        <v>202211</v>
      </c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</row>
    <row r="1585" spans="1:21" ht="12.75" customHeight="1">
      <c r="A1585" s="10">
        <v>143429651</v>
      </c>
      <c r="B1585" s="15">
        <v>5540246194947</v>
      </c>
      <c r="C1585" s="32">
        <v>44900</v>
      </c>
      <c r="D1585" s="11">
        <v>232</v>
      </c>
      <c r="E1585" s="14" t="str">
        <f>VLOOKUP(B1585, 'Catégorie des articles'!A:E, 4, FALSE)</f>
        <v>EMBALLAGES</v>
      </c>
      <c r="F1585" s="14">
        <f t="shared" si="24"/>
        <v>202212</v>
      </c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</row>
    <row r="1586" spans="1:21" ht="12.75" customHeight="1">
      <c r="A1586" s="7">
        <v>143439653</v>
      </c>
      <c r="B1586" s="13">
        <v>5540246172539</v>
      </c>
      <c r="C1586" s="31">
        <v>44877</v>
      </c>
      <c r="D1586" s="8">
        <v>24</v>
      </c>
      <c r="E1586" s="14" t="str">
        <f>VLOOKUP(B1586, 'Catégorie des articles'!A:E, 4, FALSE)</f>
        <v>CREMERIE</v>
      </c>
      <c r="F1586" s="14">
        <f t="shared" si="24"/>
        <v>202211</v>
      </c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</row>
    <row r="1587" spans="1:21" ht="12.75" customHeight="1">
      <c r="A1587" s="10">
        <v>143439653</v>
      </c>
      <c r="B1587" s="15">
        <v>5540246172669</v>
      </c>
      <c r="C1587" s="32">
        <v>44877</v>
      </c>
      <c r="D1587" s="11">
        <v>140</v>
      </c>
      <c r="E1587" s="14" t="str">
        <f>VLOOKUP(B1587, 'Catégorie des articles'!A:E, 4, FALSE)</f>
        <v>CREMERIE</v>
      </c>
      <c r="F1587" s="14">
        <f t="shared" si="24"/>
        <v>202211</v>
      </c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</row>
    <row r="1588" spans="1:21" ht="12.75" customHeight="1">
      <c r="A1588" s="7">
        <v>143439655</v>
      </c>
      <c r="B1588" s="13">
        <v>5540246176294</v>
      </c>
      <c r="C1588" s="31">
        <v>44877</v>
      </c>
      <c r="D1588" s="8">
        <v>1485</v>
      </c>
      <c r="E1588" s="14" t="str">
        <f>VLOOKUP(B1588, 'Catégorie des articles'!A:E, 4, FALSE)</f>
        <v>CREMERIE</v>
      </c>
      <c r="F1588" s="14">
        <f t="shared" si="24"/>
        <v>202211</v>
      </c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</row>
    <row r="1589" spans="1:21" ht="12.75" customHeight="1">
      <c r="A1589" s="10">
        <v>143439655</v>
      </c>
      <c r="B1589" s="15">
        <v>5540246176295</v>
      </c>
      <c r="C1589" s="32">
        <v>44877</v>
      </c>
      <c r="D1589" s="11">
        <v>4455</v>
      </c>
      <c r="E1589" s="14" t="str">
        <f>VLOOKUP(B1589, 'Catégorie des articles'!A:E, 4, FALSE)</f>
        <v>CREMERIE</v>
      </c>
      <c r="F1589" s="14">
        <f t="shared" si="24"/>
        <v>202211</v>
      </c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</row>
    <row r="1590" spans="1:21" ht="12.75" customHeight="1">
      <c r="A1590" s="7">
        <v>143439655</v>
      </c>
      <c r="B1590" s="13">
        <v>5540246187987</v>
      </c>
      <c r="C1590" s="31">
        <v>44877</v>
      </c>
      <c r="D1590" s="8">
        <v>2228</v>
      </c>
      <c r="E1590" s="14" t="str">
        <f>VLOOKUP(B1590, 'Catégorie des articles'!A:E, 4, FALSE)</f>
        <v>CREMERIE</v>
      </c>
      <c r="F1590" s="14">
        <f t="shared" si="24"/>
        <v>202211</v>
      </c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</row>
    <row r="1591" spans="1:21" ht="12.75" customHeight="1">
      <c r="A1591" s="10">
        <v>143439655</v>
      </c>
      <c r="B1591" s="15">
        <v>5540246188200</v>
      </c>
      <c r="C1591" s="32">
        <v>44877</v>
      </c>
      <c r="D1591" s="11">
        <v>2228</v>
      </c>
      <c r="E1591" s="14" t="str">
        <f>VLOOKUP(B1591, 'Catégorie des articles'!A:E, 4, FALSE)</f>
        <v>CREMERIE</v>
      </c>
      <c r="F1591" s="14">
        <f t="shared" si="24"/>
        <v>202211</v>
      </c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</row>
    <row r="1592" spans="1:21" ht="12.75" customHeight="1">
      <c r="A1592" s="10">
        <v>143439659</v>
      </c>
      <c r="B1592" s="15">
        <v>5540246173472</v>
      </c>
      <c r="C1592" s="32">
        <v>44879</v>
      </c>
      <c r="D1592" s="11">
        <v>279</v>
      </c>
      <c r="E1592" s="14" t="str">
        <f>VLOOKUP(B1592, 'Catégorie des articles'!A:E, 4, FALSE)</f>
        <v>CREMERIE</v>
      </c>
      <c r="F1592" s="14">
        <f t="shared" si="24"/>
        <v>202211</v>
      </c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</row>
    <row r="1593" spans="1:21" ht="12.75" customHeight="1">
      <c r="A1593" s="7">
        <v>143439659</v>
      </c>
      <c r="B1593" s="13">
        <v>5540246175049</v>
      </c>
      <c r="C1593" s="31">
        <v>44879</v>
      </c>
      <c r="D1593" s="8">
        <v>836</v>
      </c>
      <c r="E1593" s="14" t="str">
        <f>VLOOKUP(B1593, 'Catégorie des articles'!A:E, 4, FALSE)</f>
        <v>CREMERIE</v>
      </c>
      <c r="F1593" s="14">
        <f t="shared" si="24"/>
        <v>202211</v>
      </c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</row>
    <row r="1594" spans="1:21" ht="12.75" customHeight="1">
      <c r="A1594" s="10">
        <v>143439659</v>
      </c>
      <c r="B1594" s="15">
        <v>5540246175050</v>
      </c>
      <c r="C1594" s="32">
        <v>44879</v>
      </c>
      <c r="D1594" s="11">
        <v>836</v>
      </c>
      <c r="E1594" s="14" t="str">
        <f>VLOOKUP(B1594, 'Catégorie des articles'!A:E, 4, FALSE)</f>
        <v>CREMERIE</v>
      </c>
      <c r="F1594" s="14">
        <f t="shared" si="24"/>
        <v>202211</v>
      </c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</row>
    <row r="1595" spans="1:21" ht="12.75" customHeight="1">
      <c r="A1595" s="10">
        <v>143439679</v>
      </c>
      <c r="B1595" s="15">
        <v>5540246171759</v>
      </c>
      <c r="C1595" s="32">
        <v>44883</v>
      </c>
      <c r="D1595" s="11">
        <v>6682</v>
      </c>
      <c r="E1595" s="14" t="str">
        <f>VLOOKUP(B1595, 'Catégorie des articles'!A:E, 4, FALSE)</f>
        <v>MIX LEGUMES</v>
      </c>
      <c r="F1595" s="14">
        <f t="shared" si="24"/>
        <v>202211</v>
      </c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</row>
    <row r="1596" spans="1:21" ht="12.75" customHeight="1">
      <c r="A1596" s="7">
        <v>143439679</v>
      </c>
      <c r="B1596" s="13">
        <v>5540246177133</v>
      </c>
      <c r="C1596" s="31">
        <v>44883</v>
      </c>
      <c r="D1596" s="8">
        <v>8318</v>
      </c>
      <c r="E1596" s="14" t="str">
        <f>VLOOKUP(B1596, 'Catégorie des articles'!A:E, 4, FALSE)</f>
        <v>MIX LEGUMES</v>
      </c>
      <c r="F1596" s="14">
        <f t="shared" si="24"/>
        <v>202211</v>
      </c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</row>
    <row r="1597" spans="1:21" ht="12.75" customHeight="1">
      <c r="A1597" s="7">
        <v>143439682</v>
      </c>
      <c r="B1597" s="13">
        <v>5540246176699</v>
      </c>
      <c r="C1597" s="31">
        <v>44878</v>
      </c>
      <c r="D1597" s="8">
        <v>8352</v>
      </c>
      <c r="E1597" s="14" t="str">
        <f>VLOOKUP(B1597, 'Catégorie des articles'!A:E, 4, FALSE)</f>
        <v>CREMERIE</v>
      </c>
      <c r="F1597" s="14">
        <f t="shared" si="24"/>
        <v>202211</v>
      </c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</row>
    <row r="1598" spans="1:21" ht="12.75" customHeight="1">
      <c r="A1598" s="7">
        <v>143439683</v>
      </c>
      <c r="B1598" s="13">
        <v>5540246176295</v>
      </c>
      <c r="C1598" s="31">
        <v>44878</v>
      </c>
      <c r="D1598" s="8">
        <v>4455</v>
      </c>
      <c r="E1598" s="14" t="str">
        <f>VLOOKUP(B1598, 'Catégorie des articles'!A:E, 4, FALSE)</f>
        <v>CREMERIE</v>
      </c>
      <c r="F1598" s="14">
        <f t="shared" si="24"/>
        <v>202211</v>
      </c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</row>
    <row r="1599" spans="1:21" ht="12.75" customHeight="1">
      <c r="A1599" s="10">
        <v>143439690</v>
      </c>
      <c r="B1599" s="15">
        <v>5540246191598</v>
      </c>
      <c r="C1599" s="32">
        <v>44882</v>
      </c>
      <c r="D1599" s="11">
        <v>1601</v>
      </c>
      <c r="E1599" s="14" t="str">
        <f>VLOOKUP(B1599, 'Catégorie des articles'!A:E, 4, FALSE)</f>
        <v>CREMERIE</v>
      </c>
      <c r="F1599" s="14">
        <f t="shared" si="24"/>
        <v>202211</v>
      </c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</row>
    <row r="1600" spans="1:21" ht="12.75" customHeight="1">
      <c r="A1600" s="10">
        <v>143439691</v>
      </c>
      <c r="B1600" s="15">
        <v>5540246195943</v>
      </c>
      <c r="C1600" s="32">
        <v>44912</v>
      </c>
      <c r="D1600" s="11">
        <v>928</v>
      </c>
      <c r="E1600" s="14" t="str">
        <f>VLOOKUP(B1600, 'Catégorie des articles'!A:E, 4, FALSE)</f>
        <v>CREMERIE</v>
      </c>
      <c r="F1600" s="14">
        <f t="shared" si="24"/>
        <v>202212</v>
      </c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</row>
    <row r="1601" spans="1:21" ht="12.75" customHeight="1">
      <c r="A1601" s="7">
        <v>143439691</v>
      </c>
      <c r="B1601" s="13">
        <v>5540246195944</v>
      </c>
      <c r="C1601" s="31">
        <v>44912</v>
      </c>
      <c r="D1601" s="8">
        <v>928</v>
      </c>
      <c r="E1601" s="14" t="str">
        <f>VLOOKUP(B1601, 'Catégorie des articles'!A:E, 4, FALSE)</f>
        <v>CREMERIE</v>
      </c>
      <c r="F1601" s="14">
        <f t="shared" si="24"/>
        <v>202212</v>
      </c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</row>
    <row r="1602" spans="1:21" ht="12.75" customHeight="1">
      <c r="A1602" s="10">
        <v>143439720</v>
      </c>
      <c r="B1602" s="15">
        <v>5540246172669</v>
      </c>
      <c r="C1602" s="32">
        <v>44879</v>
      </c>
      <c r="D1602" s="11">
        <v>140</v>
      </c>
      <c r="E1602" s="14" t="str">
        <f>VLOOKUP(B1602, 'Catégorie des articles'!A:E, 4, FALSE)</f>
        <v>CREMERIE</v>
      </c>
      <c r="F1602" s="14">
        <f t="shared" ref="F1602:F1665" si="25">YEAR(C1602)*100 + MONTH(C1602)</f>
        <v>202211</v>
      </c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</row>
    <row r="1603" spans="1:21" ht="12.75" customHeight="1">
      <c r="A1603" s="7">
        <v>143439720</v>
      </c>
      <c r="B1603" s="13">
        <v>5540246172978</v>
      </c>
      <c r="C1603" s="31">
        <v>44879</v>
      </c>
      <c r="D1603" s="8">
        <v>1253</v>
      </c>
      <c r="E1603" s="14" t="str">
        <f>VLOOKUP(B1603, 'Catégorie des articles'!A:E, 4, FALSE)</f>
        <v>CREMERIE</v>
      </c>
      <c r="F1603" s="14">
        <f t="shared" si="25"/>
        <v>202211</v>
      </c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</row>
    <row r="1604" spans="1:21" ht="12.75" customHeight="1">
      <c r="A1604" s="7">
        <v>143439720</v>
      </c>
      <c r="B1604" s="13">
        <v>5540246174174</v>
      </c>
      <c r="C1604" s="31">
        <v>44879</v>
      </c>
      <c r="D1604" s="8">
        <v>232</v>
      </c>
      <c r="E1604" s="14" t="str">
        <f>VLOOKUP(B1604, 'Catégorie des articles'!A:E, 4, FALSE)</f>
        <v>CREMERIE</v>
      </c>
      <c r="F1604" s="14">
        <f t="shared" si="25"/>
        <v>202211</v>
      </c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</row>
    <row r="1605" spans="1:21" ht="12.75" customHeight="1">
      <c r="A1605" s="7">
        <v>143439720</v>
      </c>
      <c r="B1605" s="13">
        <v>5540246188175</v>
      </c>
      <c r="C1605" s="31">
        <v>44879</v>
      </c>
      <c r="D1605" s="8">
        <v>232</v>
      </c>
      <c r="E1605" s="14" t="str">
        <f>VLOOKUP(B1605, 'Catégorie des articles'!A:E, 4, FALSE)</f>
        <v>CREMERIE</v>
      </c>
      <c r="F1605" s="14">
        <f t="shared" si="25"/>
        <v>202211</v>
      </c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</row>
    <row r="1606" spans="1:21" ht="12.75" customHeight="1">
      <c r="A1606" s="7">
        <v>143439723</v>
      </c>
      <c r="B1606" s="13">
        <v>5540246171933</v>
      </c>
      <c r="C1606" s="31">
        <v>44879</v>
      </c>
      <c r="D1606" s="8">
        <v>1671</v>
      </c>
      <c r="E1606" s="14" t="str">
        <f>VLOOKUP(B1606, 'Catégorie des articles'!A:E, 4, FALSE)</f>
        <v>CREMERIE</v>
      </c>
      <c r="F1606" s="14">
        <f t="shared" si="25"/>
        <v>202211</v>
      </c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</row>
    <row r="1607" spans="1:21" ht="12.75" customHeight="1">
      <c r="A1607" s="7">
        <v>143439723</v>
      </c>
      <c r="B1607" s="13">
        <v>5540246176294</v>
      </c>
      <c r="C1607" s="31">
        <v>44879</v>
      </c>
      <c r="D1607" s="8">
        <v>743</v>
      </c>
      <c r="E1607" s="14" t="str">
        <f>VLOOKUP(B1607, 'Catégorie des articles'!A:E, 4, FALSE)</f>
        <v>CREMERIE</v>
      </c>
      <c r="F1607" s="14">
        <f t="shared" si="25"/>
        <v>202211</v>
      </c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</row>
    <row r="1608" spans="1:21" ht="12.75" customHeight="1">
      <c r="A1608" s="10">
        <v>143439723</v>
      </c>
      <c r="B1608" s="15">
        <v>5540246176295</v>
      </c>
      <c r="C1608" s="32">
        <v>44879</v>
      </c>
      <c r="D1608" s="11">
        <v>7424</v>
      </c>
      <c r="E1608" s="14" t="str">
        <f>VLOOKUP(B1608, 'Catégorie des articles'!A:E, 4, FALSE)</f>
        <v>CREMERIE</v>
      </c>
      <c r="F1608" s="14">
        <f t="shared" si="25"/>
        <v>202211</v>
      </c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</row>
    <row r="1609" spans="1:21" ht="12.75" customHeight="1">
      <c r="A1609" s="10">
        <v>143439723</v>
      </c>
      <c r="B1609" s="15">
        <v>5540246187987</v>
      </c>
      <c r="C1609" s="32">
        <v>44879</v>
      </c>
      <c r="D1609" s="11">
        <v>4455</v>
      </c>
      <c r="E1609" s="14" t="str">
        <f>VLOOKUP(B1609, 'Catégorie des articles'!A:E, 4, FALSE)</f>
        <v>CREMERIE</v>
      </c>
      <c r="F1609" s="14">
        <f t="shared" si="25"/>
        <v>202211</v>
      </c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</row>
    <row r="1610" spans="1:21" ht="12.75" customHeight="1">
      <c r="A1610" s="7">
        <v>143439723</v>
      </c>
      <c r="B1610" s="13">
        <v>5540246188200</v>
      </c>
      <c r="C1610" s="31">
        <v>44879</v>
      </c>
      <c r="D1610" s="8">
        <v>1485</v>
      </c>
      <c r="E1610" s="14" t="str">
        <f>VLOOKUP(B1610, 'Catégorie des articles'!A:E, 4, FALSE)</f>
        <v>CREMERIE</v>
      </c>
      <c r="F1610" s="14">
        <f t="shared" si="25"/>
        <v>202211</v>
      </c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</row>
    <row r="1611" spans="1:21" ht="12.75" customHeight="1">
      <c r="A1611" s="10">
        <v>143439726</v>
      </c>
      <c r="B1611" s="15">
        <v>5540246194632</v>
      </c>
      <c r="C1611" s="32">
        <v>44884</v>
      </c>
      <c r="D1611" s="11">
        <v>1003</v>
      </c>
      <c r="E1611" s="14" t="str">
        <f>VLOOKUP(B1611, 'Catégorie des articles'!A:E, 4, FALSE)</f>
        <v>BOULANGERIE</v>
      </c>
      <c r="F1611" s="14">
        <f t="shared" si="25"/>
        <v>202211</v>
      </c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</row>
    <row r="1612" spans="1:21" ht="12.75" customHeight="1">
      <c r="A1612" s="7">
        <v>143439726</v>
      </c>
      <c r="B1612" s="13">
        <v>5540246196046</v>
      </c>
      <c r="C1612" s="31">
        <v>44884</v>
      </c>
      <c r="D1612" s="8">
        <v>251</v>
      </c>
      <c r="E1612" s="14" t="str">
        <f>VLOOKUP(B1612, 'Catégorie des articles'!A:E, 4, FALSE)</f>
        <v>BOULANGERIE</v>
      </c>
      <c r="F1612" s="14">
        <f t="shared" si="25"/>
        <v>202211</v>
      </c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</row>
    <row r="1613" spans="1:21" ht="12.75" customHeight="1">
      <c r="A1613" s="10">
        <v>143439731</v>
      </c>
      <c r="B1613" s="15">
        <v>5540246194632</v>
      </c>
      <c r="C1613" s="32">
        <v>44886</v>
      </c>
      <c r="D1613" s="11">
        <v>1170</v>
      </c>
      <c r="E1613" s="14" t="str">
        <f>VLOOKUP(B1613, 'Catégorie des articles'!A:E, 4, FALSE)</f>
        <v>BOULANGERIE</v>
      </c>
      <c r="F1613" s="14">
        <f t="shared" si="25"/>
        <v>202211</v>
      </c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</row>
    <row r="1614" spans="1:21" ht="12.75" customHeight="1">
      <c r="A1614" s="7">
        <v>143439747</v>
      </c>
      <c r="B1614" s="13">
        <v>5540246170256</v>
      </c>
      <c r="C1614" s="31">
        <v>44898</v>
      </c>
      <c r="D1614" s="8">
        <v>3174</v>
      </c>
      <c r="E1614" s="14" t="str">
        <f>VLOOKUP(B1614, 'Catégorie des articles'!A:E, 4, FALSE)</f>
        <v>BOULANGERIE</v>
      </c>
      <c r="F1614" s="14">
        <f t="shared" si="25"/>
        <v>202212</v>
      </c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</row>
    <row r="1615" spans="1:21" ht="12.75" customHeight="1">
      <c r="A1615" s="10">
        <v>143439747</v>
      </c>
      <c r="B1615" s="15">
        <v>5540246171888</v>
      </c>
      <c r="C1615" s="32">
        <v>44898</v>
      </c>
      <c r="D1615" s="11">
        <v>520</v>
      </c>
      <c r="E1615" s="14" t="str">
        <f>VLOOKUP(B1615, 'Catégorie des articles'!A:E, 4, FALSE)</f>
        <v>BOULANGERIE</v>
      </c>
      <c r="F1615" s="14">
        <f t="shared" si="25"/>
        <v>202212</v>
      </c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</row>
    <row r="1616" spans="1:21" ht="12.75" customHeight="1">
      <c r="A1616" s="7">
        <v>143439748</v>
      </c>
      <c r="B1616" s="13">
        <v>5540246170256</v>
      </c>
      <c r="C1616" s="31">
        <v>44906</v>
      </c>
      <c r="D1616" s="8">
        <v>3174</v>
      </c>
      <c r="E1616" s="14" t="str">
        <f>VLOOKUP(B1616, 'Catégorie des articles'!A:E, 4, FALSE)</f>
        <v>BOULANGERIE</v>
      </c>
      <c r="F1616" s="14">
        <f t="shared" si="25"/>
        <v>202212</v>
      </c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</row>
    <row r="1617" spans="1:21" ht="12.75" customHeight="1">
      <c r="A1617" s="10">
        <v>143439748</v>
      </c>
      <c r="B1617" s="15">
        <v>5540246171888</v>
      </c>
      <c r="C1617" s="32">
        <v>44906</v>
      </c>
      <c r="D1617" s="11">
        <v>520</v>
      </c>
      <c r="E1617" s="14" t="str">
        <f>VLOOKUP(B1617, 'Catégorie des articles'!A:E, 4, FALSE)</f>
        <v>BOULANGERIE</v>
      </c>
      <c r="F1617" s="14">
        <f t="shared" si="25"/>
        <v>202212</v>
      </c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</row>
    <row r="1618" spans="1:21" ht="12.75" customHeight="1">
      <c r="A1618" s="7">
        <v>143439749</v>
      </c>
      <c r="B1618" s="13">
        <v>5540246170256</v>
      </c>
      <c r="C1618" s="31">
        <v>44912</v>
      </c>
      <c r="D1618" s="8">
        <v>3112</v>
      </c>
      <c r="E1618" s="14" t="str">
        <f>VLOOKUP(B1618, 'Catégorie des articles'!A:E, 4, FALSE)</f>
        <v>BOULANGERIE</v>
      </c>
      <c r="F1618" s="14">
        <f t="shared" si="25"/>
        <v>202212</v>
      </c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</row>
    <row r="1619" spans="1:21" ht="12.75" customHeight="1">
      <c r="A1619" s="10">
        <v>143439749</v>
      </c>
      <c r="B1619" s="15">
        <v>5540246171888</v>
      </c>
      <c r="C1619" s="32">
        <v>44912</v>
      </c>
      <c r="D1619" s="11">
        <v>520</v>
      </c>
      <c r="E1619" s="14" t="str">
        <f>VLOOKUP(B1619, 'Catégorie des articles'!A:E, 4, FALSE)</f>
        <v>BOULANGERIE</v>
      </c>
      <c r="F1619" s="14">
        <f t="shared" si="25"/>
        <v>202212</v>
      </c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</row>
    <row r="1620" spans="1:21" ht="12.75" customHeight="1">
      <c r="A1620" s="7">
        <v>143439771</v>
      </c>
      <c r="B1620" s="13">
        <v>5540246172669</v>
      </c>
      <c r="C1620" s="31">
        <v>44882</v>
      </c>
      <c r="D1620" s="8">
        <v>140</v>
      </c>
      <c r="E1620" s="14" t="str">
        <f>VLOOKUP(B1620, 'Catégorie des articles'!A:E, 4, FALSE)</f>
        <v>CREMERIE</v>
      </c>
      <c r="F1620" s="14">
        <f t="shared" si="25"/>
        <v>202211</v>
      </c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</row>
    <row r="1621" spans="1:21" ht="12.75" customHeight="1">
      <c r="A1621" s="7">
        <v>143439771</v>
      </c>
      <c r="B1621" s="13">
        <v>5540246191594</v>
      </c>
      <c r="C1621" s="31">
        <v>44882</v>
      </c>
      <c r="D1621" s="8">
        <v>1504</v>
      </c>
      <c r="E1621" s="14" t="str">
        <f>VLOOKUP(B1621, 'Catégorie des articles'!A:E, 4, FALSE)</f>
        <v>CREMERIE</v>
      </c>
      <c r="F1621" s="14">
        <f t="shared" si="25"/>
        <v>202211</v>
      </c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</row>
    <row r="1622" spans="1:21" ht="12.75" customHeight="1">
      <c r="A1622" s="10">
        <v>143439773</v>
      </c>
      <c r="B1622" s="15">
        <v>5540246171933</v>
      </c>
      <c r="C1622" s="32">
        <v>44882</v>
      </c>
      <c r="D1622" s="11">
        <v>1114</v>
      </c>
      <c r="E1622" s="14" t="str">
        <f>VLOOKUP(B1622, 'Catégorie des articles'!A:E, 4, FALSE)</f>
        <v>CREMERIE</v>
      </c>
      <c r="F1622" s="14">
        <f t="shared" si="25"/>
        <v>202211</v>
      </c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</row>
    <row r="1623" spans="1:21" ht="12.75" customHeight="1">
      <c r="A1623" s="7">
        <v>143439773</v>
      </c>
      <c r="B1623" s="13">
        <v>5540246176295</v>
      </c>
      <c r="C1623" s="31">
        <v>44882</v>
      </c>
      <c r="D1623" s="8">
        <v>8909</v>
      </c>
      <c r="E1623" s="14" t="str">
        <f>VLOOKUP(B1623, 'Catégorie des articles'!A:E, 4, FALSE)</f>
        <v>CREMERIE</v>
      </c>
      <c r="F1623" s="14">
        <f t="shared" si="25"/>
        <v>202211</v>
      </c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</row>
    <row r="1624" spans="1:21" ht="12.75" customHeight="1">
      <c r="A1624" s="10">
        <v>143439773</v>
      </c>
      <c r="B1624" s="15">
        <v>5540246187987</v>
      </c>
      <c r="C1624" s="32">
        <v>44882</v>
      </c>
      <c r="D1624" s="11">
        <v>4455</v>
      </c>
      <c r="E1624" s="14" t="str">
        <f>VLOOKUP(B1624, 'Catégorie des articles'!A:E, 4, FALSE)</f>
        <v>CREMERIE</v>
      </c>
      <c r="F1624" s="14">
        <f t="shared" si="25"/>
        <v>202211</v>
      </c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</row>
    <row r="1625" spans="1:21" ht="12.75" customHeight="1">
      <c r="A1625" s="10">
        <v>143439780</v>
      </c>
      <c r="B1625" s="15">
        <v>5540246177133</v>
      </c>
      <c r="C1625" s="32">
        <v>44882</v>
      </c>
      <c r="D1625" s="11">
        <v>499</v>
      </c>
      <c r="E1625" s="14" t="str">
        <f>VLOOKUP(B1625, 'Catégorie des articles'!A:E, 4, FALSE)</f>
        <v>MIX LEGUMES</v>
      </c>
      <c r="F1625" s="14">
        <f t="shared" si="25"/>
        <v>202211</v>
      </c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</row>
    <row r="1626" spans="1:21" ht="12.75" customHeight="1">
      <c r="A1626" s="7">
        <v>143439780</v>
      </c>
      <c r="B1626" s="13">
        <v>5540246192148</v>
      </c>
      <c r="C1626" s="31">
        <v>44882</v>
      </c>
      <c r="D1626" s="8">
        <v>22272</v>
      </c>
      <c r="E1626" s="14" t="str">
        <f>VLOOKUP(B1626, 'Catégorie des articles'!A:E, 4, FALSE)</f>
        <v>MIX LEGUMES</v>
      </c>
      <c r="F1626" s="14">
        <f t="shared" si="25"/>
        <v>202211</v>
      </c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</row>
    <row r="1627" spans="1:21" ht="12.75" customHeight="1">
      <c r="A1627" s="7">
        <v>143439787</v>
      </c>
      <c r="B1627" s="13">
        <v>5540246174095</v>
      </c>
      <c r="C1627" s="31">
        <v>44884</v>
      </c>
      <c r="D1627" s="8">
        <v>140</v>
      </c>
      <c r="E1627" s="14" t="str">
        <f>VLOOKUP(B1627, 'Catégorie des articles'!A:E, 4, FALSE)</f>
        <v>CREMERIE</v>
      </c>
      <c r="F1627" s="14">
        <f t="shared" si="25"/>
        <v>202211</v>
      </c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</row>
    <row r="1628" spans="1:21" ht="12.75" customHeight="1">
      <c r="A1628" s="10">
        <v>143439787</v>
      </c>
      <c r="B1628" s="15">
        <v>5540246175049</v>
      </c>
      <c r="C1628" s="32">
        <v>44884</v>
      </c>
      <c r="D1628" s="11">
        <v>557</v>
      </c>
      <c r="E1628" s="14" t="str">
        <f>VLOOKUP(B1628, 'Catégorie des articles'!A:E, 4, FALSE)</f>
        <v>CREMERIE</v>
      </c>
      <c r="F1628" s="14">
        <f t="shared" si="25"/>
        <v>202211</v>
      </c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</row>
    <row r="1629" spans="1:21" ht="12.75" customHeight="1">
      <c r="A1629" s="7">
        <v>143439787</v>
      </c>
      <c r="B1629" s="13">
        <v>5540246175050</v>
      </c>
      <c r="C1629" s="31">
        <v>44884</v>
      </c>
      <c r="D1629" s="8">
        <v>557</v>
      </c>
      <c r="E1629" s="14" t="str">
        <f>VLOOKUP(B1629, 'Catégorie des articles'!A:E, 4, FALSE)</f>
        <v>CREMERIE</v>
      </c>
      <c r="F1629" s="14">
        <f t="shared" si="25"/>
        <v>202211</v>
      </c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</row>
    <row r="1630" spans="1:21" ht="12.75" customHeight="1">
      <c r="A1630" s="10">
        <v>143439789</v>
      </c>
      <c r="B1630" s="15">
        <v>5540246185562</v>
      </c>
      <c r="C1630" s="32">
        <v>44884</v>
      </c>
      <c r="D1630" s="11">
        <v>70</v>
      </c>
      <c r="E1630" s="14" t="str">
        <f>VLOOKUP(B1630, 'Catégorie des articles'!A:E, 4, FALSE)</f>
        <v>CREMERIE</v>
      </c>
      <c r="F1630" s="14">
        <f t="shared" si="25"/>
        <v>202211</v>
      </c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</row>
    <row r="1631" spans="1:21" ht="12.75" customHeight="1">
      <c r="A1631" s="7">
        <v>143439803</v>
      </c>
      <c r="B1631" s="13">
        <v>5540246176699</v>
      </c>
      <c r="C1631" s="31">
        <v>44883</v>
      </c>
      <c r="D1631" s="8">
        <v>8352</v>
      </c>
      <c r="E1631" s="14" t="str">
        <f>VLOOKUP(B1631, 'Catégorie des articles'!A:E, 4, FALSE)</f>
        <v>CREMERIE</v>
      </c>
      <c r="F1631" s="14">
        <f t="shared" si="25"/>
        <v>202211</v>
      </c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</row>
    <row r="1632" spans="1:21" ht="12.75" customHeight="1">
      <c r="A1632" s="7">
        <v>143439803</v>
      </c>
      <c r="B1632" s="13">
        <v>5540246192102</v>
      </c>
      <c r="C1632" s="31">
        <v>44883</v>
      </c>
      <c r="D1632" s="8">
        <v>2005</v>
      </c>
      <c r="E1632" s="14" t="str">
        <f>VLOOKUP(B1632, 'Catégorie des articles'!A:E, 4, FALSE)</f>
        <v>CREMERIE</v>
      </c>
      <c r="F1632" s="14">
        <f t="shared" si="25"/>
        <v>202211</v>
      </c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</row>
    <row r="1633" spans="1:21" ht="12.75" customHeight="1">
      <c r="A1633" s="7">
        <v>143439805</v>
      </c>
      <c r="B1633" s="13">
        <v>5540246171933</v>
      </c>
      <c r="C1633" s="31">
        <v>44883</v>
      </c>
      <c r="D1633" s="8">
        <v>1114</v>
      </c>
      <c r="E1633" s="14" t="str">
        <f>VLOOKUP(B1633, 'Catégorie des articles'!A:E, 4, FALSE)</f>
        <v>CREMERIE</v>
      </c>
      <c r="F1633" s="14">
        <f t="shared" si="25"/>
        <v>202211</v>
      </c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</row>
    <row r="1634" spans="1:21" ht="12.75" customHeight="1">
      <c r="A1634" s="10">
        <v>143439805</v>
      </c>
      <c r="B1634" s="15">
        <v>5540246176294</v>
      </c>
      <c r="C1634" s="32">
        <v>44883</v>
      </c>
      <c r="D1634" s="11">
        <v>1485</v>
      </c>
      <c r="E1634" s="14" t="str">
        <f>VLOOKUP(B1634, 'Catégorie des articles'!A:E, 4, FALSE)</f>
        <v>CREMERIE</v>
      </c>
      <c r="F1634" s="14">
        <f t="shared" si="25"/>
        <v>202211</v>
      </c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</row>
    <row r="1635" spans="1:21" ht="12.75" customHeight="1">
      <c r="A1635" s="7">
        <v>143439805</v>
      </c>
      <c r="B1635" s="13">
        <v>5540246176295</v>
      </c>
      <c r="C1635" s="31">
        <v>44883</v>
      </c>
      <c r="D1635" s="8">
        <v>8909</v>
      </c>
      <c r="E1635" s="14" t="str">
        <f>VLOOKUP(B1635, 'Catégorie des articles'!A:E, 4, FALSE)</f>
        <v>CREMERIE</v>
      </c>
      <c r="F1635" s="14">
        <f t="shared" si="25"/>
        <v>202211</v>
      </c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</row>
    <row r="1636" spans="1:21" ht="12.75" customHeight="1">
      <c r="A1636" s="7">
        <v>143439805</v>
      </c>
      <c r="B1636" s="13">
        <v>5540246187987</v>
      </c>
      <c r="C1636" s="31">
        <v>44883</v>
      </c>
      <c r="D1636" s="8">
        <v>3341</v>
      </c>
      <c r="E1636" s="14" t="str">
        <f>VLOOKUP(B1636, 'Catégorie des articles'!A:E, 4, FALSE)</f>
        <v>CREMERIE</v>
      </c>
      <c r="F1636" s="14">
        <f t="shared" si="25"/>
        <v>202211</v>
      </c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</row>
    <row r="1637" spans="1:21" ht="12.75" customHeight="1">
      <c r="A1637" s="10">
        <v>143439806</v>
      </c>
      <c r="B1637" s="15">
        <v>5540246191598</v>
      </c>
      <c r="C1637" s="32">
        <v>44884</v>
      </c>
      <c r="D1637" s="11">
        <v>1476</v>
      </c>
      <c r="E1637" s="14" t="str">
        <f>VLOOKUP(B1637, 'Catégorie des articles'!A:E, 4, FALSE)</f>
        <v>CREMERIE</v>
      </c>
      <c r="F1637" s="14">
        <f t="shared" si="25"/>
        <v>202211</v>
      </c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</row>
    <row r="1638" spans="1:21" ht="12.75" customHeight="1">
      <c r="A1638" s="10">
        <v>143439825</v>
      </c>
      <c r="B1638" s="15">
        <v>5540246194632</v>
      </c>
      <c r="C1638" s="32">
        <v>44883</v>
      </c>
      <c r="D1638" s="11">
        <v>251</v>
      </c>
      <c r="E1638" s="14" t="str">
        <f>VLOOKUP(B1638, 'Catégorie des articles'!A:E, 4, FALSE)</f>
        <v>BOULANGERIE</v>
      </c>
      <c r="F1638" s="14">
        <f t="shared" si="25"/>
        <v>202211</v>
      </c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</row>
    <row r="1639" spans="1:21" ht="12.75" customHeight="1">
      <c r="A1639" s="7">
        <v>143439825</v>
      </c>
      <c r="B1639" s="13">
        <v>5540246195250</v>
      </c>
      <c r="C1639" s="31">
        <v>44883</v>
      </c>
      <c r="D1639" s="8">
        <v>58</v>
      </c>
      <c r="E1639" s="14" t="str">
        <f>VLOOKUP(B1639, 'Catégorie des articles'!A:E, 4, FALSE)</f>
        <v>BOULANGERIE</v>
      </c>
      <c r="F1639" s="14">
        <f t="shared" si="25"/>
        <v>202211</v>
      </c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</row>
    <row r="1640" spans="1:21" ht="12.75" customHeight="1">
      <c r="A1640" s="10">
        <v>143439825</v>
      </c>
      <c r="B1640" s="15">
        <v>5540246196046</v>
      </c>
      <c r="C1640" s="32">
        <v>44883</v>
      </c>
      <c r="D1640" s="11">
        <v>58</v>
      </c>
      <c r="E1640" s="14" t="str">
        <f>VLOOKUP(B1640, 'Catégorie des articles'!A:E, 4, FALSE)</f>
        <v>BOULANGERIE</v>
      </c>
      <c r="F1640" s="14">
        <f t="shared" si="25"/>
        <v>202211</v>
      </c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</row>
    <row r="1641" spans="1:21" ht="12.75" customHeight="1">
      <c r="A1641" s="7">
        <v>143439827</v>
      </c>
      <c r="B1641" s="13">
        <v>5540246194632</v>
      </c>
      <c r="C1641" s="31">
        <v>44890</v>
      </c>
      <c r="D1641" s="8">
        <v>919</v>
      </c>
      <c r="E1641" s="14" t="str">
        <f>VLOOKUP(B1641, 'Catégorie des articles'!A:E, 4, FALSE)</f>
        <v>BOULANGERIE</v>
      </c>
      <c r="F1641" s="14">
        <f t="shared" si="25"/>
        <v>202211</v>
      </c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</row>
    <row r="1642" spans="1:21" ht="12.75" customHeight="1">
      <c r="A1642" s="10">
        <v>143439827</v>
      </c>
      <c r="B1642" s="15">
        <v>5540246196046</v>
      </c>
      <c r="C1642" s="32">
        <v>44890</v>
      </c>
      <c r="D1642" s="11">
        <v>251</v>
      </c>
      <c r="E1642" s="14" t="str">
        <f>VLOOKUP(B1642, 'Catégorie des articles'!A:E, 4, FALSE)</f>
        <v>BOULANGERIE</v>
      </c>
      <c r="F1642" s="14">
        <f t="shared" si="25"/>
        <v>202211</v>
      </c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</row>
    <row r="1643" spans="1:21" ht="12.75" customHeight="1">
      <c r="A1643" s="10">
        <v>143439828</v>
      </c>
      <c r="B1643" s="15">
        <v>5540246194632</v>
      </c>
      <c r="C1643" s="32">
        <v>44892</v>
      </c>
      <c r="D1643" s="11">
        <v>1003</v>
      </c>
      <c r="E1643" s="14" t="str">
        <f>VLOOKUP(B1643, 'Catégorie des articles'!A:E, 4, FALSE)</f>
        <v>BOULANGERIE</v>
      </c>
      <c r="F1643" s="14">
        <f t="shared" si="25"/>
        <v>202211</v>
      </c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</row>
    <row r="1644" spans="1:21" ht="12.75" customHeight="1">
      <c r="A1644" s="10">
        <v>143449857</v>
      </c>
      <c r="B1644" s="15">
        <v>5540246172978</v>
      </c>
      <c r="C1644" s="32">
        <v>44884</v>
      </c>
      <c r="D1644" s="11">
        <v>836</v>
      </c>
      <c r="E1644" s="14" t="str">
        <f>VLOOKUP(B1644, 'Catégorie des articles'!A:E, 4, FALSE)</f>
        <v>CREMERIE</v>
      </c>
      <c r="F1644" s="14">
        <f t="shared" si="25"/>
        <v>202211</v>
      </c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</row>
    <row r="1645" spans="1:21" ht="12.75" customHeight="1">
      <c r="A1645" s="7">
        <v>143449860</v>
      </c>
      <c r="B1645" s="13">
        <v>5540246176294</v>
      </c>
      <c r="C1645" s="31">
        <v>44884</v>
      </c>
      <c r="D1645" s="8">
        <v>743</v>
      </c>
      <c r="E1645" s="14" t="str">
        <f>VLOOKUP(B1645, 'Catégorie des articles'!A:E, 4, FALSE)</f>
        <v>CREMERIE</v>
      </c>
      <c r="F1645" s="14">
        <f t="shared" si="25"/>
        <v>202211</v>
      </c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</row>
    <row r="1646" spans="1:21" ht="12.75" customHeight="1">
      <c r="A1646" s="10">
        <v>143449860</v>
      </c>
      <c r="B1646" s="15">
        <v>5540246176295</v>
      </c>
      <c r="C1646" s="32">
        <v>44884</v>
      </c>
      <c r="D1646" s="11">
        <v>4455</v>
      </c>
      <c r="E1646" s="14" t="str">
        <f>VLOOKUP(B1646, 'Catégorie des articles'!A:E, 4, FALSE)</f>
        <v>CREMERIE</v>
      </c>
      <c r="F1646" s="14">
        <f t="shared" si="25"/>
        <v>202211</v>
      </c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</row>
    <row r="1647" spans="1:21" ht="12.75" customHeight="1">
      <c r="A1647" s="10">
        <v>143449860</v>
      </c>
      <c r="B1647" s="15">
        <v>5540246188200</v>
      </c>
      <c r="C1647" s="32">
        <v>44884</v>
      </c>
      <c r="D1647" s="11">
        <v>1485</v>
      </c>
      <c r="E1647" s="14" t="str">
        <f>VLOOKUP(B1647, 'Catégorie des articles'!A:E, 4, FALSE)</f>
        <v>CREMERIE</v>
      </c>
      <c r="F1647" s="14">
        <f t="shared" si="25"/>
        <v>202211</v>
      </c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</row>
    <row r="1648" spans="1:21" ht="12.75" customHeight="1">
      <c r="A1648" s="7">
        <v>143449862</v>
      </c>
      <c r="B1648" s="13">
        <v>5540246172978</v>
      </c>
      <c r="C1648" s="31">
        <v>44883</v>
      </c>
      <c r="D1648" s="8">
        <v>3341</v>
      </c>
      <c r="E1648" s="14" t="str">
        <f>VLOOKUP(B1648, 'Catégorie des articles'!A:E, 4, FALSE)</f>
        <v>CREMERIE</v>
      </c>
      <c r="F1648" s="14">
        <f t="shared" si="25"/>
        <v>202211</v>
      </c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</row>
    <row r="1649" spans="1:21" ht="12.75" customHeight="1">
      <c r="A1649" s="10">
        <v>143449875</v>
      </c>
      <c r="B1649" s="15">
        <v>5540246170256</v>
      </c>
      <c r="C1649" s="32">
        <v>44920</v>
      </c>
      <c r="D1649" s="11">
        <v>3174</v>
      </c>
      <c r="E1649" s="14" t="str">
        <f>VLOOKUP(B1649, 'Catégorie des articles'!A:E, 4, FALSE)</f>
        <v>BOULANGERIE</v>
      </c>
      <c r="F1649" s="14">
        <f t="shared" si="25"/>
        <v>202212</v>
      </c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</row>
    <row r="1650" spans="1:21" ht="12.75" customHeight="1">
      <c r="A1650" s="7">
        <v>143449875</v>
      </c>
      <c r="B1650" s="13">
        <v>5540246171888</v>
      </c>
      <c r="C1650" s="31">
        <v>44920</v>
      </c>
      <c r="D1650" s="8">
        <v>520</v>
      </c>
      <c r="E1650" s="14" t="str">
        <f>VLOOKUP(B1650, 'Catégorie des articles'!A:E, 4, FALSE)</f>
        <v>BOULANGERIE</v>
      </c>
      <c r="F1650" s="14">
        <f t="shared" si="25"/>
        <v>202212</v>
      </c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</row>
    <row r="1651" spans="1:21" ht="12.75" customHeight="1">
      <c r="A1651" s="10">
        <v>143449876</v>
      </c>
      <c r="B1651" s="15">
        <v>5540246170256</v>
      </c>
      <c r="C1651" s="32">
        <v>44926</v>
      </c>
      <c r="D1651" s="11">
        <v>3112</v>
      </c>
      <c r="E1651" s="14" t="str">
        <f>VLOOKUP(B1651, 'Catégorie des articles'!A:E, 4, FALSE)</f>
        <v>BOULANGERIE</v>
      </c>
      <c r="F1651" s="14">
        <f t="shared" si="25"/>
        <v>202212</v>
      </c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</row>
    <row r="1652" spans="1:21" ht="12.75" customHeight="1">
      <c r="A1652" s="7">
        <v>143449876</v>
      </c>
      <c r="B1652" s="13">
        <v>5540246171888</v>
      </c>
      <c r="C1652" s="31">
        <v>44926</v>
      </c>
      <c r="D1652" s="8">
        <v>520</v>
      </c>
      <c r="E1652" s="14" t="str">
        <f>VLOOKUP(B1652, 'Catégorie des articles'!A:E, 4, FALSE)</f>
        <v>BOULANGERIE</v>
      </c>
      <c r="F1652" s="14">
        <f t="shared" si="25"/>
        <v>202212</v>
      </c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</row>
    <row r="1653" spans="1:21" ht="12.75" customHeight="1">
      <c r="A1653" s="10">
        <v>143449877</v>
      </c>
      <c r="B1653" s="15">
        <v>5540246170256</v>
      </c>
      <c r="C1653" s="32">
        <v>44935</v>
      </c>
      <c r="D1653" s="11">
        <v>3174</v>
      </c>
      <c r="E1653" s="14" t="str">
        <f>VLOOKUP(B1653, 'Catégorie des articles'!A:E, 4, FALSE)</f>
        <v>BOULANGERIE</v>
      </c>
      <c r="F1653" s="14">
        <f t="shared" si="25"/>
        <v>202301</v>
      </c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</row>
    <row r="1654" spans="1:21" ht="12.75" customHeight="1">
      <c r="A1654" s="7">
        <v>143449877</v>
      </c>
      <c r="B1654" s="13">
        <v>5540246171888</v>
      </c>
      <c r="C1654" s="31">
        <v>44935</v>
      </c>
      <c r="D1654" s="8">
        <v>390</v>
      </c>
      <c r="E1654" s="14" t="str">
        <f>VLOOKUP(B1654, 'Catégorie des articles'!A:E, 4, FALSE)</f>
        <v>BOULANGERIE</v>
      </c>
      <c r="F1654" s="14">
        <f t="shared" si="25"/>
        <v>202301</v>
      </c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</row>
    <row r="1655" spans="1:21" ht="12.75" customHeight="1">
      <c r="A1655" s="10">
        <v>143449891</v>
      </c>
      <c r="B1655" s="15">
        <v>5540246181016</v>
      </c>
      <c r="C1655" s="32">
        <v>44889</v>
      </c>
      <c r="D1655" s="11">
        <v>10691</v>
      </c>
      <c r="E1655" s="14" t="str">
        <f>VLOOKUP(B1655, 'Catégorie des articles'!A:E, 4, FALSE)</f>
        <v>VOLAILLE</v>
      </c>
      <c r="F1655" s="14">
        <f t="shared" si="25"/>
        <v>202211</v>
      </c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</row>
    <row r="1656" spans="1:21" ht="12.75" customHeight="1">
      <c r="A1656" s="10">
        <v>143449917</v>
      </c>
      <c r="B1656" s="15">
        <v>5540246183130</v>
      </c>
      <c r="C1656" s="32">
        <v>44897</v>
      </c>
      <c r="D1656" s="11">
        <v>1692</v>
      </c>
      <c r="E1656" s="14" t="str">
        <f>VLOOKUP(B1656, 'Catégorie des articles'!A:E, 4, FALSE)</f>
        <v>MIX LEGUMES</v>
      </c>
      <c r="F1656" s="14">
        <f t="shared" si="25"/>
        <v>202212</v>
      </c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</row>
    <row r="1657" spans="1:21" ht="12.75" customHeight="1">
      <c r="A1657" s="7">
        <v>143449917</v>
      </c>
      <c r="B1657" s="13">
        <v>5540246183537</v>
      </c>
      <c r="C1657" s="31">
        <v>44897</v>
      </c>
      <c r="D1657" s="8">
        <v>961</v>
      </c>
      <c r="E1657" s="14" t="str">
        <f>VLOOKUP(B1657, 'Catégorie des articles'!A:E, 4, FALSE)</f>
        <v>MIX LEGUMES</v>
      </c>
      <c r="F1657" s="14">
        <f t="shared" si="25"/>
        <v>202212</v>
      </c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</row>
    <row r="1658" spans="1:21" ht="12.75" customHeight="1">
      <c r="A1658" s="10">
        <v>143449919</v>
      </c>
      <c r="B1658" s="15">
        <v>5540246172539</v>
      </c>
      <c r="C1658" s="32">
        <v>44886</v>
      </c>
      <c r="D1658" s="11">
        <v>24</v>
      </c>
      <c r="E1658" s="14" t="str">
        <f>VLOOKUP(B1658, 'Catégorie des articles'!A:E, 4, FALSE)</f>
        <v>CREMERIE</v>
      </c>
      <c r="F1658" s="14">
        <f t="shared" si="25"/>
        <v>202211</v>
      </c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</row>
    <row r="1659" spans="1:21" ht="12.75" customHeight="1">
      <c r="A1659" s="7">
        <v>143449919</v>
      </c>
      <c r="B1659" s="13">
        <v>5540246172669</v>
      </c>
      <c r="C1659" s="31">
        <v>44886</v>
      </c>
      <c r="D1659" s="8">
        <v>140</v>
      </c>
      <c r="E1659" s="14" t="str">
        <f>VLOOKUP(B1659, 'Catégorie des articles'!A:E, 4, FALSE)</f>
        <v>CREMERIE</v>
      </c>
      <c r="F1659" s="14">
        <f t="shared" si="25"/>
        <v>202211</v>
      </c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</row>
    <row r="1660" spans="1:21" ht="12.75" customHeight="1">
      <c r="A1660" s="10">
        <v>143449919</v>
      </c>
      <c r="B1660" s="15">
        <v>5540246172978</v>
      </c>
      <c r="C1660" s="32">
        <v>44886</v>
      </c>
      <c r="D1660" s="11">
        <v>752</v>
      </c>
      <c r="E1660" s="14" t="str">
        <f>VLOOKUP(B1660, 'Catégorie des articles'!A:E, 4, FALSE)</f>
        <v>CREMERIE</v>
      </c>
      <c r="F1660" s="14">
        <f t="shared" si="25"/>
        <v>202211</v>
      </c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</row>
    <row r="1661" spans="1:21" ht="12.75" customHeight="1">
      <c r="A1661" s="7">
        <v>143449919</v>
      </c>
      <c r="B1661" s="13">
        <v>5540246174174</v>
      </c>
      <c r="C1661" s="31">
        <v>44886</v>
      </c>
      <c r="D1661" s="8">
        <v>696</v>
      </c>
      <c r="E1661" s="14" t="str">
        <f>VLOOKUP(B1661, 'Catégorie des articles'!A:E, 4, FALSE)</f>
        <v>CREMERIE</v>
      </c>
      <c r="F1661" s="14">
        <f t="shared" si="25"/>
        <v>202211</v>
      </c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</row>
    <row r="1662" spans="1:21" ht="12.75" customHeight="1">
      <c r="A1662" s="7">
        <v>143449919</v>
      </c>
      <c r="B1662" s="13">
        <v>5540246176699</v>
      </c>
      <c r="C1662" s="31">
        <v>44886</v>
      </c>
      <c r="D1662" s="8">
        <v>2924</v>
      </c>
      <c r="E1662" s="14" t="str">
        <f>VLOOKUP(B1662, 'Catégorie des articles'!A:E, 4, FALSE)</f>
        <v>CREMERIE</v>
      </c>
      <c r="F1662" s="14">
        <f t="shared" si="25"/>
        <v>202211</v>
      </c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</row>
    <row r="1663" spans="1:21" ht="12.75" customHeight="1">
      <c r="A1663" s="10">
        <v>143449919</v>
      </c>
      <c r="B1663" s="15">
        <v>5540246188175</v>
      </c>
      <c r="C1663" s="32">
        <v>44886</v>
      </c>
      <c r="D1663" s="11">
        <v>116</v>
      </c>
      <c r="E1663" s="14" t="str">
        <f>VLOOKUP(B1663, 'Catégorie des articles'!A:E, 4, FALSE)</f>
        <v>CREMERIE</v>
      </c>
      <c r="F1663" s="14">
        <f t="shared" si="25"/>
        <v>202211</v>
      </c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</row>
    <row r="1664" spans="1:21" ht="12.75" customHeight="1">
      <c r="A1664" s="10">
        <v>143449919</v>
      </c>
      <c r="B1664" s="15">
        <v>5540246191594</v>
      </c>
      <c r="C1664" s="32">
        <v>44886</v>
      </c>
      <c r="D1664" s="11">
        <v>1476</v>
      </c>
      <c r="E1664" s="14" t="str">
        <f>VLOOKUP(B1664, 'Catégorie des articles'!A:E, 4, FALSE)</f>
        <v>CREMERIE</v>
      </c>
      <c r="F1664" s="14">
        <f t="shared" si="25"/>
        <v>202211</v>
      </c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</row>
    <row r="1665" spans="1:21" ht="12.75" customHeight="1">
      <c r="A1665" s="7">
        <v>143449919</v>
      </c>
      <c r="B1665" s="13">
        <v>5540246191598</v>
      </c>
      <c r="C1665" s="31">
        <v>44886</v>
      </c>
      <c r="D1665" s="8">
        <v>1601</v>
      </c>
      <c r="E1665" s="14" t="str">
        <f>VLOOKUP(B1665, 'Catégorie des articles'!A:E, 4, FALSE)</f>
        <v>CREMERIE</v>
      </c>
      <c r="F1665" s="14">
        <f t="shared" si="25"/>
        <v>202211</v>
      </c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</row>
    <row r="1666" spans="1:21" ht="12.75" customHeight="1">
      <c r="A1666" s="7">
        <v>143449922</v>
      </c>
      <c r="B1666" s="13">
        <v>5540246176294</v>
      </c>
      <c r="C1666" s="31">
        <v>44886</v>
      </c>
      <c r="D1666" s="8">
        <v>743</v>
      </c>
      <c r="E1666" s="14" t="str">
        <f>VLOOKUP(B1666, 'Catégorie des articles'!A:E, 4, FALSE)</f>
        <v>CREMERIE</v>
      </c>
      <c r="F1666" s="14">
        <f t="shared" ref="F1666:F1729" si="26">YEAR(C1666)*100 + MONTH(C1666)</f>
        <v>202211</v>
      </c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</row>
    <row r="1667" spans="1:21" ht="12.75" customHeight="1">
      <c r="A1667" s="7">
        <v>143449922</v>
      </c>
      <c r="B1667" s="13">
        <v>5540246187987</v>
      </c>
      <c r="C1667" s="31">
        <v>44886</v>
      </c>
      <c r="D1667" s="8">
        <v>2228</v>
      </c>
      <c r="E1667" s="14" t="str">
        <f>VLOOKUP(B1667, 'Catégorie des articles'!A:E, 4, FALSE)</f>
        <v>CREMERIE</v>
      </c>
      <c r="F1667" s="14">
        <f t="shared" si="26"/>
        <v>202211</v>
      </c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</row>
    <row r="1668" spans="1:21" ht="12.75" customHeight="1">
      <c r="A1668" s="10">
        <v>143449922</v>
      </c>
      <c r="B1668" s="15">
        <v>5540246188200</v>
      </c>
      <c r="C1668" s="32">
        <v>44886</v>
      </c>
      <c r="D1668" s="11">
        <v>1485</v>
      </c>
      <c r="E1668" s="14" t="str">
        <f>VLOOKUP(B1668, 'Catégorie des articles'!A:E, 4, FALSE)</f>
        <v>CREMERIE</v>
      </c>
      <c r="F1668" s="14">
        <f t="shared" si="26"/>
        <v>202211</v>
      </c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</row>
    <row r="1669" spans="1:21" ht="12.75" customHeight="1">
      <c r="A1669" s="7">
        <v>143449928</v>
      </c>
      <c r="B1669" s="13">
        <v>5540246174095</v>
      </c>
      <c r="C1669" s="31">
        <v>44891</v>
      </c>
      <c r="D1669" s="8">
        <v>70</v>
      </c>
      <c r="E1669" s="14" t="str">
        <f>VLOOKUP(B1669, 'Catégorie des articles'!A:E, 4, FALSE)</f>
        <v>CREMERIE</v>
      </c>
      <c r="F1669" s="14">
        <f t="shared" si="26"/>
        <v>202211</v>
      </c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</row>
    <row r="1670" spans="1:21" ht="12.75" customHeight="1">
      <c r="A1670" s="10">
        <v>143449928</v>
      </c>
      <c r="B1670" s="15">
        <v>5540246175049</v>
      </c>
      <c r="C1670" s="32">
        <v>44891</v>
      </c>
      <c r="D1670" s="11">
        <v>557</v>
      </c>
      <c r="E1670" s="14" t="str">
        <f>VLOOKUP(B1670, 'Catégorie des articles'!A:E, 4, FALSE)</f>
        <v>CREMERIE</v>
      </c>
      <c r="F1670" s="14">
        <f t="shared" si="26"/>
        <v>202211</v>
      </c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</row>
    <row r="1671" spans="1:21" ht="12.75" customHeight="1">
      <c r="A1671" s="7">
        <v>143449928</v>
      </c>
      <c r="B1671" s="13">
        <v>5540246175050</v>
      </c>
      <c r="C1671" s="31">
        <v>44891</v>
      </c>
      <c r="D1671" s="8">
        <v>418</v>
      </c>
      <c r="E1671" s="14" t="str">
        <f>VLOOKUP(B1671, 'Catégorie des articles'!A:E, 4, FALSE)</f>
        <v>CREMERIE</v>
      </c>
      <c r="F1671" s="14">
        <f t="shared" si="26"/>
        <v>202211</v>
      </c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</row>
    <row r="1672" spans="1:21" ht="12.75" customHeight="1">
      <c r="A1672" s="10">
        <v>143449928</v>
      </c>
      <c r="B1672" s="15">
        <v>5540246190743</v>
      </c>
      <c r="C1672" s="32">
        <v>44891</v>
      </c>
      <c r="D1672" s="11">
        <v>279</v>
      </c>
      <c r="E1672" s="14" t="str">
        <f>VLOOKUP(B1672, 'Catégorie des articles'!A:E, 4, FALSE)</f>
        <v>CREMERIE</v>
      </c>
      <c r="F1672" s="14">
        <f t="shared" si="26"/>
        <v>202211</v>
      </c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</row>
    <row r="1673" spans="1:21" ht="12.75" customHeight="1">
      <c r="A1673" s="7">
        <v>143449929</v>
      </c>
      <c r="B1673" s="13">
        <v>5540246196148</v>
      </c>
      <c r="C1673" s="31">
        <v>44912</v>
      </c>
      <c r="D1673" s="8">
        <v>975</v>
      </c>
      <c r="E1673" s="14" t="str">
        <f>VLOOKUP(B1673, 'Catégorie des articles'!A:E, 4, FALSE)</f>
        <v>EMBALLAGES</v>
      </c>
      <c r="F1673" s="14">
        <f t="shared" si="26"/>
        <v>202212</v>
      </c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</row>
    <row r="1674" spans="1:21" ht="12.75" customHeight="1">
      <c r="A1674" s="10">
        <v>143449946</v>
      </c>
      <c r="B1674" s="15">
        <v>5540246185429</v>
      </c>
      <c r="C1674" s="32">
        <v>44892</v>
      </c>
      <c r="D1674" s="11">
        <v>140</v>
      </c>
      <c r="E1674" s="14" t="str">
        <f>VLOOKUP(B1674, 'Catégorie des articles'!A:E, 4, FALSE)</f>
        <v>CREMERIE</v>
      </c>
      <c r="F1674" s="14">
        <f t="shared" si="26"/>
        <v>202211</v>
      </c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</row>
    <row r="1675" spans="1:21" ht="12.75" customHeight="1">
      <c r="A1675" s="7">
        <v>143449946</v>
      </c>
      <c r="B1675" s="13">
        <v>5540246185562</v>
      </c>
      <c r="C1675" s="31">
        <v>44892</v>
      </c>
      <c r="D1675" s="8">
        <v>168</v>
      </c>
      <c r="E1675" s="14" t="str">
        <f>VLOOKUP(B1675, 'Catégorie des articles'!A:E, 4, FALSE)</f>
        <v>CREMERIE</v>
      </c>
      <c r="F1675" s="14">
        <f t="shared" si="26"/>
        <v>202211</v>
      </c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</row>
    <row r="1676" spans="1:21" ht="12.75" customHeight="1">
      <c r="A1676" s="10">
        <v>143449946</v>
      </c>
      <c r="B1676" s="15">
        <v>5540246186325</v>
      </c>
      <c r="C1676" s="32">
        <v>44892</v>
      </c>
      <c r="D1676" s="11">
        <v>140</v>
      </c>
      <c r="E1676" s="14" t="str">
        <f>VLOOKUP(B1676, 'Catégorie des articles'!A:E, 4, FALSE)</f>
        <v>CREMERIE</v>
      </c>
      <c r="F1676" s="14">
        <f t="shared" si="26"/>
        <v>202211</v>
      </c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</row>
    <row r="1677" spans="1:21" ht="12.75" customHeight="1">
      <c r="A1677" s="7">
        <v>143449947</v>
      </c>
      <c r="B1677" s="13">
        <v>5540246194632</v>
      </c>
      <c r="C1677" s="31">
        <v>44897</v>
      </c>
      <c r="D1677" s="8">
        <v>919</v>
      </c>
      <c r="E1677" s="14" t="str">
        <f>VLOOKUP(B1677, 'Catégorie des articles'!A:E, 4, FALSE)</f>
        <v>BOULANGERIE</v>
      </c>
      <c r="F1677" s="14">
        <f t="shared" si="26"/>
        <v>202212</v>
      </c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</row>
    <row r="1678" spans="1:21" ht="12.75" customHeight="1">
      <c r="A1678" s="10">
        <v>143449947</v>
      </c>
      <c r="B1678" s="15">
        <v>5540246195250</v>
      </c>
      <c r="C1678" s="32">
        <v>44897</v>
      </c>
      <c r="D1678" s="11">
        <v>251</v>
      </c>
      <c r="E1678" s="14" t="str">
        <f>VLOOKUP(B1678, 'Catégorie des articles'!A:E, 4, FALSE)</f>
        <v>BOULANGERIE</v>
      </c>
      <c r="F1678" s="14">
        <f t="shared" si="26"/>
        <v>202212</v>
      </c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</row>
    <row r="1679" spans="1:21" ht="12.75" customHeight="1">
      <c r="A1679" s="7">
        <v>143449947</v>
      </c>
      <c r="B1679" s="13">
        <v>5540246196046</v>
      </c>
      <c r="C1679" s="31">
        <v>44897</v>
      </c>
      <c r="D1679" s="8">
        <v>168</v>
      </c>
      <c r="E1679" s="14" t="str">
        <f>VLOOKUP(B1679, 'Catégorie des articles'!A:E, 4, FALSE)</f>
        <v>BOULANGERIE</v>
      </c>
      <c r="F1679" s="14">
        <f t="shared" si="26"/>
        <v>202212</v>
      </c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</row>
    <row r="1680" spans="1:21" ht="12.75" customHeight="1">
      <c r="A1680" s="10">
        <v>143449948</v>
      </c>
      <c r="B1680" s="15">
        <v>5540246194632</v>
      </c>
      <c r="C1680" s="32">
        <v>44900</v>
      </c>
      <c r="D1680" s="11">
        <v>2256</v>
      </c>
      <c r="E1680" s="14" t="str">
        <f>VLOOKUP(B1680, 'Catégorie des articles'!A:E, 4, FALSE)</f>
        <v>BOULANGERIE</v>
      </c>
      <c r="F1680" s="14">
        <f t="shared" si="26"/>
        <v>202212</v>
      </c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</row>
    <row r="1681" spans="1:21" ht="12.75" customHeight="1">
      <c r="A1681" s="10">
        <v>143449949</v>
      </c>
      <c r="B1681" s="15">
        <v>5540246194632</v>
      </c>
      <c r="C1681" s="32">
        <v>44904</v>
      </c>
      <c r="D1681" s="11">
        <v>1337</v>
      </c>
      <c r="E1681" s="14" t="str">
        <f>VLOOKUP(B1681, 'Catégorie des articles'!A:E, 4, FALSE)</f>
        <v>BOULANGERIE</v>
      </c>
      <c r="F1681" s="14">
        <f t="shared" si="26"/>
        <v>202212</v>
      </c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</row>
    <row r="1682" spans="1:21" ht="12.75" customHeight="1">
      <c r="A1682" s="10">
        <v>143449951</v>
      </c>
      <c r="B1682" s="15">
        <v>5540246194632</v>
      </c>
      <c r="C1682" s="32">
        <v>44907</v>
      </c>
      <c r="D1682" s="11">
        <v>1365</v>
      </c>
      <c r="E1682" s="14" t="str">
        <f>VLOOKUP(B1682, 'Catégorie des articles'!A:E, 4, FALSE)</f>
        <v>BOULANGERIE</v>
      </c>
      <c r="F1682" s="14">
        <f t="shared" si="26"/>
        <v>202212</v>
      </c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</row>
    <row r="1683" spans="1:21" ht="12.75" customHeight="1">
      <c r="A1683" s="10">
        <v>143449952</v>
      </c>
      <c r="B1683" s="15">
        <v>5540246194632</v>
      </c>
      <c r="C1683" s="32">
        <v>44911</v>
      </c>
      <c r="D1683" s="11">
        <v>585</v>
      </c>
      <c r="E1683" s="14" t="str">
        <f>VLOOKUP(B1683, 'Catégorie des articles'!A:E, 4, FALSE)</f>
        <v>BOULANGERIE</v>
      </c>
      <c r="F1683" s="14">
        <f t="shared" si="26"/>
        <v>202212</v>
      </c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</row>
    <row r="1684" spans="1:21" ht="12.75" customHeight="1">
      <c r="A1684" s="7">
        <v>143449953</v>
      </c>
      <c r="B1684" s="13">
        <v>5540246194632</v>
      </c>
      <c r="C1684" s="31">
        <v>44920</v>
      </c>
      <c r="D1684" s="8">
        <v>1086</v>
      </c>
      <c r="E1684" s="14" t="str">
        <f>VLOOKUP(B1684, 'Catégorie des articles'!A:E, 4, FALSE)</f>
        <v>BOULANGERIE</v>
      </c>
      <c r="F1684" s="14">
        <f t="shared" si="26"/>
        <v>202212</v>
      </c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</row>
    <row r="1685" spans="1:21" ht="12.75" customHeight="1">
      <c r="A1685" s="7">
        <v>143449961</v>
      </c>
      <c r="B1685" s="13">
        <v>5540246192907</v>
      </c>
      <c r="C1685" s="31">
        <v>44927</v>
      </c>
      <c r="D1685" s="8">
        <v>3248</v>
      </c>
      <c r="E1685" s="14" t="str">
        <f>VLOOKUP(B1685, 'Catégorie des articles'!A:E, 4, FALSE)</f>
        <v>VOLAILLE</v>
      </c>
      <c r="F1685" s="14">
        <f t="shared" si="26"/>
        <v>202301</v>
      </c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</row>
    <row r="1686" spans="1:21" ht="12.75" customHeight="1">
      <c r="A1686" s="10">
        <v>143449962</v>
      </c>
      <c r="B1686" s="15">
        <v>5540246192907</v>
      </c>
      <c r="C1686" s="32">
        <v>44949</v>
      </c>
      <c r="D1686" s="11">
        <v>11136</v>
      </c>
      <c r="E1686" s="14" t="str">
        <f>VLOOKUP(B1686, 'Catégorie des articles'!A:E, 4, FALSE)</f>
        <v>VOLAILLE</v>
      </c>
      <c r="F1686" s="14">
        <f t="shared" si="26"/>
        <v>202301</v>
      </c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</row>
    <row r="1687" spans="1:21" ht="12.75" customHeight="1">
      <c r="A1687" s="10">
        <v>143449966</v>
      </c>
      <c r="B1687" s="15">
        <v>5540246172978</v>
      </c>
      <c r="C1687" s="32">
        <v>44889</v>
      </c>
      <c r="D1687" s="11">
        <v>1671</v>
      </c>
      <c r="E1687" s="14" t="str">
        <f>VLOOKUP(B1687, 'Catégorie des articles'!A:E, 4, FALSE)</f>
        <v>CREMERIE</v>
      </c>
      <c r="F1687" s="14">
        <f t="shared" si="26"/>
        <v>202211</v>
      </c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</row>
    <row r="1688" spans="1:21" ht="12.75" customHeight="1">
      <c r="A1688" s="7">
        <v>143449966</v>
      </c>
      <c r="B1688" s="13">
        <v>5540246176699</v>
      </c>
      <c r="C1688" s="31">
        <v>44889</v>
      </c>
      <c r="D1688" s="8">
        <v>4176</v>
      </c>
      <c r="E1688" s="14" t="str">
        <f>VLOOKUP(B1688, 'Catégorie des articles'!A:E, 4, FALSE)</f>
        <v>CREMERIE</v>
      </c>
      <c r="F1688" s="14">
        <f t="shared" si="26"/>
        <v>202211</v>
      </c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</row>
    <row r="1689" spans="1:21" ht="12.75" customHeight="1">
      <c r="A1689" s="7">
        <v>143449966</v>
      </c>
      <c r="B1689" s="13">
        <v>5540246188175</v>
      </c>
      <c r="C1689" s="31">
        <v>44889</v>
      </c>
      <c r="D1689" s="8">
        <v>116</v>
      </c>
      <c r="E1689" s="14" t="str">
        <f>VLOOKUP(B1689, 'Catégorie des articles'!A:E, 4, FALSE)</f>
        <v>CREMERIE</v>
      </c>
      <c r="F1689" s="14">
        <f t="shared" si="26"/>
        <v>202211</v>
      </c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</row>
    <row r="1690" spans="1:21" ht="12.75" customHeight="1">
      <c r="A1690" s="10">
        <v>143449967</v>
      </c>
      <c r="B1690" s="15">
        <v>5540246187987</v>
      </c>
      <c r="C1690" s="32">
        <v>44889</v>
      </c>
      <c r="D1690" s="11">
        <v>2228</v>
      </c>
      <c r="E1690" s="14" t="str">
        <f>VLOOKUP(B1690, 'Catégorie des articles'!A:E, 4, FALSE)</f>
        <v>CREMERIE</v>
      </c>
      <c r="F1690" s="14">
        <f t="shared" si="26"/>
        <v>202211</v>
      </c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</row>
    <row r="1691" spans="1:21" ht="12.75" customHeight="1">
      <c r="A1691" s="7">
        <v>143449967</v>
      </c>
      <c r="B1691" s="13">
        <v>5540246188200</v>
      </c>
      <c r="C1691" s="31">
        <v>44889</v>
      </c>
      <c r="D1691" s="8">
        <v>1485</v>
      </c>
      <c r="E1691" s="14" t="str">
        <f>VLOOKUP(B1691, 'Catégorie des articles'!A:E, 4, FALSE)</f>
        <v>CREMERIE</v>
      </c>
      <c r="F1691" s="14">
        <f t="shared" si="26"/>
        <v>202211</v>
      </c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</row>
    <row r="1692" spans="1:21" ht="12.75" customHeight="1">
      <c r="A1692" s="7">
        <v>143449971</v>
      </c>
      <c r="B1692" s="13">
        <v>5540246171759</v>
      </c>
      <c r="C1692" s="31">
        <v>44893</v>
      </c>
      <c r="D1692" s="8">
        <v>8352</v>
      </c>
      <c r="E1692" s="14" t="str">
        <f>VLOOKUP(B1692, 'Catégorie des articles'!A:E, 4, FALSE)</f>
        <v>MIX LEGUMES</v>
      </c>
      <c r="F1692" s="14">
        <f t="shared" si="26"/>
        <v>202211</v>
      </c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</row>
    <row r="1693" spans="1:21" ht="12.75" customHeight="1">
      <c r="A1693" s="10">
        <v>143449971</v>
      </c>
      <c r="B1693" s="15">
        <v>5540246192518</v>
      </c>
      <c r="C1693" s="32">
        <v>44893</v>
      </c>
      <c r="D1693" s="11">
        <v>26309</v>
      </c>
      <c r="E1693" s="14" t="str">
        <f>VLOOKUP(B1693, 'Catégorie des articles'!A:E, 4, FALSE)</f>
        <v>MIX LEGUMES</v>
      </c>
      <c r="F1693" s="14">
        <f t="shared" si="26"/>
        <v>202211</v>
      </c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</row>
    <row r="1694" spans="1:21" ht="12.75" customHeight="1">
      <c r="A1694" s="7">
        <v>143449974</v>
      </c>
      <c r="B1694" s="13">
        <v>5540246192148</v>
      </c>
      <c r="C1694" s="31">
        <v>44891</v>
      </c>
      <c r="D1694" s="8">
        <v>45936</v>
      </c>
      <c r="E1694" s="14" t="str">
        <f>VLOOKUP(B1694, 'Catégorie des articles'!A:E, 4, FALSE)</f>
        <v>MIX LEGUMES</v>
      </c>
      <c r="F1694" s="14">
        <f t="shared" si="26"/>
        <v>202211</v>
      </c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</row>
    <row r="1695" spans="1:21" ht="12.75" customHeight="1">
      <c r="A1695" s="10">
        <v>143449975</v>
      </c>
      <c r="B1695" s="15">
        <v>5540246192148</v>
      </c>
      <c r="C1695" s="32">
        <v>44898</v>
      </c>
      <c r="D1695" s="11">
        <v>45936</v>
      </c>
      <c r="E1695" s="14" t="str">
        <f>VLOOKUP(B1695, 'Catégorie des articles'!A:E, 4, FALSE)</f>
        <v>MIX LEGUMES</v>
      </c>
      <c r="F1695" s="14">
        <f t="shared" si="26"/>
        <v>202212</v>
      </c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</row>
    <row r="1696" spans="1:21" ht="12.75" customHeight="1">
      <c r="A1696" s="10">
        <v>143449977</v>
      </c>
      <c r="B1696" s="15">
        <v>5540246195943</v>
      </c>
      <c r="C1696" s="32">
        <v>44920</v>
      </c>
      <c r="D1696" s="11">
        <v>928</v>
      </c>
      <c r="E1696" s="14" t="str">
        <f>VLOOKUP(B1696, 'Catégorie des articles'!A:E, 4, FALSE)</f>
        <v>CREMERIE</v>
      </c>
      <c r="F1696" s="14">
        <f t="shared" si="26"/>
        <v>202212</v>
      </c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</row>
    <row r="1697" spans="1:21" ht="12.75" customHeight="1">
      <c r="A1697" s="7">
        <v>143449977</v>
      </c>
      <c r="B1697" s="13">
        <v>5540246195944</v>
      </c>
      <c r="C1697" s="31">
        <v>44920</v>
      </c>
      <c r="D1697" s="8">
        <v>928</v>
      </c>
      <c r="E1697" s="14" t="str">
        <f>VLOOKUP(B1697, 'Catégorie des articles'!A:E, 4, FALSE)</f>
        <v>CREMERIE</v>
      </c>
      <c r="F1697" s="14">
        <f t="shared" si="26"/>
        <v>202212</v>
      </c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</row>
    <row r="1698" spans="1:21" ht="12.75" customHeight="1">
      <c r="A1698" s="10">
        <v>143449978</v>
      </c>
      <c r="B1698" s="15">
        <v>5540246195943</v>
      </c>
      <c r="C1698" s="32">
        <v>44926</v>
      </c>
      <c r="D1698" s="11">
        <v>928</v>
      </c>
      <c r="E1698" s="14" t="str">
        <f>VLOOKUP(B1698, 'Catégorie des articles'!A:E, 4, FALSE)</f>
        <v>CREMERIE</v>
      </c>
      <c r="F1698" s="14">
        <f t="shared" si="26"/>
        <v>202212</v>
      </c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</row>
    <row r="1699" spans="1:21" ht="12.75" customHeight="1">
      <c r="A1699" s="7">
        <v>143449978</v>
      </c>
      <c r="B1699" s="13">
        <v>5540246195944</v>
      </c>
      <c r="C1699" s="31">
        <v>44926</v>
      </c>
      <c r="D1699" s="8">
        <v>928</v>
      </c>
      <c r="E1699" s="14" t="str">
        <f>VLOOKUP(B1699, 'Catégorie des articles'!A:E, 4, FALSE)</f>
        <v>CREMERIE</v>
      </c>
      <c r="F1699" s="14">
        <f t="shared" si="26"/>
        <v>202212</v>
      </c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</row>
    <row r="1700" spans="1:21" ht="12.75" customHeight="1">
      <c r="A1700" s="10">
        <v>143449981</v>
      </c>
      <c r="B1700" s="15">
        <v>5540246191596</v>
      </c>
      <c r="C1700" s="32">
        <v>44899</v>
      </c>
      <c r="D1700" s="11">
        <v>223</v>
      </c>
      <c r="E1700" s="14" t="str">
        <f>VLOOKUP(B1700, 'Catégorie des articles'!A:E, 4, FALSE)</f>
        <v>BOULANGERIE</v>
      </c>
      <c r="F1700" s="14">
        <f t="shared" si="26"/>
        <v>202212</v>
      </c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</row>
    <row r="1701" spans="1:21" ht="12.75" customHeight="1">
      <c r="A1701" s="7">
        <v>143449996</v>
      </c>
      <c r="B1701" s="13">
        <v>5540246171933</v>
      </c>
      <c r="C1701" s="31">
        <v>44890</v>
      </c>
      <c r="D1701" s="8">
        <v>669</v>
      </c>
      <c r="E1701" s="14" t="str">
        <f>VLOOKUP(B1701, 'Catégorie des articles'!A:E, 4, FALSE)</f>
        <v>CREMERIE</v>
      </c>
      <c r="F1701" s="14">
        <f t="shared" si="26"/>
        <v>202211</v>
      </c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</row>
    <row r="1702" spans="1:21" ht="12.75" customHeight="1">
      <c r="A1702" s="10">
        <v>143449996</v>
      </c>
      <c r="B1702" s="15">
        <v>5540246176295</v>
      </c>
      <c r="C1702" s="32">
        <v>44890</v>
      </c>
      <c r="D1702" s="11">
        <v>2228</v>
      </c>
      <c r="E1702" s="14" t="str">
        <f>VLOOKUP(B1702, 'Catégorie des articles'!A:E, 4, FALSE)</f>
        <v>CREMERIE</v>
      </c>
      <c r="F1702" s="14">
        <f t="shared" si="26"/>
        <v>202211</v>
      </c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</row>
    <row r="1703" spans="1:21" ht="12.75" customHeight="1">
      <c r="A1703" s="7">
        <v>143449996</v>
      </c>
      <c r="B1703" s="13">
        <v>5540246187987</v>
      </c>
      <c r="C1703" s="31">
        <v>44890</v>
      </c>
      <c r="D1703" s="8">
        <v>3341</v>
      </c>
      <c r="E1703" s="14" t="str">
        <f>VLOOKUP(B1703, 'Catégorie des articles'!A:E, 4, FALSE)</f>
        <v>CREMERIE</v>
      </c>
      <c r="F1703" s="14">
        <f t="shared" si="26"/>
        <v>202211</v>
      </c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</row>
    <row r="1704" spans="1:21" ht="12.75" customHeight="1">
      <c r="A1704" s="10">
        <v>143450004</v>
      </c>
      <c r="B1704" s="15">
        <v>5540246182684</v>
      </c>
      <c r="C1704" s="32">
        <v>44899</v>
      </c>
      <c r="D1704" s="11">
        <v>372</v>
      </c>
      <c r="E1704" s="14" t="str">
        <f>VLOOKUP(B1704, 'Catégorie des articles'!A:E, 4, FALSE)</f>
        <v>BOULANGERIE</v>
      </c>
      <c r="F1704" s="14">
        <f t="shared" si="26"/>
        <v>202212</v>
      </c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</row>
    <row r="1705" spans="1:21" ht="12.75" customHeight="1">
      <c r="A1705" s="10">
        <v>143450004</v>
      </c>
      <c r="B1705" s="15">
        <v>5540246194467</v>
      </c>
      <c r="C1705" s="32">
        <v>44899</v>
      </c>
      <c r="D1705" s="11">
        <v>12473</v>
      </c>
      <c r="E1705" s="14" t="str">
        <f>VLOOKUP(B1705, 'Catégorie des articles'!A:E, 4, FALSE)</f>
        <v>BOULANGERIE</v>
      </c>
      <c r="F1705" s="14">
        <f t="shared" si="26"/>
        <v>202212</v>
      </c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</row>
    <row r="1706" spans="1:21" ht="12.75" customHeight="1">
      <c r="A1706" s="7">
        <v>143460020</v>
      </c>
      <c r="B1706" s="13">
        <v>5540246193878</v>
      </c>
      <c r="C1706" s="31">
        <v>44891</v>
      </c>
      <c r="D1706" s="8">
        <v>22272</v>
      </c>
      <c r="E1706" s="14" t="str">
        <f>VLOOKUP(B1706, 'Catégorie des articles'!A:E, 4, FALSE)</f>
        <v>VOLAILLE</v>
      </c>
      <c r="F1706" s="14">
        <f t="shared" si="26"/>
        <v>202211</v>
      </c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</row>
    <row r="1707" spans="1:21" ht="12.75" customHeight="1">
      <c r="A1707" s="10">
        <v>143460029</v>
      </c>
      <c r="B1707" s="15">
        <v>5540246172539</v>
      </c>
      <c r="C1707" s="32">
        <v>44891</v>
      </c>
      <c r="D1707" s="11">
        <v>24</v>
      </c>
      <c r="E1707" s="14" t="str">
        <f>VLOOKUP(B1707, 'Catégorie des articles'!A:E, 4, FALSE)</f>
        <v>CREMERIE</v>
      </c>
      <c r="F1707" s="14">
        <f t="shared" si="26"/>
        <v>202211</v>
      </c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</row>
    <row r="1708" spans="1:21" ht="12.75" customHeight="1">
      <c r="A1708" s="7">
        <v>143460029</v>
      </c>
      <c r="B1708" s="13">
        <v>5540246172669</v>
      </c>
      <c r="C1708" s="31">
        <v>44891</v>
      </c>
      <c r="D1708" s="8">
        <v>279</v>
      </c>
      <c r="E1708" s="14" t="str">
        <f>VLOOKUP(B1708, 'Catégorie des articles'!A:E, 4, FALSE)</f>
        <v>CREMERIE</v>
      </c>
      <c r="F1708" s="14">
        <f t="shared" si="26"/>
        <v>202211</v>
      </c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</row>
    <row r="1709" spans="1:21" ht="12.75" customHeight="1">
      <c r="A1709" s="10">
        <v>143460029</v>
      </c>
      <c r="B1709" s="15">
        <v>5540246172978</v>
      </c>
      <c r="C1709" s="32">
        <v>44891</v>
      </c>
      <c r="D1709" s="11">
        <v>1671</v>
      </c>
      <c r="E1709" s="14" t="str">
        <f>VLOOKUP(B1709, 'Catégorie des articles'!A:E, 4, FALSE)</f>
        <v>CREMERIE</v>
      </c>
      <c r="F1709" s="14">
        <f t="shared" si="26"/>
        <v>202211</v>
      </c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</row>
    <row r="1710" spans="1:21" ht="12.75" customHeight="1">
      <c r="A1710" s="7">
        <v>143460029</v>
      </c>
      <c r="B1710" s="13">
        <v>5540246174174</v>
      </c>
      <c r="C1710" s="31">
        <v>44891</v>
      </c>
      <c r="D1710" s="8">
        <v>232</v>
      </c>
      <c r="E1710" s="14" t="str">
        <f>VLOOKUP(B1710, 'Catégorie des articles'!A:E, 4, FALSE)</f>
        <v>CREMERIE</v>
      </c>
      <c r="F1710" s="14">
        <f t="shared" si="26"/>
        <v>202211</v>
      </c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</row>
    <row r="1711" spans="1:21" ht="12.75" customHeight="1">
      <c r="A1711" s="7">
        <v>143460029</v>
      </c>
      <c r="B1711" s="13">
        <v>5540246176699</v>
      </c>
      <c r="C1711" s="31">
        <v>44891</v>
      </c>
      <c r="D1711" s="8">
        <v>4176</v>
      </c>
      <c r="E1711" s="14" t="str">
        <f>VLOOKUP(B1711, 'Catégorie des articles'!A:E, 4, FALSE)</f>
        <v>CREMERIE</v>
      </c>
      <c r="F1711" s="14">
        <f t="shared" si="26"/>
        <v>202211</v>
      </c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</row>
    <row r="1712" spans="1:21" ht="12.75" customHeight="1">
      <c r="A1712" s="10">
        <v>143460030</v>
      </c>
      <c r="B1712" s="15">
        <v>5540246171933</v>
      </c>
      <c r="C1712" s="32">
        <v>44891</v>
      </c>
      <c r="D1712" s="11">
        <v>557</v>
      </c>
      <c r="E1712" s="14" t="str">
        <f>VLOOKUP(B1712, 'Catégorie des articles'!A:E, 4, FALSE)</f>
        <v>CREMERIE</v>
      </c>
      <c r="F1712" s="14">
        <f t="shared" si="26"/>
        <v>202211</v>
      </c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</row>
    <row r="1713" spans="1:21" ht="12.75" customHeight="1">
      <c r="A1713" s="7">
        <v>143460030</v>
      </c>
      <c r="B1713" s="13">
        <v>5540246176295</v>
      </c>
      <c r="C1713" s="31">
        <v>44891</v>
      </c>
      <c r="D1713" s="8">
        <v>8909</v>
      </c>
      <c r="E1713" s="14" t="str">
        <f>VLOOKUP(B1713, 'Catégorie des articles'!A:E, 4, FALSE)</f>
        <v>CREMERIE</v>
      </c>
      <c r="F1713" s="14">
        <f t="shared" si="26"/>
        <v>202211</v>
      </c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</row>
    <row r="1714" spans="1:21" ht="12.75" customHeight="1">
      <c r="A1714" s="10">
        <v>143460030</v>
      </c>
      <c r="B1714" s="15">
        <v>5540246187987</v>
      </c>
      <c r="C1714" s="32">
        <v>44891</v>
      </c>
      <c r="D1714" s="11">
        <v>1671</v>
      </c>
      <c r="E1714" s="14" t="str">
        <f>VLOOKUP(B1714, 'Catégorie des articles'!A:E, 4, FALSE)</f>
        <v>CREMERIE</v>
      </c>
      <c r="F1714" s="14">
        <f t="shared" si="26"/>
        <v>202211</v>
      </c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</row>
    <row r="1715" spans="1:21" ht="12.75" customHeight="1">
      <c r="A1715" s="7">
        <v>143460035</v>
      </c>
      <c r="B1715" s="13">
        <v>5540246181061</v>
      </c>
      <c r="C1715" s="31">
        <v>44905</v>
      </c>
      <c r="D1715" s="8">
        <v>1964</v>
      </c>
      <c r="E1715" s="14" t="str">
        <f>VLOOKUP(B1715, 'Catégorie des articles'!A:E, 4, FALSE)</f>
        <v>VOLAILLE</v>
      </c>
      <c r="F1715" s="14">
        <f t="shared" si="26"/>
        <v>202212</v>
      </c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</row>
    <row r="1716" spans="1:21" ht="12.75" customHeight="1">
      <c r="A1716" s="10">
        <v>143460035</v>
      </c>
      <c r="B1716" s="15">
        <v>5540246185278</v>
      </c>
      <c r="C1716" s="32">
        <v>44905</v>
      </c>
      <c r="D1716" s="11">
        <v>2239</v>
      </c>
      <c r="E1716" s="14" t="str">
        <f>VLOOKUP(B1716, 'Catégorie des articles'!A:E, 4, FALSE)</f>
        <v>VOLAILLE</v>
      </c>
      <c r="F1716" s="14">
        <f t="shared" si="26"/>
        <v>202212</v>
      </c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</row>
    <row r="1717" spans="1:21" ht="12.75" customHeight="1">
      <c r="A1717" s="10">
        <v>143460037</v>
      </c>
      <c r="B1717" s="15">
        <v>5540246183130</v>
      </c>
      <c r="C1717" s="32">
        <v>44906</v>
      </c>
      <c r="D1717" s="11">
        <v>2256</v>
      </c>
      <c r="E1717" s="14" t="str">
        <f>VLOOKUP(B1717, 'Catégorie des articles'!A:E, 4, FALSE)</f>
        <v>MIX LEGUMES</v>
      </c>
      <c r="F1717" s="14">
        <f t="shared" si="26"/>
        <v>202212</v>
      </c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</row>
    <row r="1718" spans="1:21" ht="12.75" customHeight="1">
      <c r="A1718" s="7">
        <v>143460037</v>
      </c>
      <c r="B1718" s="13">
        <v>5540246183538</v>
      </c>
      <c r="C1718" s="31">
        <v>44906</v>
      </c>
      <c r="D1718" s="8">
        <v>919</v>
      </c>
      <c r="E1718" s="14" t="str">
        <f>VLOOKUP(B1718, 'Catégorie des articles'!A:E, 4, FALSE)</f>
        <v>MIX LEGUMES</v>
      </c>
      <c r="F1718" s="14">
        <f t="shared" si="26"/>
        <v>202212</v>
      </c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</row>
    <row r="1719" spans="1:21" ht="12.75" customHeight="1">
      <c r="A1719" s="10">
        <v>143460044</v>
      </c>
      <c r="B1719" s="15">
        <v>5540246174095</v>
      </c>
      <c r="C1719" s="32">
        <v>44898</v>
      </c>
      <c r="D1719" s="11">
        <v>140</v>
      </c>
      <c r="E1719" s="14" t="str">
        <f>VLOOKUP(B1719, 'Catégorie des articles'!A:E, 4, FALSE)</f>
        <v>CREMERIE</v>
      </c>
      <c r="F1719" s="14">
        <f t="shared" si="26"/>
        <v>202212</v>
      </c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</row>
    <row r="1720" spans="1:21" ht="12.75" customHeight="1">
      <c r="A1720" s="7">
        <v>143460044</v>
      </c>
      <c r="B1720" s="13">
        <v>5540246175047</v>
      </c>
      <c r="C1720" s="31">
        <v>44898</v>
      </c>
      <c r="D1720" s="8">
        <v>279</v>
      </c>
      <c r="E1720" s="14" t="str">
        <f>VLOOKUP(B1720, 'Catégorie des articles'!A:E, 4, FALSE)</f>
        <v>CREMERIE</v>
      </c>
      <c r="F1720" s="14">
        <f t="shared" si="26"/>
        <v>202212</v>
      </c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</row>
    <row r="1721" spans="1:21" ht="12.75" customHeight="1">
      <c r="A1721" s="10">
        <v>143460044</v>
      </c>
      <c r="B1721" s="15">
        <v>5540246175049</v>
      </c>
      <c r="C1721" s="32">
        <v>44898</v>
      </c>
      <c r="D1721" s="11">
        <v>557</v>
      </c>
      <c r="E1721" s="14" t="str">
        <f>VLOOKUP(B1721, 'Catégorie des articles'!A:E, 4, FALSE)</f>
        <v>CREMERIE</v>
      </c>
      <c r="F1721" s="14">
        <f t="shared" si="26"/>
        <v>202212</v>
      </c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</row>
    <row r="1722" spans="1:21" ht="12.75" customHeight="1">
      <c r="A1722" s="7">
        <v>143460044</v>
      </c>
      <c r="B1722" s="13">
        <v>5540246190743</v>
      </c>
      <c r="C1722" s="31">
        <v>44898</v>
      </c>
      <c r="D1722" s="8">
        <v>279</v>
      </c>
      <c r="E1722" s="14" t="str">
        <f>VLOOKUP(B1722, 'Catégorie des articles'!A:E, 4, FALSE)</f>
        <v>CREMERIE</v>
      </c>
      <c r="F1722" s="14">
        <f t="shared" si="26"/>
        <v>202212</v>
      </c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</row>
    <row r="1723" spans="1:21" ht="12.75" customHeight="1">
      <c r="A1723" s="7">
        <v>143460045</v>
      </c>
      <c r="B1723" s="13">
        <v>5540246183587</v>
      </c>
      <c r="C1723" s="31">
        <v>44899</v>
      </c>
      <c r="D1723" s="8">
        <v>502</v>
      </c>
      <c r="E1723" s="14" t="str">
        <f>VLOOKUP(B1723, 'Catégorie des articles'!A:E, 4, FALSE)</f>
        <v>MIX LEGUMES</v>
      </c>
      <c r="F1723" s="14">
        <f t="shared" si="26"/>
        <v>202212</v>
      </c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</row>
    <row r="1724" spans="1:21" ht="12.75" customHeight="1">
      <c r="A1724" s="10">
        <v>143460045</v>
      </c>
      <c r="B1724" s="15">
        <v>5540246183589</v>
      </c>
      <c r="C1724" s="32">
        <v>44899</v>
      </c>
      <c r="D1724" s="11">
        <v>650</v>
      </c>
      <c r="E1724" s="14" t="str">
        <f>VLOOKUP(B1724, 'Catégorie des articles'!A:E, 4, FALSE)</f>
        <v>MIX LEGUMES</v>
      </c>
      <c r="F1724" s="14">
        <f t="shared" si="26"/>
        <v>202212</v>
      </c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</row>
    <row r="1725" spans="1:21" ht="12.75" customHeight="1">
      <c r="A1725" s="7">
        <v>143460045</v>
      </c>
      <c r="B1725" s="13">
        <v>5540246186352</v>
      </c>
      <c r="C1725" s="31">
        <v>44899</v>
      </c>
      <c r="D1725" s="8">
        <v>1880</v>
      </c>
      <c r="E1725" s="14" t="str">
        <f>VLOOKUP(B1725, 'Catégorie des articles'!A:E, 4, FALSE)</f>
        <v>MIX LEGUMES</v>
      </c>
      <c r="F1725" s="14">
        <f t="shared" si="26"/>
        <v>202212</v>
      </c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</row>
    <row r="1726" spans="1:21" ht="12.75" customHeight="1">
      <c r="A1726" s="7">
        <v>143460047</v>
      </c>
      <c r="B1726" s="13">
        <v>5540246183558</v>
      </c>
      <c r="C1726" s="31">
        <v>44904</v>
      </c>
      <c r="D1726" s="8">
        <v>2784</v>
      </c>
      <c r="E1726" s="14" t="str">
        <f>VLOOKUP(B1726, 'Catégorie des articles'!A:E, 4, FALSE)</f>
        <v>MIX LEGUMES</v>
      </c>
      <c r="F1726" s="14">
        <f t="shared" si="26"/>
        <v>202212</v>
      </c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</row>
    <row r="1727" spans="1:21" ht="12.75" customHeight="1">
      <c r="A1727" s="10">
        <v>143460047</v>
      </c>
      <c r="B1727" s="15">
        <v>5540246192209</v>
      </c>
      <c r="C1727" s="32">
        <v>44904</v>
      </c>
      <c r="D1727" s="11">
        <v>2228</v>
      </c>
      <c r="E1727" s="14" t="str">
        <f>VLOOKUP(B1727, 'Catégorie des articles'!A:E, 4, FALSE)</f>
        <v>MIX LEGUMES</v>
      </c>
      <c r="F1727" s="14">
        <f t="shared" si="26"/>
        <v>202212</v>
      </c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</row>
    <row r="1728" spans="1:21" ht="12.75" customHeight="1">
      <c r="A1728" s="7">
        <v>143460047</v>
      </c>
      <c r="B1728" s="13">
        <v>5540246192462</v>
      </c>
      <c r="C1728" s="31">
        <v>44904</v>
      </c>
      <c r="D1728" s="8">
        <v>1114</v>
      </c>
      <c r="E1728" s="14" t="str">
        <f>VLOOKUP(B1728, 'Catégorie des articles'!A:E, 4, FALSE)</f>
        <v>MIX LEGUMES</v>
      </c>
      <c r="F1728" s="14">
        <f t="shared" si="26"/>
        <v>202212</v>
      </c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</row>
    <row r="1729" spans="1:21" ht="12.75" customHeight="1">
      <c r="A1729" s="10">
        <v>143460047</v>
      </c>
      <c r="B1729" s="15">
        <v>5540246192594</v>
      </c>
      <c r="C1729" s="32">
        <v>44904</v>
      </c>
      <c r="D1729" s="11">
        <v>743</v>
      </c>
      <c r="E1729" s="14" t="str">
        <f>VLOOKUP(B1729, 'Catégorie des articles'!A:E, 4, FALSE)</f>
        <v>MIX LEGUMES</v>
      </c>
      <c r="F1729" s="14">
        <f t="shared" si="26"/>
        <v>202212</v>
      </c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</row>
    <row r="1730" spans="1:21" ht="12.75" customHeight="1">
      <c r="A1730" s="7">
        <v>143460047</v>
      </c>
      <c r="B1730" s="13">
        <v>5540246192831</v>
      </c>
      <c r="C1730" s="31">
        <v>44904</v>
      </c>
      <c r="D1730" s="8">
        <v>1300</v>
      </c>
      <c r="E1730" s="14" t="str">
        <f>VLOOKUP(B1730, 'Catégorie des articles'!A:E, 4, FALSE)</f>
        <v>MIX LEGUMES</v>
      </c>
      <c r="F1730" s="14">
        <f t="shared" ref="F1730:F1793" si="27">YEAR(C1730)*100 + MONTH(C1730)</f>
        <v>202212</v>
      </c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</row>
    <row r="1731" spans="1:21" ht="12.75" customHeight="1">
      <c r="A1731" s="7">
        <v>143460048</v>
      </c>
      <c r="B1731" s="13">
        <v>5540246187995</v>
      </c>
      <c r="C1731" s="31">
        <v>44900</v>
      </c>
      <c r="D1731" s="8">
        <v>1318</v>
      </c>
      <c r="E1731" s="14" t="str">
        <f>VLOOKUP(B1731, 'Catégorie des articles'!A:E, 4, FALSE)</f>
        <v>EMBALLAGES</v>
      </c>
      <c r="F1731" s="14">
        <f t="shared" si="27"/>
        <v>202212</v>
      </c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</row>
    <row r="1732" spans="1:21" ht="12.75" customHeight="1">
      <c r="A1732" s="10">
        <v>143460051</v>
      </c>
      <c r="B1732" s="15">
        <v>5540246177133</v>
      </c>
      <c r="C1732" s="32">
        <v>44906</v>
      </c>
      <c r="D1732" s="11">
        <v>18375</v>
      </c>
      <c r="E1732" s="14" t="str">
        <f>VLOOKUP(B1732, 'Catégorie des articles'!A:E, 4, FALSE)</f>
        <v>MIX LEGUMES</v>
      </c>
      <c r="F1732" s="14">
        <f t="shared" si="27"/>
        <v>202212</v>
      </c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</row>
    <row r="1733" spans="1:21" ht="12.75" customHeight="1">
      <c r="A1733" s="7">
        <v>143460052</v>
      </c>
      <c r="B1733" s="13">
        <v>5540246192148</v>
      </c>
      <c r="C1733" s="31">
        <v>44906</v>
      </c>
      <c r="D1733" s="8">
        <v>45936</v>
      </c>
      <c r="E1733" s="14" t="str">
        <f>VLOOKUP(B1733, 'Catégorie des articles'!A:E, 4, FALSE)</f>
        <v>MIX LEGUMES</v>
      </c>
      <c r="F1733" s="14">
        <f t="shared" si="27"/>
        <v>202212</v>
      </c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</row>
    <row r="1734" spans="1:21" ht="12.75" customHeight="1">
      <c r="A1734" s="7">
        <v>143460054</v>
      </c>
      <c r="B1734" s="13">
        <v>5540246194632</v>
      </c>
      <c r="C1734" s="31">
        <v>44919</v>
      </c>
      <c r="D1734" s="8">
        <v>1056</v>
      </c>
      <c r="E1734" s="14" t="str">
        <f>VLOOKUP(B1734, 'Catégorie des articles'!A:E, 4, FALSE)</f>
        <v>BOULANGERIE</v>
      </c>
      <c r="F1734" s="14">
        <f t="shared" si="27"/>
        <v>202212</v>
      </c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</row>
    <row r="1735" spans="1:21" ht="12.75" customHeight="1">
      <c r="A1735" s="7">
        <v>143460056</v>
      </c>
      <c r="B1735" s="13">
        <v>5540246185429</v>
      </c>
      <c r="C1735" s="31">
        <v>44898</v>
      </c>
      <c r="D1735" s="8">
        <v>70</v>
      </c>
      <c r="E1735" s="14" t="str">
        <f>VLOOKUP(B1735, 'Catégorie des articles'!A:E, 4, FALSE)</f>
        <v>CREMERIE</v>
      </c>
      <c r="F1735" s="14">
        <f t="shared" si="27"/>
        <v>202212</v>
      </c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</row>
    <row r="1736" spans="1:21" ht="12.75" customHeight="1">
      <c r="A1736" s="7">
        <v>143460070</v>
      </c>
      <c r="B1736" s="13">
        <v>5540246174174</v>
      </c>
      <c r="C1736" s="31">
        <v>44892</v>
      </c>
      <c r="D1736" s="8">
        <v>464</v>
      </c>
      <c r="E1736" s="14" t="str">
        <f>VLOOKUP(B1736, 'Catégorie des articles'!A:E, 4, FALSE)</f>
        <v>CREMERIE</v>
      </c>
      <c r="F1736" s="14">
        <f t="shared" si="27"/>
        <v>202211</v>
      </c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</row>
    <row r="1737" spans="1:21" ht="12.75" customHeight="1">
      <c r="A1737" s="7">
        <v>143460070</v>
      </c>
      <c r="B1737" s="13">
        <v>5540246176699</v>
      </c>
      <c r="C1737" s="31">
        <v>44892</v>
      </c>
      <c r="D1737" s="8">
        <v>3968</v>
      </c>
      <c r="E1737" s="14" t="str">
        <f>VLOOKUP(B1737, 'Catégorie des articles'!A:E, 4, FALSE)</f>
        <v>CREMERIE</v>
      </c>
      <c r="F1737" s="14">
        <f t="shared" si="27"/>
        <v>202211</v>
      </c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</row>
    <row r="1738" spans="1:21" ht="12.75" customHeight="1">
      <c r="A1738" s="7">
        <v>143460070</v>
      </c>
      <c r="B1738" s="13">
        <v>5540246188175</v>
      </c>
      <c r="C1738" s="31">
        <v>44892</v>
      </c>
      <c r="D1738" s="8">
        <v>464</v>
      </c>
      <c r="E1738" s="14" t="str">
        <f>VLOOKUP(B1738, 'Catégorie des articles'!A:E, 4, FALSE)</f>
        <v>CREMERIE</v>
      </c>
      <c r="F1738" s="14">
        <f t="shared" si="27"/>
        <v>202211</v>
      </c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</row>
    <row r="1739" spans="1:21" ht="12.75" customHeight="1">
      <c r="A1739" s="7">
        <v>143460070</v>
      </c>
      <c r="B1739" s="13">
        <v>5540246192102</v>
      </c>
      <c r="C1739" s="31">
        <v>44892</v>
      </c>
      <c r="D1739" s="8">
        <v>2005</v>
      </c>
      <c r="E1739" s="14" t="str">
        <f>VLOOKUP(B1739, 'Catégorie des articles'!A:E, 4, FALSE)</f>
        <v>CREMERIE</v>
      </c>
      <c r="F1739" s="14">
        <f t="shared" si="27"/>
        <v>202211</v>
      </c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</row>
    <row r="1740" spans="1:21" ht="12.75" customHeight="1">
      <c r="A1740" s="10">
        <v>143460073</v>
      </c>
      <c r="B1740" s="15">
        <v>5540246171933</v>
      </c>
      <c r="C1740" s="32">
        <v>44892</v>
      </c>
      <c r="D1740" s="11">
        <v>1114</v>
      </c>
      <c r="E1740" s="14" t="str">
        <f>VLOOKUP(B1740, 'Catégorie des articles'!A:E, 4, FALSE)</f>
        <v>CREMERIE</v>
      </c>
      <c r="F1740" s="14">
        <f t="shared" si="27"/>
        <v>202211</v>
      </c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</row>
    <row r="1741" spans="1:21" ht="12.75" customHeight="1">
      <c r="A1741" s="7">
        <v>143460073</v>
      </c>
      <c r="B1741" s="13">
        <v>5540246176294</v>
      </c>
      <c r="C1741" s="31">
        <v>44892</v>
      </c>
      <c r="D1741" s="8">
        <v>743</v>
      </c>
      <c r="E1741" s="14" t="str">
        <f>VLOOKUP(B1741, 'Catégorie des articles'!A:E, 4, FALSE)</f>
        <v>CREMERIE</v>
      </c>
      <c r="F1741" s="14">
        <f t="shared" si="27"/>
        <v>202211</v>
      </c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</row>
    <row r="1742" spans="1:21" ht="12.75" customHeight="1">
      <c r="A1742" s="7">
        <v>143460073</v>
      </c>
      <c r="B1742" s="13">
        <v>5540246187987</v>
      </c>
      <c r="C1742" s="31">
        <v>44892</v>
      </c>
      <c r="D1742" s="8">
        <v>3341</v>
      </c>
      <c r="E1742" s="14" t="str">
        <f>VLOOKUP(B1742, 'Catégorie des articles'!A:E, 4, FALSE)</f>
        <v>CREMERIE</v>
      </c>
      <c r="F1742" s="14">
        <f t="shared" si="27"/>
        <v>202211</v>
      </c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</row>
    <row r="1743" spans="1:21" ht="12.75" customHeight="1">
      <c r="A1743" s="10">
        <v>143460073</v>
      </c>
      <c r="B1743" s="15">
        <v>5540246188200</v>
      </c>
      <c r="C1743" s="32">
        <v>44892</v>
      </c>
      <c r="D1743" s="11">
        <v>1485</v>
      </c>
      <c r="E1743" s="14" t="str">
        <f>VLOOKUP(B1743, 'Catégorie des articles'!A:E, 4, FALSE)</f>
        <v>CREMERIE</v>
      </c>
      <c r="F1743" s="14">
        <f t="shared" si="27"/>
        <v>202211</v>
      </c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</row>
    <row r="1744" spans="1:21" ht="12.75" customHeight="1">
      <c r="A1744" s="7">
        <v>143460075</v>
      </c>
      <c r="B1744" s="13">
        <v>5540246194632</v>
      </c>
      <c r="C1744" s="31">
        <v>44910</v>
      </c>
      <c r="D1744" s="8">
        <v>293</v>
      </c>
      <c r="E1744" s="14" t="str">
        <f>VLOOKUP(B1744, 'Catégorie des articles'!A:E, 4, FALSE)</f>
        <v>BOULANGERIE</v>
      </c>
      <c r="F1744" s="14">
        <f t="shared" si="27"/>
        <v>202212</v>
      </c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</row>
    <row r="1745" spans="1:21" ht="12.75" customHeight="1">
      <c r="A1745" s="10">
        <v>143460075</v>
      </c>
      <c r="B1745" s="15">
        <v>5540246195250</v>
      </c>
      <c r="C1745" s="32">
        <v>44910</v>
      </c>
      <c r="D1745" s="11">
        <v>121</v>
      </c>
      <c r="E1745" s="14" t="str">
        <f>VLOOKUP(B1745, 'Catégorie des articles'!A:E, 4, FALSE)</f>
        <v>BOULANGERIE</v>
      </c>
      <c r="F1745" s="14">
        <f t="shared" si="27"/>
        <v>202212</v>
      </c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</row>
    <row r="1746" spans="1:21" ht="12.75" customHeight="1">
      <c r="A1746" s="7">
        <v>143460075</v>
      </c>
      <c r="B1746" s="13">
        <v>5540246196046</v>
      </c>
      <c r="C1746" s="31">
        <v>44910</v>
      </c>
      <c r="D1746" s="8">
        <v>84</v>
      </c>
      <c r="E1746" s="14" t="str">
        <f>VLOOKUP(B1746, 'Catégorie des articles'!A:E, 4, FALSE)</f>
        <v>BOULANGERIE</v>
      </c>
      <c r="F1746" s="14">
        <f t="shared" si="27"/>
        <v>202212</v>
      </c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</row>
    <row r="1747" spans="1:21" ht="12.75" customHeight="1">
      <c r="A1747" s="7">
        <v>143460091</v>
      </c>
      <c r="B1747" s="13">
        <v>5540246172669</v>
      </c>
      <c r="C1747" s="31">
        <v>44893</v>
      </c>
      <c r="D1747" s="8">
        <v>195</v>
      </c>
      <c r="E1747" s="14" t="str">
        <f>VLOOKUP(B1747, 'Catégorie des articles'!A:E, 4, FALSE)</f>
        <v>CREMERIE</v>
      </c>
      <c r="F1747" s="14">
        <f t="shared" si="27"/>
        <v>202211</v>
      </c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</row>
    <row r="1748" spans="1:21" ht="12.75" customHeight="1">
      <c r="A1748" s="7">
        <v>143460091</v>
      </c>
      <c r="B1748" s="13">
        <v>5540246174174</v>
      </c>
      <c r="C1748" s="31">
        <v>44893</v>
      </c>
      <c r="D1748" s="8">
        <v>232</v>
      </c>
      <c r="E1748" s="14" t="str">
        <f>VLOOKUP(B1748, 'Catégorie des articles'!A:E, 4, FALSE)</f>
        <v>CREMERIE</v>
      </c>
      <c r="F1748" s="14">
        <f t="shared" si="27"/>
        <v>202211</v>
      </c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</row>
    <row r="1749" spans="1:21" ht="12.75" customHeight="1">
      <c r="A1749" s="10">
        <v>143460091</v>
      </c>
      <c r="B1749" s="15">
        <v>5540246176699</v>
      </c>
      <c r="C1749" s="32">
        <v>44893</v>
      </c>
      <c r="D1749" s="11">
        <v>8352</v>
      </c>
      <c r="E1749" s="14" t="str">
        <f>VLOOKUP(B1749, 'Catégorie des articles'!A:E, 4, FALSE)</f>
        <v>CREMERIE</v>
      </c>
      <c r="F1749" s="14">
        <f t="shared" si="27"/>
        <v>202211</v>
      </c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</row>
    <row r="1750" spans="1:21" ht="12.75" customHeight="1">
      <c r="A1750" s="10">
        <v>143460091</v>
      </c>
      <c r="B1750" s="15">
        <v>5540246192102</v>
      </c>
      <c r="C1750" s="32">
        <v>44893</v>
      </c>
      <c r="D1750" s="11">
        <v>2005</v>
      </c>
      <c r="E1750" s="14" t="str">
        <f>VLOOKUP(B1750, 'Catégorie des articles'!A:E, 4, FALSE)</f>
        <v>CREMERIE</v>
      </c>
      <c r="F1750" s="14">
        <f t="shared" si="27"/>
        <v>202211</v>
      </c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</row>
    <row r="1751" spans="1:21" ht="12.75" customHeight="1">
      <c r="A1751" s="10">
        <v>143460092</v>
      </c>
      <c r="B1751" s="15">
        <v>5540246171933</v>
      </c>
      <c r="C1751" s="32">
        <v>44893</v>
      </c>
      <c r="D1751" s="11">
        <v>1114</v>
      </c>
      <c r="E1751" s="14" t="str">
        <f>VLOOKUP(B1751, 'Catégorie des articles'!A:E, 4, FALSE)</f>
        <v>CREMERIE</v>
      </c>
      <c r="F1751" s="14">
        <f t="shared" si="27"/>
        <v>202211</v>
      </c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</row>
    <row r="1752" spans="1:21" ht="12.75" customHeight="1">
      <c r="A1752" s="7">
        <v>143460092</v>
      </c>
      <c r="B1752" s="13">
        <v>5540246176295</v>
      </c>
      <c r="C1752" s="31">
        <v>44893</v>
      </c>
      <c r="D1752" s="8">
        <v>5940</v>
      </c>
      <c r="E1752" s="14" t="str">
        <f>VLOOKUP(B1752, 'Catégorie des articles'!A:E, 4, FALSE)</f>
        <v>CREMERIE</v>
      </c>
      <c r="F1752" s="14">
        <f t="shared" si="27"/>
        <v>202211</v>
      </c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</row>
    <row r="1753" spans="1:21" ht="12.75" customHeight="1">
      <c r="A1753" s="10">
        <v>143460092</v>
      </c>
      <c r="B1753" s="15">
        <v>5540246187987</v>
      </c>
      <c r="C1753" s="32">
        <v>44893</v>
      </c>
      <c r="D1753" s="11">
        <v>4455</v>
      </c>
      <c r="E1753" s="14" t="str">
        <f>VLOOKUP(B1753, 'Catégorie des articles'!A:E, 4, FALSE)</f>
        <v>CREMERIE</v>
      </c>
      <c r="F1753" s="14">
        <f t="shared" si="27"/>
        <v>202211</v>
      </c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</row>
    <row r="1754" spans="1:21" ht="12.75" customHeight="1">
      <c r="A1754" s="7">
        <v>143460092</v>
      </c>
      <c r="B1754" s="13">
        <v>5540246188200</v>
      </c>
      <c r="C1754" s="31">
        <v>44893</v>
      </c>
      <c r="D1754" s="8">
        <v>706</v>
      </c>
      <c r="E1754" s="14" t="str">
        <f>VLOOKUP(B1754, 'Catégorie des articles'!A:E, 4, FALSE)</f>
        <v>CREMERIE</v>
      </c>
      <c r="F1754" s="14">
        <f t="shared" si="27"/>
        <v>202211</v>
      </c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</row>
    <row r="1755" spans="1:21" ht="12.75" customHeight="1">
      <c r="A1755" s="7">
        <v>143460095</v>
      </c>
      <c r="B1755" s="13">
        <v>5540246175049</v>
      </c>
      <c r="C1755" s="31">
        <v>44900</v>
      </c>
      <c r="D1755" s="8">
        <v>836</v>
      </c>
      <c r="E1755" s="14" t="str">
        <f>VLOOKUP(B1755, 'Catégorie des articles'!A:E, 4, FALSE)</f>
        <v>CREMERIE</v>
      </c>
      <c r="F1755" s="14">
        <f t="shared" si="27"/>
        <v>202212</v>
      </c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</row>
    <row r="1756" spans="1:21" ht="12.75" customHeight="1">
      <c r="A1756" s="7">
        <v>143460096</v>
      </c>
      <c r="B1756" s="13">
        <v>5540246192148</v>
      </c>
      <c r="C1756" s="31">
        <v>44913</v>
      </c>
      <c r="D1756" s="8">
        <v>45936</v>
      </c>
      <c r="E1756" s="14" t="str">
        <f>VLOOKUP(B1756, 'Catégorie des articles'!A:E, 4, FALSE)</f>
        <v>MIX LEGUMES</v>
      </c>
      <c r="F1756" s="14">
        <f t="shared" si="27"/>
        <v>202212</v>
      </c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</row>
    <row r="1757" spans="1:21" ht="12.75" customHeight="1">
      <c r="A1757" s="7">
        <v>143460107</v>
      </c>
      <c r="B1757" s="13">
        <v>5540246196466</v>
      </c>
      <c r="C1757" s="31">
        <v>44899</v>
      </c>
      <c r="D1757" s="8">
        <v>1782</v>
      </c>
      <c r="E1757" s="14" t="str">
        <f>VLOOKUP(B1757, 'Catégorie des articles'!A:E, 4, FALSE)</f>
        <v>BOULANGERIE</v>
      </c>
      <c r="F1757" s="14">
        <f t="shared" si="27"/>
        <v>202212</v>
      </c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</row>
    <row r="1758" spans="1:21" ht="12.75" customHeight="1">
      <c r="A1758" s="10">
        <v>143460135</v>
      </c>
      <c r="B1758" s="15">
        <v>5540246183547</v>
      </c>
      <c r="C1758" s="32">
        <v>44905</v>
      </c>
      <c r="D1758" s="11">
        <v>8909</v>
      </c>
      <c r="E1758" s="14" t="str">
        <f>VLOOKUP(B1758, 'Catégorie des articles'!A:E, 4, FALSE)</f>
        <v>VOLAILLE</v>
      </c>
      <c r="F1758" s="14">
        <f t="shared" si="27"/>
        <v>202212</v>
      </c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</row>
    <row r="1759" spans="1:21" ht="12.75" customHeight="1">
      <c r="A1759" s="10">
        <v>143460152</v>
      </c>
      <c r="B1759" s="15">
        <v>5540246171933</v>
      </c>
      <c r="C1759" s="32">
        <v>44897</v>
      </c>
      <c r="D1759" s="11">
        <v>2116</v>
      </c>
      <c r="E1759" s="14" t="str">
        <f>VLOOKUP(B1759, 'Catégorie des articles'!A:E, 4, FALSE)</f>
        <v>CREMERIE</v>
      </c>
      <c r="F1759" s="14">
        <f t="shared" si="27"/>
        <v>202212</v>
      </c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</row>
    <row r="1760" spans="1:21" ht="12.75" customHeight="1">
      <c r="A1760" s="7">
        <v>143460152</v>
      </c>
      <c r="B1760" s="13">
        <v>5540246176294</v>
      </c>
      <c r="C1760" s="31">
        <v>44897</v>
      </c>
      <c r="D1760" s="8">
        <v>743</v>
      </c>
      <c r="E1760" s="14" t="str">
        <f>VLOOKUP(B1760, 'Catégorie des articles'!A:E, 4, FALSE)</f>
        <v>CREMERIE</v>
      </c>
      <c r="F1760" s="14">
        <f t="shared" si="27"/>
        <v>202212</v>
      </c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</row>
    <row r="1761" spans="1:21" ht="12.75" customHeight="1">
      <c r="A1761" s="10">
        <v>143460152</v>
      </c>
      <c r="B1761" s="15">
        <v>5540246176295</v>
      </c>
      <c r="C1761" s="32">
        <v>44897</v>
      </c>
      <c r="D1761" s="11">
        <v>4455</v>
      </c>
      <c r="E1761" s="14" t="str">
        <f>VLOOKUP(B1761, 'Catégorie des articles'!A:E, 4, FALSE)</f>
        <v>CREMERIE</v>
      </c>
      <c r="F1761" s="14">
        <f t="shared" si="27"/>
        <v>202212</v>
      </c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</row>
    <row r="1762" spans="1:21" ht="12.75" customHeight="1">
      <c r="A1762" s="7">
        <v>143460152</v>
      </c>
      <c r="B1762" s="13">
        <v>5540246187987</v>
      </c>
      <c r="C1762" s="31">
        <v>44897</v>
      </c>
      <c r="D1762" s="8">
        <v>6682</v>
      </c>
      <c r="E1762" s="14" t="str">
        <f>VLOOKUP(B1762, 'Catégorie des articles'!A:E, 4, FALSE)</f>
        <v>CREMERIE</v>
      </c>
      <c r="F1762" s="14">
        <f t="shared" si="27"/>
        <v>202212</v>
      </c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</row>
    <row r="1763" spans="1:21" ht="12.75" customHeight="1">
      <c r="A1763" s="10">
        <v>143460152</v>
      </c>
      <c r="B1763" s="15">
        <v>5540246188200</v>
      </c>
      <c r="C1763" s="32">
        <v>44897</v>
      </c>
      <c r="D1763" s="11">
        <v>1485</v>
      </c>
      <c r="E1763" s="14" t="str">
        <f>VLOOKUP(B1763, 'Catégorie des articles'!A:E, 4, FALSE)</f>
        <v>CREMERIE</v>
      </c>
      <c r="F1763" s="14">
        <f t="shared" si="27"/>
        <v>202212</v>
      </c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</row>
    <row r="1764" spans="1:21" ht="12.75" customHeight="1">
      <c r="A1764" s="10">
        <v>143460153</v>
      </c>
      <c r="B1764" s="15">
        <v>5540246172539</v>
      </c>
      <c r="C1764" s="32">
        <v>44897</v>
      </c>
      <c r="D1764" s="11">
        <v>47</v>
      </c>
      <c r="E1764" s="14" t="str">
        <f>VLOOKUP(B1764, 'Catégorie des articles'!A:E, 4, FALSE)</f>
        <v>CREMERIE</v>
      </c>
      <c r="F1764" s="14">
        <f t="shared" si="27"/>
        <v>202212</v>
      </c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</row>
    <row r="1765" spans="1:21" ht="12.75" customHeight="1">
      <c r="A1765" s="7">
        <v>143460153</v>
      </c>
      <c r="B1765" s="13">
        <v>5540246172669</v>
      </c>
      <c r="C1765" s="31">
        <v>44897</v>
      </c>
      <c r="D1765" s="8">
        <v>279</v>
      </c>
      <c r="E1765" s="14" t="str">
        <f>VLOOKUP(B1765, 'Catégorie des articles'!A:E, 4, FALSE)</f>
        <v>CREMERIE</v>
      </c>
      <c r="F1765" s="14">
        <f t="shared" si="27"/>
        <v>202212</v>
      </c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</row>
    <row r="1766" spans="1:21" ht="12.75" customHeight="1">
      <c r="A1766" s="10">
        <v>143460153</v>
      </c>
      <c r="B1766" s="15">
        <v>5540246172978</v>
      </c>
      <c r="C1766" s="32">
        <v>44897</v>
      </c>
      <c r="D1766" s="11">
        <v>1671</v>
      </c>
      <c r="E1766" s="14" t="str">
        <f>VLOOKUP(B1766, 'Catégorie des articles'!A:E, 4, FALSE)</f>
        <v>CREMERIE</v>
      </c>
      <c r="F1766" s="14">
        <f t="shared" si="27"/>
        <v>202212</v>
      </c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</row>
    <row r="1767" spans="1:21" ht="12.75" customHeight="1">
      <c r="A1767" s="7">
        <v>143460153</v>
      </c>
      <c r="B1767" s="13">
        <v>5540246174174</v>
      </c>
      <c r="C1767" s="31">
        <v>44897</v>
      </c>
      <c r="D1767" s="8">
        <v>232</v>
      </c>
      <c r="E1767" s="14" t="str">
        <f>VLOOKUP(B1767, 'Catégorie des articles'!A:E, 4, FALSE)</f>
        <v>CREMERIE</v>
      </c>
      <c r="F1767" s="14">
        <f t="shared" si="27"/>
        <v>202212</v>
      </c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</row>
    <row r="1768" spans="1:21" ht="12.75" customHeight="1">
      <c r="A1768" s="7">
        <v>143460153</v>
      </c>
      <c r="B1768" s="13">
        <v>5540246176699</v>
      </c>
      <c r="C1768" s="31">
        <v>44897</v>
      </c>
      <c r="D1768" s="8">
        <v>4176</v>
      </c>
      <c r="E1768" s="14" t="str">
        <f>VLOOKUP(B1768, 'Catégorie des articles'!A:E, 4, FALSE)</f>
        <v>CREMERIE</v>
      </c>
      <c r="F1768" s="14">
        <f t="shared" si="27"/>
        <v>202212</v>
      </c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</row>
    <row r="1769" spans="1:21" ht="12.75" customHeight="1">
      <c r="A1769" s="7">
        <v>143460157</v>
      </c>
      <c r="B1769" s="13">
        <v>5540246185562</v>
      </c>
      <c r="C1769" s="31">
        <v>44900</v>
      </c>
      <c r="D1769" s="8">
        <v>140</v>
      </c>
      <c r="E1769" s="14" t="str">
        <f>VLOOKUP(B1769, 'Catégorie des articles'!A:E, 4, FALSE)</f>
        <v>CREMERIE</v>
      </c>
      <c r="F1769" s="14">
        <f t="shared" si="27"/>
        <v>202212</v>
      </c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</row>
    <row r="1770" spans="1:21" ht="12.75" customHeight="1">
      <c r="A1770" s="10">
        <v>143460157</v>
      </c>
      <c r="B1770" s="15">
        <v>5540246186325</v>
      </c>
      <c r="C1770" s="32">
        <v>44900</v>
      </c>
      <c r="D1770" s="11">
        <v>279</v>
      </c>
      <c r="E1770" s="14" t="str">
        <f>VLOOKUP(B1770, 'Catégorie des articles'!A:E, 4, FALSE)</f>
        <v>CREMERIE</v>
      </c>
      <c r="F1770" s="14">
        <f t="shared" si="27"/>
        <v>202212</v>
      </c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</row>
    <row r="1771" spans="1:21" ht="12.75" customHeight="1">
      <c r="A1771" s="7">
        <v>143460158</v>
      </c>
      <c r="B1771" s="13">
        <v>5540246175047</v>
      </c>
      <c r="C1771" s="31">
        <v>44900</v>
      </c>
      <c r="D1771" s="8">
        <v>279</v>
      </c>
      <c r="E1771" s="14" t="str">
        <f>VLOOKUP(B1771, 'Catégorie des articles'!A:E, 4, FALSE)</f>
        <v>CREMERIE</v>
      </c>
      <c r="F1771" s="14">
        <f t="shared" si="27"/>
        <v>202212</v>
      </c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</row>
    <row r="1772" spans="1:21" ht="12.75" customHeight="1">
      <c r="A1772" s="7">
        <v>143460199</v>
      </c>
      <c r="B1772" s="13">
        <v>5540246176294</v>
      </c>
      <c r="C1772" s="31">
        <v>44898</v>
      </c>
      <c r="D1772" s="8">
        <v>2228</v>
      </c>
      <c r="E1772" s="14" t="str">
        <f>VLOOKUP(B1772, 'Catégorie des articles'!A:E, 4, FALSE)</f>
        <v>CREMERIE</v>
      </c>
      <c r="F1772" s="14">
        <f t="shared" si="27"/>
        <v>202212</v>
      </c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</row>
    <row r="1773" spans="1:21" ht="12.75" customHeight="1">
      <c r="A1773" s="10">
        <v>143460199</v>
      </c>
      <c r="B1773" s="15">
        <v>5540246176295</v>
      </c>
      <c r="C1773" s="32">
        <v>44898</v>
      </c>
      <c r="D1773" s="11">
        <v>4084</v>
      </c>
      <c r="E1773" s="14" t="str">
        <f>VLOOKUP(B1773, 'Catégorie des articles'!A:E, 4, FALSE)</f>
        <v>CREMERIE</v>
      </c>
      <c r="F1773" s="14">
        <f t="shared" si="27"/>
        <v>202212</v>
      </c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</row>
    <row r="1774" spans="1:21" ht="12.75" customHeight="1">
      <c r="A1774" s="10">
        <v>143460199</v>
      </c>
      <c r="B1774" s="15">
        <v>5540246187987</v>
      </c>
      <c r="C1774" s="32">
        <v>44898</v>
      </c>
      <c r="D1774" s="11">
        <v>4455</v>
      </c>
      <c r="E1774" s="14" t="str">
        <f>VLOOKUP(B1774, 'Catégorie des articles'!A:E, 4, FALSE)</f>
        <v>CREMERIE</v>
      </c>
      <c r="F1774" s="14">
        <f t="shared" si="27"/>
        <v>202212</v>
      </c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</row>
    <row r="1775" spans="1:21" ht="12.75" customHeight="1">
      <c r="A1775" s="7">
        <v>143460199</v>
      </c>
      <c r="B1775" s="13">
        <v>5540246188200</v>
      </c>
      <c r="C1775" s="31">
        <v>44898</v>
      </c>
      <c r="D1775" s="8">
        <v>743</v>
      </c>
      <c r="E1775" s="14" t="str">
        <f>VLOOKUP(B1775, 'Catégorie des articles'!A:E, 4, FALSE)</f>
        <v>CREMERIE</v>
      </c>
      <c r="F1775" s="14">
        <f t="shared" si="27"/>
        <v>202212</v>
      </c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</row>
    <row r="1776" spans="1:21" ht="12.75" customHeight="1">
      <c r="A1776" s="7">
        <v>143460200</v>
      </c>
      <c r="B1776" s="13">
        <v>5540246172978</v>
      </c>
      <c r="C1776" s="31">
        <v>44898</v>
      </c>
      <c r="D1776" s="8">
        <v>1671</v>
      </c>
      <c r="E1776" s="14" t="str">
        <f>VLOOKUP(B1776, 'Catégorie des articles'!A:E, 4, FALSE)</f>
        <v>CREMERIE</v>
      </c>
      <c r="F1776" s="14">
        <f t="shared" si="27"/>
        <v>202212</v>
      </c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</row>
    <row r="1777" spans="1:21" ht="12.75" customHeight="1">
      <c r="A1777" s="10">
        <v>143460200</v>
      </c>
      <c r="B1777" s="15">
        <v>5540246176699</v>
      </c>
      <c r="C1777" s="32">
        <v>44898</v>
      </c>
      <c r="D1777" s="11">
        <v>8352</v>
      </c>
      <c r="E1777" s="14" t="str">
        <f>VLOOKUP(B1777, 'Catégorie des articles'!A:E, 4, FALSE)</f>
        <v>CREMERIE</v>
      </c>
      <c r="F1777" s="14">
        <f t="shared" si="27"/>
        <v>202212</v>
      </c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</row>
    <row r="1778" spans="1:21" ht="12.75" customHeight="1">
      <c r="A1778" s="7">
        <v>143470228</v>
      </c>
      <c r="B1778" s="13">
        <v>5540246172669</v>
      </c>
      <c r="C1778" s="31">
        <v>44899</v>
      </c>
      <c r="D1778" s="8">
        <v>279</v>
      </c>
      <c r="E1778" s="14" t="str">
        <f>VLOOKUP(B1778, 'Catégorie des articles'!A:E, 4, FALSE)</f>
        <v>CREMERIE</v>
      </c>
      <c r="F1778" s="14">
        <f t="shared" si="27"/>
        <v>202212</v>
      </c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</row>
    <row r="1779" spans="1:21" ht="12.75" customHeight="1">
      <c r="A1779" s="10">
        <v>143470228</v>
      </c>
      <c r="B1779" s="15">
        <v>5540246176699</v>
      </c>
      <c r="C1779" s="32">
        <v>44899</v>
      </c>
      <c r="D1779" s="11">
        <v>3341</v>
      </c>
      <c r="E1779" s="14" t="str">
        <f>VLOOKUP(B1779, 'Catégorie des articles'!A:E, 4, FALSE)</f>
        <v>CREMERIE</v>
      </c>
      <c r="F1779" s="14">
        <f t="shared" si="27"/>
        <v>202212</v>
      </c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</row>
    <row r="1780" spans="1:21" ht="12.75" customHeight="1">
      <c r="A1780" s="7">
        <v>143470229</v>
      </c>
      <c r="B1780" s="13">
        <v>5540246176295</v>
      </c>
      <c r="C1780" s="31">
        <v>44899</v>
      </c>
      <c r="D1780" s="8">
        <v>7424</v>
      </c>
      <c r="E1780" s="14" t="str">
        <f>VLOOKUP(B1780, 'Catégorie des articles'!A:E, 4, FALSE)</f>
        <v>CREMERIE</v>
      </c>
      <c r="F1780" s="14">
        <f t="shared" si="27"/>
        <v>202212</v>
      </c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</row>
    <row r="1781" spans="1:21" ht="12.75" customHeight="1">
      <c r="A1781" s="10">
        <v>143470229</v>
      </c>
      <c r="B1781" s="15">
        <v>5540246187987</v>
      </c>
      <c r="C1781" s="32">
        <v>44899</v>
      </c>
      <c r="D1781" s="11">
        <v>4455</v>
      </c>
      <c r="E1781" s="14" t="str">
        <f>VLOOKUP(B1781, 'Catégorie des articles'!A:E, 4, FALSE)</f>
        <v>CREMERIE</v>
      </c>
      <c r="F1781" s="14">
        <f t="shared" si="27"/>
        <v>202212</v>
      </c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</row>
    <row r="1782" spans="1:21" ht="12.75" customHeight="1">
      <c r="A1782" s="7">
        <v>143470229</v>
      </c>
      <c r="B1782" s="13">
        <v>5540246188200</v>
      </c>
      <c r="C1782" s="31">
        <v>44899</v>
      </c>
      <c r="D1782" s="8">
        <v>1114</v>
      </c>
      <c r="E1782" s="14" t="str">
        <f>VLOOKUP(B1782, 'Catégorie des articles'!A:E, 4, FALSE)</f>
        <v>CREMERIE</v>
      </c>
      <c r="F1782" s="14">
        <f t="shared" si="27"/>
        <v>202212</v>
      </c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</row>
    <row r="1783" spans="1:21" ht="12.75" customHeight="1">
      <c r="A1783" s="7">
        <v>143470230</v>
      </c>
      <c r="B1783" s="13">
        <v>5540246175049</v>
      </c>
      <c r="C1783" s="31">
        <v>44905</v>
      </c>
      <c r="D1783" s="8">
        <v>1114</v>
      </c>
      <c r="E1783" s="14" t="str">
        <f>VLOOKUP(B1783, 'Catégorie des articles'!A:E, 4, FALSE)</f>
        <v>CREMERIE</v>
      </c>
      <c r="F1783" s="14">
        <f t="shared" si="27"/>
        <v>202212</v>
      </c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</row>
    <row r="1784" spans="1:21" ht="12.75" customHeight="1">
      <c r="A1784" s="10">
        <v>143470230</v>
      </c>
      <c r="B1784" s="15">
        <v>5540246175050</v>
      </c>
      <c r="C1784" s="32">
        <v>44905</v>
      </c>
      <c r="D1784" s="11">
        <v>1114</v>
      </c>
      <c r="E1784" s="14" t="str">
        <f>VLOOKUP(B1784, 'Catégorie des articles'!A:E, 4, FALSE)</f>
        <v>CREMERIE</v>
      </c>
      <c r="F1784" s="14">
        <f t="shared" si="27"/>
        <v>202212</v>
      </c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</row>
    <row r="1785" spans="1:21" ht="12.75" customHeight="1">
      <c r="A1785" s="7">
        <v>143470230</v>
      </c>
      <c r="B1785" s="13">
        <v>5540246190743</v>
      </c>
      <c r="C1785" s="31">
        <v>44905</v>
      </c>
      <c r="D1785" s="8">
        <v>279</v>
      </c>
      <c r="E1785" s="14" t="str">
        <f>VLOOKUP(B1785, 'Catégorie des articles'!A:E, 4, FALSE)</f>
        <v>CREMERIE</v>
      </c>
      <c r="F1785" s="14">
        <f t="shared" si="27"/>
        <v>202212</v>
      </c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</row>
    <row r="1786" spans="1:21" ht="12.75" customHeight="1">
      <c r="A1786" s="10">
        <v>143470246</v>
      </c>
      <c r="B1786" s="15">
        <v>5540246182684</v>
      </c>
      <c r="C1786" s="32">
        <v>44907</v>
      </c>
      <c r="D1786" s="11">
        <v>140</v>
      </c>
      <c r="E1786" s="14" t="str">
        <f>VLOOKUP(B1786, 'Catégorie des articles'!A:E, 4, FALSE)</f>
        <v>BOULANGERIE</v>
      </c>
      <c r="F1786" s="14">
        <f t="shared" si="27"/>
        <v>202212</v>
      </c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</row>
    <row r="1787" spans="1:21" ht="12.75" customHeight="1">
      <c r="A1787" s="7">
        <v>143470246</v>
      </c>
      <c r="B1787" s="13">
        <v>5540246183844</v>
      </c>
      <c r="C1787" s="31">
        <v>44907</v>
      </c>
      <c r="D1787" s="8">
        <v>186</v>
      </c>
      <c r="E1787" s="14" t="str">
        <f>VLOOKUP(B1787, 'Catégorie des articles'!A:E, 4, FALSE)</f>
        <v>BOULANGERIE</v>
      </c>
      <c r="F1787" s="14">
        <f t="shared" si="27"/>
        <v>202212</v>
      </c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</row>
    <row r="1788" spans="1:21" ht="12.75" customHeight="1">
      <c r="A1788" s="7">
        <v>143470246</v>
      </c>
      <c r="B1788" s="13">
        <v>5540246194467</v>
      </c>
      <c r="C1788" s="31">
        <v>44907</v>
      </c>
      <c r="D1788" s="8">
        <v>12473</v>
      </c>
      <c r="E1788" s="14" t="str">
        <f>VLOOKUP(B1788, 'Catégorie des articles'!A:E, 4, FALSE)</f>
        <v>BOULANGERIE</v>
      </c>
      <c r="F1788" s="14">
        <f t="shared" si="27"/>
        <v>202212</v>
      </c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</row>
    <row r="1789" spans="1:21" ht="12.75" customHeight="1">
      <c r="A1789" s="10">
        <v>143470255</v>
      </c>
      <c r="B1789" s="15">
        <v>5540246171759</v>
      </c>
      <c r="C1789" s="32">
        <v>44917</v>
      </c>
      <c r="D1789" s="11">
        <v>3341</v>
      </c>
      <c r="E1789" s="14" t="str">
        <f>VLOOKUP(B1789, 'Catégorie des articles'!A:E, 4, FALSE)</f>
        <v>MIX LEGUMES</v>
      </c>
      <c r="F1789" s="14">
        <f t="shared" si="27"/>
        <v>202212</v>
      </c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</row>
    <row r="1790" spans="1:21" ht="12.75" customHeight="1">
      <c r="A1790" s="7">
        <v>143470255</v>
      </c>
      <c r="B1790" s="13">
        <v>5540246177133</v>
      </c>
      <c r="C1790" s="31">
        <v>44917</v>
      </c>
      <c r="D1790" s="8">
        <v>10023</v>
      </c>
      <c r="E1790" s="14" t="str">
        <f>VLOOKUP(B1790, 'Catégorie des articles'!A:E, 4, FALSE)</f>
        <v>MIX LEGUMES</v>
      </c>
      <c r="F1790" s="14">
        <f t="shared" si="27"/>
        <v>202212</v>
      </c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</row>
    <row r="1791" spans="1:21" ht="12.75" customHeight="1">
      <c r="A1791" s="10">
        <v>143470255</v>
      </c>
      <c r="B1791" s="15">
        <v>5540246192148</v>
      </c>
      <c r="C1791" s="32">
        <v>44917</v>
      </c>
      <c r="D1791" s="11">
        <v>6960</v>
      </c>
      <c r="E1791" s="14" t="str">
        <f>VLOOKUP(B1791, 'Catégorie des articles'!A:E, 4, FALSE)</f>
        <v>MIX LEGUMES</v>
      </c>
      <c r="F1791" s="14">
        <f t="shared" si="27"/>
        <v>202212</v>
      </c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</row>
    <row r="1792" spans="1:21" ht="12.75" customHeight="1">
      <c r="A1792" s="7">
        <v>143470255</v>
      </c>
      <c r="B1792" s="13">
        <v>5540246192518</v>
      </c>
      <c r="C1792" s="31">
        <v>44917</v>
      </c>
      <c r="D1792" s="8">
        <v>5847</v>
      </c>
      <c r="E1792" s="14" t="str">
        <f>VLOOKUP(B1792, 'Catégorie des articles'!A:E, 4, FALSE)</f>
        <v>MIX LEGUMES</v>
      </c>
      <c r="F1792" s="14">
        <f t="shared" si="27"/>
        <v>202212</v>
      </c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</row>
    <row r="1793" spans="1:21" ht="12.75" customHeight="1">
      <c r="A1793" s="7">
        <v>143470275</v>
      </c>
      <c r="B1793" s="13">
        <v>5540246176294</v>
      </c>
      <c r="C1793" s="31">
        <v>44900</v>
      </c>
      <c r="D1793" s="8">
        <v>1485</v>
      </c>
      <c r="E1793" s="14" t="str">
        <f>VLOOKUP(B1793, 'Catégorie des articles'!A:E, 4, FALSE)</f>
        <v>CREMERIE</v>
      </c>
      <c r="F1793" s="14">
        <f t="shared" si="27"/>
        <v>202212</v>
      </c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</row>
    <row r="1794" spans="1:21" ht="12.75" customHeight="1">
      <c r="A1794" s="10">
        <v>143470275</v>
      </c>
      <c r="B1794" s="15">
        <v>5540246176295</v>
      </c>
      <c r="C1794" s="32">
        <v>44900</v>
      </c>
      <c r="D1794" s="11">
        <v>7424</v>
      </c>
      <c r="E1794" s="14" t="str">
        <f>VLOOKUP(B1794, 'Catégorie des articles'!A:E, 4, FALSE)</f>
        <v>CREMERIE</v>
      </c>
      <c r="F1794" s="14">
        <f t="shared" ref="F1794:F1857" si="28">YEAR(C1794)*100 + MONTH(C1794)</f>
        <v>202212</v>
      </c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</row>
    <row r="1795" spans="1:21" ht="12.75" customHeight="1">
      <c r="A1795" s="10">
        <v>143470275</v>
      </c>
      <c r="B1795" s="15">
        <v>5540246187987</v>
      </c>
      <c r="C1795" s="32">
        <v>44900</v>
      </c>
      <c r="D1795" s="11">
        <v>4455</v>
      </c>
      <c r="E1795" s="14" t="str">
        <f>VLOOKUP(B1795, 'Catégorie des articles'!A:E, 4, FALSE)</f>
        <v>CREMERIE</v>
      </c>
      <c r="F1795" s="14">
        <f t="shared" si="28"/>
        <v>202212</v>
      </c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</row>
    <row r="1796" spans="1:21" ht="12.75" customHeight="1">
      <c r="A1796" s="10">
        <v>143470276</v>
      </c>
      <c r="B1796" s="15">
        <v>5540246174174</v>
      </c>
      <c r="C1796" s="32">
        <v>44900</v>
      </c>
      <c r="D1796" s="11">
        <v>232</v>
      </c>
      <c r="E1796" s="14" t="str">
        <f>VLOOKUP(B1796, 'Catégorie des articles'!A:E, 4, FALSE)</f>
        <v>CREMERIE</v>
      </c>
      <c r="F1796" s="14">
        <f t="shared" si="28"/>
        <v>202212</v>
      </c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</row>
    <row r="1797" spans="1:21" ht="12.75" customHeight="1">
      <c r="A1797" s="10">
        <v>143470276</v>
      </c>
      <c r="B1797" s="15">
        <v>5540246176699</v>
      </c>
      <c r="C1797" s="32">
        <v>44900</v>
      </c>
      <c r="D1797" s="11">
        <v>8352</v>
      </c>
      <c r="E1797" s="14" t="str">
        <f>VLOOKUP(B1797, 'Catégorie des articles'!A:E, 4, FALSE)</f>
        <v>CREMERIE</v>
      </c>
      <c r="F1797" s="14">
        <f t="shared" si="28"/>
        <v>202212</v>
      </c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</row>
    <row r="1798" spans="1:21" ht="12.75" customHeight="1">
      <c r="A1798" s="7">
        <v>143470276</v>
      </c>
      <c r="B1798" s="13">
        <v>5540246192102</v>
      </c>
      <c r="C1798" s="31">
        <v>44900</v>
      </c>
      <c r="D1798" s="8">
        <v>4009</v>
      </c>
      <c r="E1798" s="14" t="str">
        <f>VLOOKUP(B1798, 'Catégorie des articles'!A:E, 4, FALSE)</f>
        <v>CREMERIE</v>
      </c>
      <c r="F1798" s="14">
        <f t="shared" si="28"/>
        <v>202212</v>
      </c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</row>
    <row r="1799" spans="1:21" ht="12.75" customHeight="1">
      <c r="A1799" s="10">
        <v>143470313</v>
      </c>
      <c r="B1799" s="15">
        <v>5540246194632</v>
      </c>
      <c r="C1799" s="32">
        <v>44926</v>
      </c>
      <c r="D1799" s="11">
        <v>919</v>
      </c>
      <c r="E1799" s="14" t="str">
        <f>VLOOKUP(B1799, 'Catégorie des articles'!A:E, 4, FALSE)</f>
        <v>BOULANGERIE</v>
      </c>
      <c r="F1799" s="14">
        <f t="shared" si="28"/>
        <v>202212</v>
      </c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</row>
    <row r="1800" spans="1:21" ht="12.75" customHeight="1">
      <c r="A1800" s="10">
        <v>143470317</v>
      </c>
      <c r="B1800" s="15">
        <v>5540246194467</v>
      </c>
      <c r="C1800" s="32">
        <v>44914</v>
      </c>
      <c r="D1800" s="11">
        <v>58743</v>
      </c>
      <c r="E1800" s="14" t="str">
        <f>VLOOKUP(B1800, 'Catégorie des articles'!A:E, 4, FALSE)</f>
        <v>BOULANGERIE</v>
      </c>
      <c r="F1800" s="14">
        <f t="shared" si="28"/>
        <v>202212</v>
      </c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</row>
    <row r="1801" spans="1:21" ht="12.75" customHeight="1">
      <c r="A1801" s="7">
        <v>143470330</v>
      </c>
      <c r="B1801" s="13">
        <v>5540246174174</v>
      </c>
      <c r="C1801" s="31">
        <v>44903</v>
      </c>
      <c r="D1801" s="8">
        <v>464</v>
      </c>
      <c r="E1801" s="14" t="str">
        <f>VLOOKUP(B1801, 'Catégorie des articles'!A:E, 4, FALSE)</f>
        <v>CREMERIE</v>
      </c>
      <c r="F1801" s="14">
        <f t="shared" si="28"/>
        <v>202212</v>
      </c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</row>
    <row r="1802" spans="1:21" ht="12.75" customHeight="1">
      <c r="A1802" s="7">
        <v>143470332</v>
      </c>
      <c r="B1802" s="13">
        <v>5540246176295</v>
      </c>
      <c r="C1802" s="31">
        <v>44903</v>
      </c>
      <c r="D1802" s="8">
        <v>4455</v>
      </c>
      <c r="E1802" s="14" t="str">
        <f>VLOOKUP(B1802, 'Catégorie des articles'!A:E, 4, FALSE)</f>
        <v>CREMERIE</v>
      </c>
      <c r="F1802" s="14">
        <f t="shared" si="28"/>
        <v>202212</v>
      </c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</row>
    <row r="1803" spans="1:21" ht="12.75" customHeight="1">
      <c r="A1803" s="10">
        <v>143470332</v>
      </c>
      <c r="B1803" s="15">
        <v>5540246187987</v>
      </c>
      <c r="C1803" s="32">
        <v>44903</v>
      </c>
      <c r="D1803" s="11">
        <v>6682</v>
      </c>
      <c r="E1803" s="14" t="str">
        <f>VLOOKUP(B1803, 'Catégorie des articles'!A:E, 4, FALSE)</f>
        <v>CREMERIE</v>
      </c>
      <c r="F1803" s="14">
        <f t="shared" si="28"/>
        <v>202212</v>
      </c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</row>
    <row r="1804" spans="1:21" ht="12.75" customHeight="1">
      <c r="A1804" s="10">
        <v>143470334</v>
      </c>
      <c r="B1804" s="15">
        <v>5540246177133</v>
      </c>
      <c r="C1804" s="32">
        <v>44921</v>
      </c>
      <c r="D1804" s="11">
        <v>9466</v>
      </c>
      <c r="E1804" s="14" t="str">
        <f>VLOOKUP(B1804, 'Catégorie des articles'!A:E, 4, FALSE)</f>
        <v>MIX LEGUMES</v>
      </c>
      <c r="F1804" s="14">
        <f t="shared" si="28"/>
        <v>202212</v>
      </c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</row>
    <row r="1805" spans="1:21" ht="12.75" customHeight="1">
      <c r="A1805" s="7">
        <v>143470334</v>
      </c>
      <c r="B1805" s="13">
        <v>5540246192148</v>
      </c>
      <c r="C1805" s="31">
        <v>44921</v>
      </c>
      <c r="D1805" s="8">
        <v>15312</v>
      </c>
      <c r="E1805" s="14" t="str">
        <f>VLOOKUP(B1805, 'Catégorie des articles'!A:E, 4, FALSE)</f>
        <v>MIX LEGUMES</v>
      </c>
      <c r="F1805" s="14">
        <f t="shared" si="28"/>
        <v>202212</v>
      </c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</row>
    <row r="1806" spans="1:21" ht="12.75" customHeight="1">
      <c r="A1806" s="10">
        <v>143470335</v>
      </c>
      <c r="B1806" s="15">
        <v>5540246190727</v>
      </c>
      <c r="C1806" s="32">
        <v>44917</v>
      </c>
      <c r="D1806" s="11">
        <v>877</v>
      </c>
      <c r="E1806" s="14" t="str">
        <f>VLOOKUP(B1806, 'Catégorie des articles'!A:E, 4, FALSE)</f>
        <v>BOULANGERIE</v>
      </c>
      <c r="F1806" s="14">
        <f t="shared" si="28"/>
        <v>202212</v>
      </c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</row>
    <row r="1807" spans="1:21" ht="12.75" customHeight="1">
      <c r="A1807" s="7">
        <v>143470339</v>
      </c>
      <c r="B1807" s="13">
        <v>5540246186325</v>
      </c>
      <c r="C1807" s="31">
        <v>44905</v>
      </c>
      <c r="D1807" s="8">
        <v>418</v>
      </c>
      <c r="E1807" s="14" t="str">
        <f>VLOOKUP(B1807, 'Catégorie des articles'!A:E, 4, FALSE)</f>
        <v>CREMERIE</v>
      </c>
      <c r="F1807" s="14">
        <f t="shared" si="28"/>
        <v>202212</v>
      </c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</row>
    <row r="1808" spans="1:21" ht="12.75" customHeight="1">
      <c r="A1808" s="7">
        <v>143470340</v>
      </c>
      <c r="B1808" s="13">
        <v>5540246173472</v>
      </c>
      <c r="C1808" s="31">
        <v>44907</v>
      </c>
      <c r="D1808" s="8">
        <v>279</v>
      </c>
      <c r="E1808" s="14" t="str">
        <f>VLOOKUP(B1808, 'Catégorie des articles'!A:E, 4, FALSE)</f>
        <v>CREMERIE</v>
      </c>
      <c r="F1808" s="14">
        <f t="shared" si="28"/>
        <v>202212</v>
      </c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</row>
    <row r="1809" spans="1:21" ht="12.75" customHeight="1">
      <c r="A1809" s="10">
        <v>143470340</v>
      </c>
      <c r="B1809" s="15">
        <v>5540246174095</v>
      </c>
      <c r="C1809" s="32">
        <v>44907</v>
      </c>
      <c r="D1809" s="11">
        <v>70</v>
      </c>
      <c r="E1809" s="14" t="str">
        <f>VLOOKUP(B1809, 'Catégorie des articles'!A:E, 4, FALSE)</f>
        <v>CREMERIE</v>
      </c>
      <c r="F1809" s="14">
        <f t="shared" si="28"/>
        <v>202212</v>
      </c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</row>
    <row r="1810" spans="1:21" ht="12.75" customHeight="1">
      <c r="A1810" s="7">
        <v>143470340</v>
      </c>
      <c r="B1810" s="13">
        <v>5540246175047</v>
      </c>
      <c r="C1810" s="31">
        <v>44907</v>
      </c>
      <c r="D1810" s="8">
        <v>418</v>
      </c>
      <c r="E1810" s="14" t="str">
        <f>VLOOKUP(B1810, 'Catégorie des articles'!A:E, 4, FALSE)</f>
        <v>CREMERIE</v>
      </c>
      <c r="F1810" s="14">
        <f t="shared" si="28"/>
        <v>202212</v>
      </c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</row>
    <row r="1811" spans="1:21" ht="12.75" customHeight="1">
      <c r="A1811" s="10">
        <v>143470340</v>
      </c>
      <c r="B1811" s="15">
        <v>5540246175049</v>
      </c>
      <c r="C1811" s="32">
        <v>44907</v>
      </c>
      <c r="D1811" s="11">
        <v>557</v>
      </c>
      <c r="E1811" s="14" t="str">
        <f>VLOOKUP(B1811, 'Catégorie des articles'!A:E, 4, FALSE)</f>
        <v>CREMERIE</v>
      </c>
      <c r="F1811" s="14">
        <f t="shared" si="28"/>
        <v>202212</v>
      </c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</row>
    <row r="1812" spans="1:21" ht="12.75" customHeight="1">
      <c r="A1812" s="7">
        <v>143470340</v>
      </c>
      <c r="B1812" s="13">
        <v>5540246175050</v>
      </c>
      <c r="C1812" s="31">
        <v>44907</v>
      </c>
      <c r="D1812" s="8">
        <v>557</v>
      </c>
      <c r="E1812" s="14" t="str">
        <f>VLOOKUP(B1812, 'Catégorie des articles'!A:E, 4, FALSE)</f>
        <v>CREMERIE</v>
      </c>
      <c r="F1812" s="14">
        <f t="shared" si="28"/>
        <v>202212</v>
      </c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</row>
    <row r="1813" spans="1:21" ht="12.75" customHeight="1">
      <c r="A1813" s="10">
        <v>143470356</v>
      </c>
      <c r="B1813" s="15">
        <v>5540246183554</v>
      </c>
      <c r="C1813" s="32">
        <v>44917</v>
      </c>
      <c r="D1813" s="11">
        <v>891</v>
      </c>
      <c r="E1813" s="14" t="str">
        <f>VLOOKUP(B1813, 'Catégorie des articles'!A:E, 4, FALSE)</f>
        <v>MIX LEGUMES</v>
      </c>
      <c r="F1813" s="14">
        <f t="shared" si="28"/>
        <v>202212</v>
      </c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</row>
    <row r="1814" spans="1:21" ht="12.75" customHeight="1">
      <c r="A1814" s="7">
        <v>143470356</v>
      </c>
      <c r="B1814" s="13">
        <v>5540246183558</v>
      </c>
      <c r="C1814" s="31">
        <v>44910</v>
      </c>
      <c r="D1814" s="8">
        <v>2599</v>
      </c>
      <c r="E1814" s="14" t="str">
        <f>VLOOKUP(B1814, 'Catégorie des articles'!A:E, 4, FALSE)</f>
        <v>MIX LEGUMES</v>
      </c>
      <c r="F1814" s="14">
        <f t="shared" si="28"/>
        <v>202212</v>
      </c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</row>
    <row r="1815" spans="1:21" ht="12.75" customHeight="1">
      <c r="A1815" s="10">
        <v>143470356</v>
      </c>
      <c r="B1815" s="15">
        <v>5540246183560</v>
      </c>
      <c r="C1815" s="32">
        <v>44917</v>
      </c>
      <c r="D1815" s="11">
        <v>446</v>
      </c>
      <c r="E1815" s="14" t="str">
        <f>VLOOKUP(B1815, 'Catégorie des articles'!A:E, 4, FALSE)</f>
        <v>MIX LEGUMES</v>
      </c>
      <c r="F1815" s="14">
        <f t="shared" si="28"/>
        <v>202212</v>
      </c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</row>
    <row r="1816" spans="1:21" ht="12.75" customHeight="1">
      <c r="A1816" s="7">
        <v>143470356</v>
      </c>
      <c r="B1816" s="13">
        <v>5540246192209</v>
      </c>
      <c r="C1816" s="31">
        <v>44910</v>
      </c>
      <c r="D1816" s="8">
        <v>2228</v>
      </c>
      <c r="E1816" s="14" t="str">
        <f>VLOOKUP(B1816, 'Catégorie des articles'!A:E, 4, FALSE)</f>
        <v>MIX LEGUMES</v>
      </c>
      <c r="F1816" s="14">
        <f t="shared" si="28"/>
        <v>202212</v>
      </c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</row>
    <row r="1817" spans="1:21" ht="12.75" customHeight="1">
      <c r="A1817" s="10">
        <v>143470356</v>
      </c>
      <c r="B1817" s="15">
        <v>5540246192462</v>
      </c>
      <c r="C1817" s="32">
        <v>44910</v>
      </c>
      <c r="D1817" s="11">
        <v>1114</v>
      </c>
      <c r="E1817" s="14" t="str">
        <f>VLOOKUP(B1817, 'Catégorie des articles'!A:E, 4, FALSE)</f>
        <v>MIX LEGUMES</v>
      </c>
      <c r="F1817" s="14">
        <f t="shared" si="28"/>
        <v>202212</v>
      </c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</row>
    <row r="1818" spans="1:21" ht="12.75" customHeight="1">
      <c r="A1818" s="7">
        <v>143470356</v>
      </c>
      <c r="B1818" s="13">
        <v>5540246192594</v>
      </c>
      <c r="C1818" s="31">
        <v>44910</v>
      </c>
      <c r="D1818" s="8">
        <v>1485</v>
      </c>
      <c r="E1818" s="14" t="str">
        <f>VLOOKUP(B1818, 'Catégorie des articles'!A:E, 4, FALSE)</f>
        <v>MIX LEGUMES</v>
      </c>
      <c r="F1818" s="14">
        <f t="shared" si="28"/>
        <v>202212</v>
      </c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</row>
    <row r="1819" spans="1:21" ht="12.75" customHeight="1">
      <c r="A1819" s="10">
        <v>143470356</v>
      </c>
      <c r="B1819" s="15">
        <v>5540246192831</v>
      </c>
      <c r="C1819" s="32">
        <v>44910</v>
      </c>
      <c r="D1819" s="11">
        <v>1300</v>
      </c>
      <c r="E1819" s="14" t="str">
        <f>VLOOKUP(B1819, 'Catégorie des articles'!A:E, 4, FALSE)</f>
        <v>MIX LEGUMES</v>
      </c>
      <c r="F1819" s="14">
        <f t="shared" si="28"/>
        <v>202212</v>
      </c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</row>
    <row r="1820" spans="1:21" ht="12.75" customHeight="1">
      <c r="A1820" s="7">
        <v>143470363</v>
      </c>
      <c r="B1820" s="13">
        <v>5540246173906</v>
      </c>
      <c r="C1820" s="31">
        <v>44912</v>
      </c>
      <c r="D1820" s="8">
        <v>3267</v>
      </c>
      <c r="E1820" s="14" t="str">
        <f>VLOOKUP(B1820, 'Catégorie des articles'!A:E, 4, FALSE)</f>
        <v>VOLAILLE</v>
      </c>
      <c r="F1820" s="14">
        <f t="shared" si="28"/>
        <v>202212</v>
      </c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</row>
    <row r="1821" spans="1:21" ht="12.75" customHeight="1">
      <c r="A1821" s="10">
        <v>143470363</v>
      </c>
      <c r="B1821" s="15">
        <v>5540246181016</v>
      </c>
      <c r="C1821" s="32">
        <v>44912</v>
      </c>
      <c r="D1821" s="11">
        <v>7128</v>
      </c>
      <c r="E1821" s="14" t="str">
        <f>VLOOKUP(B1821, 'Catégorie des articles'!A:E, 4, FALSE)</f>
        <v>VOLAILLE</v>
      </c>
      <c r="F1821" s="14">
        <f t="shared" si="28"/>
        <v>202212</v>
      </c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</row>
    <row r="1822" spans="1:21" ht="12.75" customHeight="1">
      <c r="A1822" s="10">
        <v>143470382</v>
      </c>
      <c r="B1822" s="15">
        <v>5540246172978</v>
      </c>
      <c r="C1822" s="32">
        <v>44904</v>
      </c>
      <c r="D1822" s="11">
        <v>836</v>
      </c>
      <c r="E1822" s="14" t="str">
        <f>VLOOKUP(B1822, 'Catégorie des articles'!A:E, 4, FALSE)</f>
        <v>CREMERIE</v>
      </c>
      <c r="F1822" s="14">
        <f t="shared" si="28"/>
        <v>202212</v>
      </c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</row>
    <row r="1823" spans="1:21" ht="12.75" customHeight="1">
      <c r="A1823" s="7">
        <v>143470382</v>
      </c>
      <c r="B1823" s="13">
        <v>5540246188175</v>
      </c>
      <c r="C1823" s="31">
        <v>44904</v>
      </c>
      <c r="D1823" s="8">
        <v>186</v>
      </c>
      <c r="E1823" s="14" t="str">
        <f>VLOOKUP(B1823, 'Catégorie des articles'!A:E, 4, FALSE)</f>
        <v>CREMERIE</v>
      </c>
      <c r="F1823" s="14">
        <f t="shared" si="28"/>
        <v>202212</v>
      </c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</row>
    <row r="1824" spans="1:21" ht="12.75" customHeight="1">
      <c r="A1824" s="10">
        <v>143480432</v>
      </c>
      <c r="B1824" s="15">
        <v>5540246172539</v>
      </c>
      <c r="C1824" s="32">
        <v>44905</v>
      </c>
      <c r="D1824" s="11">
        <v>47</v>
      </c>
      <c r="E1824" s="14" t="str">
        <f>VLOOKUP(B1824, 'Catégorie des articles'!A:E, 4, FALSE)</f>
        <v>CREMERIE</v>
      </c>
      <c r="F1824" s="14">
        <f t="shared" si="28"/>
        <v>202212</v>
      </c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</row>
    <row r="1825" spans="1:21" ht="12.75" customHeight="1">
      <c r="A1825" s="7">
        <v>143480432</v>
      </c>
      <c r="B1825" s="13">
        <v>5540246172978</v>
      </c>
      <c r="C1825" s="31">
        <v>44905</v>
      </c>
      <c r="D1825" s="8">
        <v>1671</v>
      </c>
      <c r="E1825" s="14" t="str">
        <f>VLOOKUP(B1825, 'Catégorie des articles'!A:E, 4, FALSE)</f>
        <v>CREMERIE</v>
      </c>
      <c r="F1825" s="14">
        <f t="shared" si="28"/>
        <v>202212</v>
      </c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</row>
    <row r="1826" spans="1:21" ht="12.75" customHeight="1">
      <c r="A1826" s="7">
        <v>143480432</v>
      </c>
      <c r="B1826" s="13">
        <v>5540246174174</v>
      </c>
      <c r="C1826" s="31">
        <v>44905</v>
      </c>
      <c r="D1826" s="8">
        <v>464</v>
      </c>
      <c r="E1826" s="14" t="str">
        <f>VLOOKUP(B1826, 'Catégorie des articles'!A:E, 4, FALSE)</f>
        <v>CREMERIE</v>
      </c>
      <c r="F1826" s="14">
        <f t="shared" si="28"/>
        <v>202212</v>
      </c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</row>
    <row r="1827" spans="1:21" ht="12.75" customHeight="1">
      <c r="A1827" s="10">
        <v>143480432</v>
      </c>
      <c r="B1827" s="15">
        <v>5540246176699</v>
      </c>
      <c r="C1827" s="32">
        <v>44905</v>
      </c>
      <c r="D1827" s="11">
        <v>6264</v>
      </c>
      <c r="E1827" s="14" t="str">
        <f>VLOOKUP(B1827, 'Catégorie des articles'!A:E, 4, FALSE)</f>
        <v>CREMERIE</v>
      </c>
      <c r="F1827" s="14">
        <f t="shared" si="28"/>
        <v>202212</v>
      </c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</row>
    <row r="1828" spans="1:21" ht="12.75" customHeight="1">
      <c r="A1828" s="10">
        <v>143480433</v>
      </c>
      <c r="B1828" s="15">
        <v>5540246176295</v>
      </c>
      <c r="C1828" s="32">
        <v>44905</v>
      </c>
      <c r="D1828" s="11">
        <v>7424</v>
      </c>
      <c r="E1828" s="14" t="str">
        <f>VLOOKUP(B1828, 'Catégorie des articles'!A:E, 4, FALSE)</f>
        <v>CREMERIE</v>
      </c>
      <c r="F1828" s="14">
        <f t="shared" si="28"/>
        <v>202212</v>
      </c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</row>
    <row r="1829" spans="1:21" ht="12.75" customHeight="1">
      <c r="A1829" s="10">
        <v>143480480</v>
      </c>
      <c r="B1829" s="15">
        <v>5540246187987</v>
      </c>
      <c r="C1829" s="32">
        <v>44906</v>
      </c>
      <c r="D1829" s="11">
        <v>2228</v>
      </c>
      <c r="E1829" s="14" t="str">
        <f>VLOOKUP(B1829, 'Catégorie des articles'!A:E, 4, FALSE)</f>
        <v>CREMERIE</v>
      </c>
      <c r="F1829" s="14">
        <f t="shared" si="28"/>
        <v>202212</v>
      </c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</row>
    <row r="1830" spans="1:21" ht="12.75" customHeight="1">
      <c r="A1830" s="7">
        <v>143480481</v>
      </c>
      <c r="B1830" s="13">
        <v>5540246172669</v>
      </c>
      <c r="C1830" s="31">
        <v>44906</v>
      </c>
      <c r="D1830" s="8">
        <v>279</v>
      </c>
      <c r="E1830" s="14" t="str">
        <f>VLOOKUP(B1830, 'Catégorie des articles'!A:E, 4, FALSE)</f>
        <v>CREMERIE</v>
      </c>
      <c r="F1830" s="14">
        <f t="shared" si="28"/>
        <v>202212</v>
      </c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</row>
    <row r="1831" spans="1:21" ht="12.75" customHeight="1">
      <c r="A1831" s="10">
        <v>143480481</v>
      </c>
      <c r="B1831" s="15">
        <v>5540246172978</v>
      </c>
      <c r="C1831" s="32">
        <v>44906</v>
      </c>
      <c r="D1831" s="11">
        <v>836</v>
      </c>
      <c r="E1831" s="14" t="str">
        <f>VLOOKUP(B1831, 'Catégorie des articles'!A:E, 4, FALSE)</f>
        <v>CREMERIE</v>
      </c>
      <c r="F1831" s="14">
        <f t="shared" si="28"/>
        <v>202212</v>
      </c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</row>
    <row r="1832" spans="1:21" ht="12.75" customHeight="1">
      <c r="A1832" s="7">
        <v>143480481</v>
      </c>
      <c r="B1832" s="13">
        <v>5540246174174</v>
      </c>
      <c r="C1832" s="31">
        <v>44906</v>
      </c>
      <c r="D1832" s="8">
        <v>232</v>
      </c>
      <c r="E1832" s="14" t="str">
        <f>VLOOKUP(B1832, 'Catégorie des articles'!A:E, 4, FALSE)</f>
        <v>CREMERIE</v>
      </c>
      <c r="F1832" s="14">
        <f t="shared" si="28"/>
        <v>202212</v>
      </c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</row>
    <row r="1833" spans="1:21" ht="12.75" customHeight="1">
      <c r="A1833" s="7">
        <v>143480481</v>
      </c>
      <c r="B1833" s="13">
        <v>5540246192102</v>
      </c>
      <c r="C1833" s="31">
        <v>44906</v>
      </c>
      <c r="D1833" s="8">
        <v>4009</v>
      </c>
      <c r="E1833" s="14" t="str">
        <f>VLOOKUP(B1833, 'Catégorie des articles'!A:E, 4, FALSE)</f>
        <v>CREMERIE</v>
      </c>
      <c r="F1833" s="14">
        <f t="shared" si="28"/>
        <v>202212</v>
      </c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</row>
    <row r="1834" spans="1:21" ht="12.75" customHeight="1">
      <c r="A1834" s="7">
        <v>143480485</v>
      </c>
      <c r="B1834" s="13">
        <v>5540246186325</v>
      </c>
      <c r="C1834" s="31">
        <v>44907</v>
      </c>
      <c r="D1834" s="8">
        <v>140</v>
      </c>
      <c r="E1834" s="14" t="str">
        <f>VLOOKUP(B1834, 'Catégorie des articles'!A:E, 4, FALSE)</f>
        <v>CREMERIE</v>
      </c>
      <c r="F1834" s="14">
        <f t="shared" si="28"/>
        <v>202212</v>
      </c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</row>
    <row r="1835" spans="1:21" ht="12.75" customHeight="1">
      <c r="A1835" s="10">
        <v>143480489</v>
      </c>
      <c r="B1835" s="15">
        <v>5540246173472</v>
      </c>
      <c r="C1835" s="32">
        <v>44911</v>
      </c>
      <c r="D1835" s="11">
        <v>279</v>
      </c>
      <c r="E1835" s="14" t="str">
        <f>VLOOKUP(B1835, 'Catégorie des articles'!A:E, 4, FALSE)</f>
        <v>CREMERIE</v>
      </c>
      <c r="F1835" s="14">
        <f t="shared" si="28"/>
        <v>202212</v>
      </c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</row>
    <row r="1836" spans="1:21" ht="12.75" customHeight="1">
      <c r="A1836" s="7">
        <v>143480489</v>
      </c>
      <c r="B1836" s="13">
        <v>5540246175047</v>
      </c>
      <c r="C1836" s="31">
        <v>44911</v>
      </c>
      <c r="D1836" s="8">
        <v>209</v>
      </c>
      <c r="E1836" s="14" t="str">
        <f>VLOOKUP(B1836, 'Catégorie des articles'!A:E, 4, FALSE)</f>
        <v>CREMERIE</v>
      </c>
      <c r="F1836" s="14">
        <f t="shared" si="28"/>
        <v>202212</v>
      </c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</row>
    <row r="1837" spans="1:21" ht="12.75" customHeight="1">
      <c r="A1837" s="10">
        <v>143480489</v>
      </c>
      <c r="B1837" s="15">
        <v>5540246175049</v>
      </c>
      <c r="C1837" s="32">
        <v>44911</v>
      </c>
      <c r="D1837" s="11">
        <v>557</v>
      </c>
      <c r="E1837" s="14" t="str">
        <f>VLOOKUP(B1837, 'Catégorie des articles'!A:E, 4, FALSE)</f>
        <v>CREMERIE</v>
      </c>
      <c r="F1837" s="14">
        <f t="shared" si="28"/>
        <v>202212</v>
      </c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</row>
    <row r="1838" spans="1:21" ht="12.75" customHeight="1">
      <c r="A1838" s="7">
        <v>143480489</v>
      </c>
      <c r="B1838" s="13">
        <v>5540246175050</v>
      </c>
      <c r="C1838" s="31">
        <v>44911</v>
      </c>
      <c r="D1838" s="8">
        <v>557</v>
      </c>
      <c r="E1838" s="14" t="str">
        <f>VLOOKUP(B1838, 'Catégorie des articles'!A:E, 4, FALSE)</f>
        <v>CREMERIE</v>
      </c>
      <c r="F1838" s="14">
        <f t="shared" si="28"/>
        <v>202212</v>
      </c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</row>
    <row r="1839" spans="1:21" ht="12.75" customHeight="1">
      <c r="A1839" s="7">
        <v>143480505</v>
      </c>
      <c r="B1839" s="13">
        <v>5540246192102</v>
      </c>
      <c r="C1839" s="31">
        <v>44905</v>
      </c>
      <c r="D1839" s="8">
        <v>6014</v>
      </c>
      <c r="E1839" s="14" t="str">
        <f>VLOOKUP(B1839, 'Catégorie des articles'!A:E, 4, FALSE)</f>
        <v>CREMERIE</v>
      </c>
      <c r="F1839" s="14">
        <f t="shared" si="28"/>
        <v>202212</v>
      </c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</row>
    <row r="1840" spans="1:21" ht="12.75" customHeight="1">
      <c r="A1840" s="10">
        <v>143480513</v>
      </c>
      <c r="B1840" s="15">
        <v>5540246171933</v>
      </c>
      <c r="C1840" s="32">
        <v>44907</v>
      </c>
      <c r="D1840" s="11">
        <v>2228</v>
      </c>
      <c r="E1840" s="14" t="str">
        <f>VLOOKUP(B1840, 'Catégorie des articles'!A:E, 4, FALSE)</f>
        <v>CREMERIE</v>
      </c>
      <c r="F1840" s="14">
        <f t="shared" si="28"/>
        <v>202212</v>
      </c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</row>
    <row r="1841" spans="1:21" ht="12.75" customHeight="1">
      <c r="A1841" s="7">
        <v>143480513</v>
      </c>
      <c r="B1841" s="13">
        <v>5540246176294</v>
      </c>
      <c r="C1841" s="31">
        <v>44907</v>
      </c>
      <c r="D1841" s="8">
        <v>1485</v>
      </c>
      <c r="E1841" s="14" t="str">
        <f>VLOOKUP(B1841, 'Catégorie des articles'!A:E, 4, FALSE)</f>
        <v>CREMERIE</v>
      </c>
      <c r="F1841" s="14">
        <f t="shared" si="28"/>
        <v>202212</v>
      </c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</row>
    <row r="1842" spans="1:21" ht="12.75" customHeight="1">
      <c r="A1842" s="10">
        <v>143480513</v>
      </c>
      <c r="B1842" s="15">
        <v>5540246176295</v>
      </c>
      <c r="C1842" s="32">
        <v>44907</v>
      </c>
      <c r="D1842" s="11">
        <v>7424</v>
      </c>
      <c r="E1842" s="14" t="str">
        <f>VLOOKUP(B1842, 'Catégorie des articles'!A:E, 4, FALSE)</f>
        <v>CREMERIE</v>
      </c>
      <c r="F1842" s="14">
        <f t="shared" si="28"/>
        <v>202212</v>
      </c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</row>
    <row r="1843" spans="1:21" ht="12.75" customHeight="1">
      <c r="A1843" s="10">
        <v>143480513</v>
      </c>
      <c r="B1843" s="15">
        <v>5540246187987</v>
      </c>
      <c r="C1843" s="32">
        <v>44907</v>
      </c>
      <c r="D1843" s="11">
        <v>3341</v>
      </c>
      <c r="E1843" s="14" t="str">
        <f>VLOOKUP(B1843, 'Catégorie des articles'!A:E, 4, FALSE)</f>
        <v>CREMERIE</v>
      </c>
      <c r="F1843" s="14">
        <f t="shared" si="28"/>
        <v>202212</v>
      </c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</row>
    <row r="1844" spans="1:21" ht="12.75" customHeight="1">
      <c r="A1844" s="10">
        <v>143480514</v>
      </c>
      <c r="B1844" s="15">
        <v>5540246172539</v>
      </c>
      <c r="C1844" s="32">
        <v>44907</v>
      </c>
      <c r="D1844" s="11">
        <v>47</v>
      </c>
      <c r="E1844" s="14" t="str">
        <f>VLOOKUP(B1844, 'Catégorie des articles'!A:E, 4, FALSE)</f>
        <v>CREMERIE</v>
      </c>
      <c r="F1844" s="14">
        <f t="shared" si="28"/>
        <v>202212</v>
      </c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</row>
    <row r="1845" spans="1:21" ht="12.75" customHeight="1">
      <c r="A1845" s="7">
        <v>143480514</v>
      </c>
      <c r="B1845" s="13">
        <v>5540246172669</v>
      </c>
      <c r="C1845" s="31">
        <v>44907</v>
      </c>
      <c r="D1845" s="8">
        <v>279</v>
      </c>
      <c r="E1845" s="14" t="str">
        <f>VLOOKUP(B1845, 'Catégorie des articles'!A:E, 4, FALSE)</f>
        <v>CREMERIE</v>
      </c>
      <c r="F1845" s="14">
        <f t="shared" si="28"/>
        <v>202212</v>
      </c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</row>
    <row r="1846" spans="1:21" ht="12.75" customHeight="1">
      <c r="A1846" s="10">
        <v>143480514</v>
      </c>
      <c r="B1846" s="15">
        <v>5540246172978</v>
      </c>
      <c r="C1846" s="32">
        <v>44907</v>
      </c>
      <c r="D1846" s="11">
        <v>1671</v>
      </c>
      <c r="E1846" s="14" t="str">
        <f>VLOOKUP(B1846, 'Catégorie des articles'!A:E, 4, FALSE)</f>
        <v>CREMERIE</v>
      </c>
      <c r="F1846" s="14">
        <f t="shared" si="28"/>
        <v>202212</v>
      </c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</row>
    <row r="1847" spans="1:21" ht="12.75" customHeight="1">
      <c r="A1847" s="7">
        <v>143480514</v>
      </c>
      <c r="B1847" s="13">
        <v>5540246174174</v>
      </c>
      <c r="C1847" s="31">
        <v>44907</v>
      </c>
      <c r="D1847" s="8">
        <v>232</v>
      </c>
      <c r="E1847" s="14" t="str">
        <f>VLOOKUP(B1847, 'Catégorie des articles'!A:E, 4, FALSE)</f>
        <v>CREMERIE</v>
      </c>
      <c r="F1847" s="14">
        <f t="shared" si="28"/>
        <v>202212</v>
      </c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</row>
    <row r="1848" spans="1:21" ht="12.75" customHeight="1">
      <c r="A1848" s="10">
        <v>143480514</v>
      </c>
      <c r="B1848" s="15">
        <v>5540246176699</v>
      </c>
      <c r="C1848" s="32">
        <v>44907</v>
      </c>
      <c r="D1848" s="11">
        <v>6264</v>
      </c>
      <c r="E1848" s="14" t="str">
        <f>VLOOKUP(B1848, 'Catégorie des articles'!A:E, 4, FALSE)</f>
        <v>CREMERIE</v>
      </c>
      <c r="F1848" s="14">
        <f t="shared" si="28"/>
        <v>202212</v>
      </c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</row>
    <row r="1849" spans="1:21" ht="12.75" customHeight="1">
      <c r="A1849" s="7">
        <v>143480521</v>
      </c>
      <c r="B1849" s="13">
        <v>5540246192148</v>
      </c>
      <c r="C1849" s="31">
        <v>44927</v>
      </c>
      <c r="D1849" s="8">
        <v>45936</v>
      </c>
      <c r="E1849" s="14" t="str">
        <f>VLOOKUP(B1849, 'Catégorie des articles'!A:E, 4, FALSE)</f>
        <v>MIX LEGUMES</v>
      </c>
      <c r="F1849" s="14">
        <f t="shared" si="28"/>
        <v>202301</v>
      </c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</row>
    <row r="1850" spans="1:21" ht="12.75" customHeight="1">
      <c r="A1850" s="7">
        <v>143480525</v>
      </c>
      <c r="B1850" s="13">
        <v>5540246185429</v>
      </c>
      <c r="C1850" s="31">
        <v>44910</v>
      </c>
      <c r="D1850" s="8">
        <v>140</v>
      </c>
      <c r="E1850" s="14" t="str">
        <f>VLOOKUP(B1850, 'Catégorie des articles'!A:E, 4, FALSE)</f>
        <v>CREMERIE</v>
      </c>
      <c r="F1850" s="14">
        <f t="shared" si="28"/>
        <v>202212</v>
      </c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</row>
    <row r="1851" spans="1:21" ht="12.75" customHeight="1">
      <c r="A1851" s="10">
        <v>143480525</v>
      </c>
      <c r="B1851" s="15">
        <v>5540246185562</v>
      </c>
      <c r="C1851" s="32">
        <v>44910</v>
      </c>
      <c r="D1851" s="11">
        <v>140</v>
      </c>
      <c r="E1851" s="14" t="str">
        <f>VLOOKUP(B1851, 'Catégorie des articles'!A:E, 4, FALSE)</f>
        <v>CREMERIE</v>
      </c>
      <c r="F1851" s="14">
        <f t="shared" si="28"/>
        <v>202212</v>
      </c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</row>
    <row r="1852" spans="1:21" ht="12.75" customHeight="1">
      <c r="A1852" s="10">
        <v>143480537</v>
      </c>
      <c r="B1852" s="15">
        <v>5540246181061</v>
      </c>
      <c r="C1852" s="32">
        <v>44926</v>
      </c>
      <c r="D1852" s="11">
        <v>6615</v>
      </c>
      <c r="E1852" s="14" t="str">
        <f>VLOOKUP(B1852, 'Catégorie des articles'!A:E, 4, FALSE)</f>
        <v>VOLAILLE</v>
      </c>
      <c r="F1852" s="14">
        <f t="shared" si="28"/>
        <v>202212</v>
      </c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</row>
    <row r="1853" spans="1:21" ht="12.75" customHeight="1">
      <c r="A1853" s="7">
        <v>143480537</v>
      </c>
      <c r="B1853" s="13">
        <v>5540246185278</v>
      </c>
      <c r="C1853" s="31">
        <v>44926</v>
      </c>
      <c r="D1853" s="8">
        <v>4477</v>
      </c>
      <c r="E1853" s="14" t="str">
        <f>VLOOKUP(B1853, 'Catégorie des articles'!A:E, 4, FALSE)</f>
        <v>VOLAILLE</v>
      </c>
      <c r="F1853" s="14">
        <f t="shared" si="28"/>
        <v>202212</v>
      </c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</row>
    <row r="1854" spans="1:21" ht="12.75" customHeight="1">
      <c r="A1854" s="10">
        <v>143480539</v>
      </c>
      <c r="B1854" s="15">
        <v>5540246183130</v>
      </c>
      <c r="C1854" s="32">
        <v>44917</v>
      </c>
      <c r="D1854" s="11">
        <v>2819</v>
      </c>
      <c r="E1854" s="14" t="str">
        <f>VLOOKUP(B1854, 'Catégorie des articles'!A:E, 4, FALSE)</f>
        <v>MIX LEGUMES</v>
      </c>
      <c r="F1854" s="14">
        <f t="shared" si="28"/>
        <v>202212</v>
      </c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</row>
    <row r="1855" spans="1:21" ht="12.75" customHeight="1">
      <c r="A1855" s="7">
        <v>143480539</v>
      </c>
      <c r="B1855" s="13">
        <v>5540246183537</v>
      </c>
      <c r="C1855" s="31">
        <v>44917</v>
      </c>
      <c r="D1855" s="8">
        <v>961</v>
      </c>
      <c r="E1855" s="14" t="str">
        <f>VLOOKUP(B1855, 'Catégorie des articles'!A:E, 4, FALSE)</f>
        <v>MIX LEGUMES</v>
      </c>
      <c r="F1855" s="14">
        <f t="shared" si="28"/>
        <v>202212</v>
      </c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</row>
    <row r="1856" spans="1:21" ht="12.75" customHeight="1">
      <c r="A1856" s="10">
        <v>143480539</v>
      </c>
      <c r="B1856" s="15">
        <v>5540246183541</v>
      </c>
      <c r="C1856" s="32">
        <v>44917</v>
      </c>
      <c r="D1856" s="11">
        <v>1694</v>
      </c>
      <c r="E1856" s="14" t="str">
        <f>VLOOKUP(B1856, 'Catégorie des articles'!A:E, 4, FALSE)</f>
        <v>MIX LEGUMES</v>
      </c>
      <c r="F1856" s="14">
        <f t="shared" si="28"/>
        <v>202212</v>
      </c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</row>
    <row r="1857" spans="1:21" ht="12.75" customHeight="1">
      <c r="A1857" s="7">
        <v>143480539</v>
      </c>
      <c r="B1857" s="13">
        <v>5540246183555</v>
      </c>
      <c r="C1857" s="31">
        <v>44917</v>
      </c>
      <c r="D1857" s="8">
        <v>543</v>
      </c>
      <c r="E1857" s="14" t="str">
        <f>VLOOKUP(B1857, 'Catégorie des articles'!A:E, 4, FALSE)</f>
        <v>MIX LEGUMES</v>
      </c>
      <c r="F1857" s="14">
        <f t="shared" si="28"/>
        <v>202212</v>
      </c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</row>
    <row r="1858" spans="1:21" ht="12.75" customHeight="1">
      <c r="A1858" s="10">
        <v>143480539</v>
      </c>
      <c r="B1858" s="15">
        <v>5540246192571</v>
      </c>
      <c r="C1858" s="32">
        <v>44917</v>
      </c>
      <c r="D1858" s="11">
        <v>1203</v>
      </c>
      <c r="E1858" s="14" t="str">
        <f>VLOOKUP(B1858, 'Catégorie des articles'!A:E, 4, FALSE)</f>
        <v>MIX LEGUMES</v>
      </c>
      <c r="F1858" s="14">
        <f t="shared" ref="F1858:F1921" si="29">YEAR(C1858)*100 + MONTH(C1858)</f>
        <v>202212</v>
      </c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</row>
    <row r="1859" spans="1:21" ht="12.75" customHeight="1">
      <c r="A1859" s="10">
        <v>143480547</v>
      </c>
      <c r="B1859" s="15">
        <v>5540246193316</v>
      </c>
      <c r="C1859" s="32">
        <v>44933</v>
      </c>
      <c r="D1859" s="11">
        <v>557</v>
      </c>
      <c r="E1859" s="14" t="str">
        <f>VLOOKUP(B1859, 'Catégorie des articles'!A:E, 4, FALSE)</f>
        <v>BOULANGERIE</v>
      </c>
      <c r="F1859" s="14">
        <f t="shared" si="29"/>
        <v>202301</v>
      </c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</row>
    <row r="1860" spans="1:21" ht="12.75" customHeight="1">
      <c r="A1860" s="10">
        <v>143480552</v>
      </c>
      <c r="B1860" s="15">
        <v>5540246194632</v>
      </c>
      <c r="C1860" s="32">
        <v>44924</v>
      </c>
      <c r="D1860" s="11">
        <v>502</v>
      </c>
      <c r="E1860" s="14" t="str">
        <f>VLOOKUP(B1860, 'Catégorie des articles'!A:E, 4, FALSE)</f>
        <v>BOULANGERIE</v>
      </c>
      <c r="F1860" s="14">
        <f t="shared" si="29"/>
        <v>202212</v>
      </c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</row>
    <row r="1861" spans="1:21" ht="12.75" customHeight="1">
      <c r="A1861" s="10">
        <v>143480558</v>
      </c>
      <c r="B1861" s="15">
        <v>5540246171759</v>
      </c>
      <c r="C1861" s="32">
        <v>44924</v>
      </c>
      <c r="D1861" s="11">
        <v>8770</v>
      </c>
      <c r="E1861" s="14" t="str">
        <f>VLOOKUP(B1861, 'Catégorie des articles'!A:E, 4, FALSE)</f>
        <v>MIX LEGUMES</v>
      </c>
      <c r="F1861" s="14">
        <f t="shared" si="29"/>
        <v>202212</v>
      </c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</row>
    <row r="1862" spans="1:21" ht="12.75" customHeight="1">
      <c r="A1862" s="7">
        <v>143480558</v>
      </c>
      <c r="B1862" s="13">
        <v>5540246177133</v>
      </c>
      <c r="C1862" s="31">
        <v>44924</v>
      </c>
      <c r="D1862" s="8">
        <v>8909</v>
      </c>
      <c r="E1862" s="14" t="str">
        <f>VLOOKUP(B1862, 'Catégorie des articles'!A:E, 4, FALSE)</f>
        <v>MIX LEGUMES</v>
      </c>
      <c r="F1862" s="14">
        <f t="shared" si="29"/>
        <v>202212</v>
      </c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</row>
    <row r="1863" spans="1:21" ht="12.75" customHeight="1">
      <c r="A1863" s="10">
        <v>143480558</v>
      </c>
      <c r="B1863" s="15">
        <v>5540246192518</v>
      </c>
      <c r="C1863" s="32">
        <v>44924</v>
      </c>
      <c r="D1863" s="11">
        <v>4176</v>
      </c>
      <c r="E1863" s="14" t="str">
        <f>VLOOKUP(B1863, 'Catégorie des articles'!A:E, 4, FALSE)</f>
        <v>MIX LEGUMES</v>
      </c>
      <c r="F1863" s="14">
        <f t="shared" si="29"/>
        <v>202212</v>
      </c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</row>
    <row r="1864" spans="1:21" ht="12.75" customHeight="1">
      <c r="A1864" s="7">
        <v>143480563</v>
      </c>
      <c r="B1864" s="13">
        <v>5540246180522</v>
      </c>
      <c r="C1864" s="31">
        <v>44925</v>
      </c>
      <c r="D1864" s="8">
        <v>1838</v>
      </c>
      <c r="E1864" s="14" t="str">
        <f>VLOOKUP(B1864, 'Catégorie des articles'!A:E, 4, FALSE)</f>
        <v>BOULANGERIE</v>
      </c>
      <c r="F1864" s="14">
        <f t="shared" si="29"/>
        <v>202212</v>
      </c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</row>
    <row r="1865" spans="1:21" ht="12.75" customHeight="1">
      <c r="A1865" s="7">
        <v>143480574</v>
      </c>
      <c r="B1865" s="13">
        <v>5540246171933</v>
      </c>
      <c r="C1865" s="31">
        <v>44910</v>
      </c>
      <c r="D1865" s="8">
        <v>2228</v>
      </c>
      <c r="E1865" s="14" t="str">
        <f>VLOOKUP(B1865, 'Catégorie des articles'!A:E, 4, FALSE)</f>
        <v>CREMERIE</v>
      </c>
      <c r="F1865" s="14">
        <f t="shared" si="29"/>
        <v>202212</v>
      </c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</row>
    <row r="1866" spans="1:21" ht="12.75" customHeight="1">
      <c r="A1866" s="10">
        <v>143480574</v>
      </c>
      <c r="B1866" s="15">
        <v>5540246176295</v>
      </c>
      <c r="C1866" s="32">
        <v>44910</v>
      </c>
      <c r="D1866" s="11">
        <v>7424</v>
      </c>
      <c r="E1866" s="14" t="str">
        <f>VLOOKUP(B1866, 'Catégorie des articles'!A:E, 4, FALSE)</f>
        <v>CREMERIE</v>
      </c>
      <c r="F1866" s="14">
        <f t="shared" si="29"/>
        <v>202212</v>
      </c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</row>
    <row r="1867" spans="1:21" ht="12.75" customHeight="1">
      <c r="A1867" s="10">
        <v>143480574</v>
      </c>
      <c r="B1867" s="15">
        <v>5540246187987</v>
      </c>
      <c r="C1867" s="32">
        <v>44910</v>
      </c>
      <c r="D1867" s="11">
        <v>2228</v>
      </c>
      <c r="E1867" s="14" t="str">
        <f>VLOOKUP(B1867, 'Catégorie des articles'!A:E, 4, FALSE)</f>
        <v>CREMERIE</v>
      </c>
      <c r="F1867" s="14">
        <f t="shared" si="29"/>
        <v>202212</v>
      </c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</row>
    <row r="1868" spans="1:21" ht="12.75" customHeight="1">
      <c r="A1868" s="7">
        <v>143480575</v>
      </c>
      <c r="B1868" s="13">
        <v>5540246172978</v>
      </c>
      <c r="C1868" s="31">
        <v>44910</v>
      </c>
      <c r="D1868" s="8">
        <v>836</v>
      </c>
      <c r="E1868" s="14" t="str">
        <f>VLOOKUP(B1868, 'Catégorie des articles'!A:E, 4, FALSE)</f>
        <v>CREMERIE</v>
      </c>
      <c r="F1868" s="14">
        <f t="shared" si="29"/>
        <v>202212</v>
      </c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</row>
    <row r="1869" spans="1:21" ht="12.75" customHeight="1">
      <c r="A1869" s="10">
        <v>143480575</v>
      </c>
      <c r="B1869" s="15">
        <v>5540246174174</v>
      </c>
      <c r="C1869" s="32">
        <v>44910</v>
      </c>
      <c r="D1869" s="11">
        <v>348</v>
      </c>
      <c r="E1869" s="14" t="str">
        <f>VLOOKUP(B1869, 'Catégorie des articles'!A:E, 4, FALSE)</f>
        <v>CREMERIE</v>
      </c>
      <c r="F1869" s="14">
        <f t="shared" si="29"/>
        <v>202212</v>
      </c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</row>
    <row r="1870" spans="1:21" ht="12.75" customHeight="1">
      <c r="A1870" s="10">
        <v>143480575</v>
      </c>
      <c r="B1870" s="15">
        <v>5540246176699</v>
      </c>
      <c r="C1870" s="32">
        <v>44910</v>
      </c>
      <c r="D1870" s="11">
        <v>6264</v>
      </c>
      <c r="E1870" s="14" t="str">
        <f>VLOOKUP(B1870, 'Catégorie des articles'!A:E, 4, FALSE)</f>
        <v>CREMERIE</v>
      </c>
      <c r="F1870" s="14">
        <f t="shared" si="29"/>
        <v>202212</v>
      </c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</row>
    <row r="1871" spans="1:21" ht="12.75" customHeight="1">
      <c r="A1871" s="10">
        <v>143480575</v>
      </c>
      <c r="B1871" s="15">
        <v>5540246188175</v>
      </c>
      <c r="C1871" s="32">
        <v>44910</v>
      </c>
      <c r="D1871" s="11">
        <v>464</v>
      </c>
      <c r="E1871" s="14" t="str">
        <f>VLOOKUP(B1871, 'Catégorie des articles'!A:E, 4, FALSE)</f>
        <v>CREMERIE</v>
      </c>
      <c r="F1871" s="14">
        <f t="shared" si="29"/>
        <v>202212</v>
      </c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</row>
    <row r="1872" spans="1:21" ht="12.75" customHeight="1">
      <c r="A1872" s="7">
        <v>143480577</v>
      </c>
      <c r="B1872" s="13">
        <v>5540246191598</v>
      </c>
      <c r="C1872" s="31">
        <v>44911</v>
      </c>
      <c r="D1872" s="8">
        <v>1601</v>
      </c>
      <c r="E1872" s="14" t="str">
        <f>VLOOKUP(B1872, 'Catégorie des articles'!A:E, 4, FALSE)</f>
        <v>CREMERIE</v>
      </c>
      <c r="F1872" s="14">
        <f t="shared" si="29"/>
        <v>202212</v>
      </c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</row>
    <row r="1873" spans="1:21" ht="12.75" customHeight="1">
      <c r="A1873" s="10">
        <v>143480581</v>
      </c>
      <c r="B1873" s="15">
        <v>5540246188200</v>
      </c>
      <c r="C1873" s="32">
        <v>44907</v>
      </c>
      <c r="D1873" s="11">
        <v>483</v>
      </c>
      <c r="E1873" s="14" t="str">
        <f>VLOOKUP(B1873, 'Catégorie des articles'!A:E, 4, FALSE)</f>
        <v>CREMERIE</v>
      </c>
      <c r="F1873" s="14">
        <f t="shared" si="29"/>
        <v>202212</v>
      </c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</row>
    <row r="1874" spans="1:21" ht="12.75" customHeight="1">
      <c r="A1874" s="7">
        <v>143480592</v>
      </c>
      <c r="B1874" s="13">
        <v>5540246173472</v>
      </c>
      <c r="C1874" s="31">
        <v>44914</v>
      </c>
      <c r="D1874" s="8">
        <v>279</v>
      </c>
      <c r="E1874" s="14" t="str">
        <f>VLOOKUP(B1874, 'Catégorie des articles'!A:E, 4, FALSE)</f>
        <v>CREMERIE</v>
      </c>
      <c r="F1874" s="14">
        <f t="shared" si="29"/>
        <v>202212</v>
      </c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</row>
    <row r="1875" spans="1:21" ht="12.75" customHeight="1">
      <c r="A1875" s="10">
        <v>143480592</v>
      </c>
      <c r="B1875" s="15">
        <v>5540246174095</v>
      </c>
      <c r="C1875" s="32">
        <v>44914</v>
      </c>
      <c r="D1875" s="11">
        <v>70</v>
      </c>
      <c r="E1875" s="14" t="str">
        <f>VLOOKUP(B1875, 'Catégorie des articles'!A:E, 4, FALSE)</f>
        <v>CREMERIE</v>
      </c>
      <c r="F1875" s="14">
        <f t="shared" si="29"/>
        <v>202212</v>
      </c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</row>
    <row r="1876" spans="1:21" ht="12.75" customHeight="1">
      <c r="A1876" s="7">
        <v>143480592</v>
      </c>
      <c r="B1876" s="13">
        <v>5540246175047</v>
      </c>
      <c r="C1876" s="31">
        <v>44914</v>
      </c>
      <c r="D1876" s="8">
        <v>279</v>
      </c>
      <c r="E1876" s="14" t="str">
        <f>VLOOKUP(B1876, 'Catégorie des articles'!A:E, 4, FALSE)</f>
        <v>CREMERIE</v>
      </c>
      <c r="F1876" s="14">
        <f t="shared" si="29"/>
        <v>202212</v>
      </c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</row>
    <row r="1877" spans="1:21" ht="12.75" customHeight="1">
      <c r="A1877" s="10">
        <v>143480592</v>
      </c>
      <c r="B1877" s="15">
        <v>5540246175049</v>
      </c>
      <c r="C1877" s="32">
        <v>44914</v>
      </c>
      <c r="D1877" s="11">
        <v>557</v>
      </c>
      <c r="E1877" s="14" t="str">
        <f>VLOOKUP(B1877, 'Catégorie des articles'!A:E, 4, FALSE)</f>
        <v>CREMERIE</v>
      </c>
      <c r="F1877" s="14">
        <f t="shared" si="29"/>
        <v>202212</v>
      </c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</row>
    <row r="1878" spans="1:21" ht="12.75" customHeight="1">
      <c r="A1878" s="7">
        <v>143480592</v>
      </c>
      <c r="B1878" s="13">
        <v>5540246175050</v>
      </c>
      <c r="C1878" s="31">
        <v>44914</v>
      </c>
      <c r="D1878" s="8">
        <v>557</v>
      </c>
      <c r="E1878" s="14" t="str">
        <f>VLOOKUP(B1878, 'Catégorie des articles'!A:E, 4, FALSE)</f>
        <v>CREMERIE</v>
      </c>
      <c r="F1878" s="14">
        <f t="shared" si="29"/>
        <v>202212</v>
      </c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</row>
    <row r="1879" spans="1:21" ht="12.75" customHeight="1">
      <c r="A1879" s="10">
        <v>143480608</v>
      </c>
      <c r="B1879" s="15">
        <v>5540246176294</v>
      </c>
      <c r="C1879" s="32">
        <v>44911</v>
      </c>
      <c r="D1879" s="11">
        <v>1485</v>
      </c>
      <c r="E1879" s="14" t="str">
        <f>VLOOKUP(B1879, 'Catégorie des articles'!A:E, 4, FALSE)</f>
        <v>CREMERIE</v>
      </c>
      <c r="F1879" s="14">
        <f t="shared" si="29"/>
        <v>202212</v>
      </c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</row>
    <row r="1880" spans="1:21" ht="12.75" customHeight="1">
      <c r="A1880" s="7">
        <v>143480608</v>
      </c>
      <c r="B1880" s="13">
        <v>5540246176295</v>
      </c>
      <c r="C1880" s="31">
        <v>44911</v>
      </c>
      <c r="D1880" s="8">
        <v>7424</v>
      </c>
      <c r="E1880" s="14" t="str">
        <f>VLOOKUP(B1880, 'Catégorie des articles'!A:E, 4, FALSE)</f>
        <v>CREMERIE</v>
      </c>
      <c r="F1880" s="14">
        <f t="shared" si="29"/>
        <v>202212</v>
      </c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</row>
    <row r="1881" spans="1:21" ht="12.75" customHeight="1">
      <c r="A1881" s="10">
        <v>143480608</v>
      </c>
      <c r="B1881" s="15">
        <v>5540246187987</v>
      </c>
      <c r="C1881" s="32">
        <v>44911</v>
      </c>
      <c r="D1881" s="11">
        <v>4455</v>
      </c>
      <c r="E1881" s="14" t="str">
        <f>VLOOKUP(B1881, 'Catégorie des articles'!A:E, 4, FALSE)</f>
        <v>CREMERIE</v>
      </c>
      <c r="F1881" s="14">
        <f t="shared" si="29"/>
        <v>202212</v>
      </c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</row>
    <row r="1882" spans="1:21" ht="12.75" customHeight="1">
      <c r="A1882" s="7">
        <v>143480609</v>
      </c>
      <c r="B1882" s="13">
        <v>5540246176699</v>
      </c>
      <c r="C1882" s="31">
        <v>44911</v>
      </c>
      <c r="D1882" s="8">
        <v>6264</v>
      </c>
      <c r="E1882" s="14" t="str">
        <f>VLOOKUP(B1882, 'Catégorie des articles'!A:E, 4, FALSE)</f>
        <v>CREMERIE</v>
      </c>
      <c r="F1882" s="14">
        <f t="shared" si="29"/>
        <v>202212</v>
      </c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</row>
    <row r="1883" spans="1:21" ht="12.75" customHeight="1">
      <c r="A1883" s="10">
        <v>143480616</v>
      </c>
      <c r="B1883" s="15">
        <v>5540246193878</v>
      </c>
      <c r="C1883" s="32">
        <v>44947</v>
      </c>
      <c r="D1883" s="11">
        <v>24500</v>
      </c>
      <c r="E1883" s="14" t="str">
        <f>VLOOKUP(B1883, 'Catégorie des articles'!A:E, 4, FALSE)</f>
        <v>VOLAILLE</v>
      </c>
      <c r="F1883" s="14">
        <f t="shared" si="29"/>
        <v>202301</v>
      </c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</row>
    <row r="1884" spans="1:21" ht="12.75" customHeight="1">
      <c r="A1884" s="10">
        <v>143480620</v>
      </c>
      <c r="B1884" s="15">
        <v>5540246188200</v>
      </c>
      <c r="C1884" s="32">
        <v>44907</v>
      </c>
      <c r="D1884" s="11">
        <v>10654</v>
      </c>
      <c r="E1884" s="14" t="str">
        <f>VLOOKUP(B1884, 'Catégorie des articles'!A:E, 4, FALSE)</f>
        <v>CREMERIE</v>
      </c>
      <c r="F1884" s="14">
        <f t="shared" si="29"/>
        <v>202212</v>
      </c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</row>
    <row r="1885" spans="1:21" ht="12.75" customHeight="1">
      <c r="A1885" s="7">
        <v>143480621</v>
      </c>
      <c r="B1885" s="13">
        <v>5540246194632</v>
      </c>
      <c r="C1885" s="31">
        <v>44920</v>
      </c>
      <c r="D1885" s="8">
        <v>613</v>
      </c>
      <c r="E1885" s="14" t="str">
        <f>VLOOKUP(B1885, 'Catégorie des articles'!A:E, 4, FALSE)</f>
        <v>BOULANGERIE</v>
      </c>
      <c r="F1885" s="14">
        <f t="shared" si="29"/>
        <v>202212</v>
      </c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</row>
    <row r="1886" spans="1:21" ht="12.75" customHeight="1">
      <c r="A1886" s="10">
        <v>143480621</v>
      </c>
      <c r="B1886" s="15">
        <v>5540246195250</v>
      </c>
      <c r="C1886" s="32">
        <v>44920</v>
      </c>
      <c r="D1886" s="11">
        <v>251</v>
      </c>
      <c r="E1886" s="14" t="str">
        <f>VLOOKUP(B1886, 'Catégorie des articles'!A:E, 4, FALSE)</f>
        <v>BOULANGERIE</v>
      </c>
      <c r="F1886" s="14">
        <f t="shared" si="29"/>
        <v>202212</v>
      </c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</row>
    <row r="1887" spans="1:21" ht="12.75" customHeight="1">
      <c r="A1887" s="7">
        <v>143480645</v>
      </c>
      <c r="B1887" s="13">
        <v>5540246182684</v>
      </c>
      <c r="C1887" s="31">
        <v>44921</v>
      </c>
      <c r="D1887" s="8">
        <v>325</v>
      </c>
      <c r="E1887" s="14" t="str">
        <f>VLOOKUP(B1887, 'Catégorie des articles'!A:E, 4, FALSE)</f>
        <v>BOULANGERIE</v>
      </c>
      <c r="F1887" s="14">
        <f t="shared" si="29"/>
        <v>202212</v>
      </c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</row>
    <row r="1888" spans="1:21" ht="12.75" customHeight="1">
      <c r="A1888" s="10">
        <v>143480645</v>
      </c>
      <c r="B1888" s="15">
        <v>5540246183844</v>
      </c>
      <c r="C1888" s="32">
        <v>44921</v>
      </c>
      <c r="D1888" s="11">
        <v>186</v>
      </c>
      <c r="E1888" s="14" t="str">
        <f>VLOOKUP(B1888, 'Catégorie des articles'!A:E, 4, FALSE)</f>
        <v>BOULANGERIE</v>
      </c>
      <c r="F1888" s="14">
        <f t="shared" si="29"/>
        <v>202212</v>
      </c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</row>
    <row r="1889" spans="1:21" ht="12.75" customHeight="1">
      <c r="A1889" s="10">
        <v>143480649</v>
      </c>
      <c r="B1889" s="15">
        <v>5540246183558</v>
      </c>
      <c r="C1889" s="32">
        <v>44920</v>
      </c>
      <c r="D1889" s="11">
        <v>1300</v>
      </c>
      <c r="E1889" s="14" t="str">
        <f>VLOOKUP(B1889, 'Catégorie des articles'!A:E, 4, FALSE)</f>
        <v>MIX LEGUMES</v>
      </c>
      <c r="F1889" s="14">
        <f t="shared" si="29"/>
        <v>202212</v>
      </c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</row>
    <row r="1890" spans="1:21" ht="12.75" customHeight="1">
      <c r="A1890" s="7">
        <v>143480649</v>
      </c>
      <c r="B1890" s="13">
        <v>5540246192594</v>
      </c>
      <c r="C1890" s="31">
        <v>44920</v>
      </c>
      <c r="D1890" s="8">
        <v>2970</v>
      </c>
      <c r="E1890" s="14" t="str">
        <f>VLOOKUP(B1890, 'Catégorie des articles'!A:E, 4, FALSE)</f>
        <v>MIX LEGUMES</v>
      </c>
      <c r="F1890" s="14">
        <f t="shared" si="29"/>
        <v>202212</v>
      </c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</row>
    <row r="1891" spans="1:21" ht="12.75" customHeight="1">
      <c r="A1891" s="7">
        <v>143480651</v>
      </c>
      <c r="B1891" s="13">
        <v>5540246183589</v>
      </c>
      <c r="C1891" s="31">
        <v>44925</v>
      </c>
      <c r="D1891" s="8">
        <v>1300</v>
      </c>
      <c r="E1891" s="14" t="str">
        <f>VLOOKUP(B1891, 'Catégorie des articles'!A:E, 4, FALSE)</f>
        <v>MIX LEGUMES</v>
      </c>
      <c r="F1891" s="14">
        <f t="shared" si="29"/>
        <v>202212</v>
      </c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</row>
    <row r="1892" spans="1:21" ht="12.75" customHeight="1">
      <c r="A1892" s="10">
        <v>143480651</v>
      </c>
      <c r="B1892" s="15">
        <v>5540246194790</v>
      </c>
      <c r="C1892" s="32">
        <v>44925</v>
      </c>
      <c r="D1892" s="11">
        <v>1316</v>
      </c>
      <c r="E1892" s="14" t="str">
        <f>VLOOKUP(B1892, 'Catégorie des articles'!A:E, 4, FALSE)</f>
        <v>MIX LEGUMES</v>
      </c>
      <c r="F1892" s="14">
        <f t="shared" si="29"/>
        <v>202212</v>
      </c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</row>
    <row r="1893" spans="1:21" ht="12.75" customHeight="1">
      <c r="A1893" s="7">
        <v>143480653</v>
      </c>
      <c r="B1893" s="13">
        <v>5540246195241</v>
      </c>
      <c r="C1893" s="31">
        <v>44926</v>
      </c>
      <c r="D1893" s="8">
        <v>743</v>
      </c>
      <c r="E1893" s="14" t="str">
        <f>VLOOKUP(B1893, 'Catégorie des articles'!A:E, 4, FALSE)</f>
        <v>MIX LEGUMES</v>
      </c>
      <c r="F1893" s="14">
        <f t="shared" si="29"/>
        <v>202212</v>
      </c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</row>
    <row r="1894" spans="1:21" ht="12.75" customHeight="1">
      <c r="A1894" s="7">
        <v>143480655</v>
      </c>
      <c r="B1894" s="13">
        <v>5540246195653</v>
      </c>
      <c r="C1894" s="31">
        <v>44925</v>
      </c>
      <c r="D1894" s="8">
        <v>168</v>
      </c>
      <c r="E1894" s="14" t="str">
        <f>VLOOKUP(B1894, 'Catégorie des articles'!A:E, 4, FALSE)</f>
        <v>EMBALLAGES</v>
      </c>
      <c r="F1894" s="14">
        <f t="shared" si="29"/>
        <v>202212</v>
      </c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</row>
    <row r="1895" spans="1:21" ht="12.75" customHeight="1">
      <c r="A1895" s="10">
        <v>143490660</v>
      </c>
      <c r="B1895" s="15">
        <v>5540246172978</v>
      </c>
      <c r="C1895" s="32">
        <v>44912</v>
      </c>
      <c r="D1895" s="11">
        <v>1671</v>
      </c>
      <c r="E1895" s="14" t="str">
        <f>VLOOKUP(B1895, 'Catégorie des articles'!A:E, 4, FALSE)</f>
        <v>CREMERIE</v>
      </c>
      <c r="F1895" s="14">
        <f t="shared" si="29"/>
        <v>202212</v>
      </c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</row>
    <row r="1896" spans="1:21" ht="12.75" customHeight="1">
      <c r="A1896" s="10">
        <v>143490660</v>
      </c>
      <c r="B1896" s="15">
        <v>5540246174174</v>
      </c>
      <c r="C1896" s="32">
        <v>44912</v>
      </c>
      <c r="D1896" s="11">
        <v>348</v>
      </c>
      <c r="E1896" s="14" t="str">
        <f>VLOOKUP(B1896, 'Catégorie des articles'!A:E, 4, FALSE)</f>
        <v>CREMERIE</v>
      </c>
      <c r="F1896" s="14">
        <f t="shared" si="29"/>
        <v>202212</v>
      </c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</row>
    <row r="1897" spans="1:21" ht="12.75" customHeight="1">
      <c r="A1897" s="7">
        <v>143490660</v>
      </c>
      <c r="B1897" s="13">
        <v>5540246188175</v>
      </c>
      <c r="C1897" s="31">
        <v>44912</v>
      </c>
      <c r="D1897" s="8">
        <v>232</v>
      </c>
      <c r="E1897" s="14" t="str">
        <f>VLOOKUP(B1897, 'Catégorie des articles'!A:E, 4, FALSE)</f>
        <v>CREMERIE</v>
      </c>
      <c r="F1897" s="14">
        <f t="shared" si="29"/>
        <v>202212</v>
      </c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</row>
    <row r="1898" spans="1:21" ht="12.75" customHeight="1">
      <c r="A1898" s="7">
        <v>143490662</v>
      </c>
      <c r="B1898" s="13">
        <v>5540246171933</v>
      </c>
      <c r="C1898" s="31">
        <v>44912</v>
      </c>
      <c r="D1898" s="8">
        <v>1671</v>
      </c>
      <c r="E1898" s="14" t="str">
        <f>VLOOKUP(B1898, 'Catégorie des articles'!A:E, 4, FALSE)</f>
        <v>CREMERIE</v>
      </c>
      <c r="F1898" s="14">
        <f t="shared" si="29"/>
        <v>202212</v>
      </c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</row>
    <row r="1899" spans="1:21" ht="12.75" customHeight="1">
      <c r="A1899" s="7">
        <v>143490682</v>
      </c>
      <c r="B1899" s="13">
        <v>5540246183560</v>
      </c>
      <c r="C1899" s="31">
        <v>44917</v>
      </c>
      <c r="D1899" s="8">
        <v>669</v>
      </c>
      <c r="E1899" s="14" t="str">
        <f>VLOOKUP(B1899, 'Catégorie des articles'!A:E, 4, FALSE)</f>
        <v>MIX LEGUMES</v>
      </c>
      <c r="F1899" s="14">
        <f t="shared" si="29"/>
        <v>202212</v>
      </c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</row>
    <row r="1900" spans="1:21" ht="12.75" customHeight="1">
      <c r="A1900" s="10">
        <v>143490683</v>
      </c>
      <c r="B1900" s="15">
        <v>5540246170256</v>
      </c>
      <c r="C1900" s="32">
        <v>44947</v>
      </c>
      <c r="D1900" s="11">
        <v>3174</v>
      </c>
      <c r="E1900" s="14" t="str">
        <f>VLOOKUP(B1900, 'Catégorie des articles'!A:E, 4, FALSE)</f>
        <v>BOULANGERIE</v>
      </c>
      <c r="F1900" s="14">
        <f t="shared" si="29"/>
        <v>202301</v>
      </c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</row>
    <row r="1901" spans="1:21" ht="12.75" customHeight="1">
      <c r="A1901" s="7">
        <v>143490683</v>
      </c>
      <c r="B1901" s="13">
        <v>5540246171888</v>
      </c>
      <c r="C1901" s="31">
        <v>44947</v>
      </c>
      <c r="D1901" s="8">
        <v>520</v>
      </c>
      <c r="E1901" s="14" t="str">
        <f>VLOOKUP(B1901, 'Catégorie des articles'!A:E, 4, FALSE)</f>
        <v>BOULANGERIE</v>
      </c>
      <c r="F1901" s="14">
        <f t="shared" si="29"/>
        <v>202301</v>
      </c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</row>
    <row r="1902" spans="1:21" ht="12.75" customHeight="1">
      <c r="A1902" s="7">
        <v>143490693</v>
      </c>
      <c r="B1902" s="13">
        <v>5540246194632</v>
      </c>
      <c r="C1902" s="31">
        <v>44928</v>
      </c>
      <c r="D1902" s="8">
        <v>826</v>
      </c>
      <c r="E1902" s="14" t="str">
        <f>VLOOKUP(B1902, 'Catégorie des articles'!A:E, 4, FALSE)</f>
        <v>BOULANGERIE</v>
      </c>
      <c r="F1902" s="14">
        <f t="shared" si="29"/>
        <v>202301</v>
      </c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</row>
    <row r="1903" spans="1:21" ht="12.75" customHeight="1">
      <c r="A1903" s="10">
        <v>143490694</v>
      </c>
      <c r="B1903" s="15">
        <v>5540246195250</v>
      </c>
      <c r="C1903" s="32">
        <v>44932</v>
      </c>
      <c r="D1903" s="11">
        <v>502</v>
      </c>
      <c r="E1903" s="14" t="str">
        <f>VLOOKUP(B1903, 'Catégorie des articles'!A:E, 4, FALSE)</f>
        <v>BOULANGERIE</v>
      </c>
      <c r="F1903" s="14">
        <f t="shared" si="29"/>
        <v>202301</v>
      </c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</row>
    <row r="1904" spans="1:21" ht="12.75" customHeight="1">
      <c r="A1904" s="7">
        <v>143490694</v>
      </c>
      <c r="B1904" s="13">
        <v>5540246196046</v>
      </c>
      <c r="C1904" s="31">
        <v>44932</v>
      </c>
      <c r="D1904" s="8">
        <v>335</v>
      </c>
      <c r="E1904" s="14" t="str">
        <f>VLOOKUP(B1904, 'Catégorie des articles'!A:E, 4, FALSE)</f>
        <v>BOULANGERIE</v>
      </c>
      <c r="F1904" s="14">
        <f t="shared" si="29"/>
        <v>202301</v>
      </c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</row>
    <row r="1905" spans="1:21" ht="12.75" customHeight="1">
      <c r="A1905" s="10">
        <v>143490711</v>
      </c>
      <c r="B1905" s="15">
        <v>5540246174095</v>
      </c>
      <c r="C1905" s="32">
        <v>44919</v>
      </c>
      <c r="D1905" s="11">
        <v>70</v>
      </c>
      <c r="E1905" s="14" t="str">
        <f>VLOOKUP(B1905, 'Catégorie des articles'!A:E, 4, FALSE)</f>
        <v>CREMERIE</v>
      </c>
      <c r="F1905" s="14">
        <f t="shared" si="29"/>
        <v>202212</v>
      </c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</row>
    <row r="1906" spans="1:21" ht="12.75" customHeight="1">
      <c r="A1906" s="7">
        <v>143490711</v>
      </c>
      <c r="B1906" s="13">
        <v>5540246175049</v>
      </c>
      <c r="C1906" s="31">
        <v>44919</v>
      </c>
      <c r="D1906" s="8">
        <v>696</v>
      </c>
      <c r="E1906" s="14" t="str">
        <f>VLOOKUP(B1906, 'Catégorie des articles'!A:E, 4, FALSE)</f>
        <v>CREMERIE</v>
      </c>
      <c r="F1906" s="14">
        <f t="shared" si="29"/>
        <v>202212</v>
      </c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</row>
    <row r="1907" spans="1:21" ht="12.75" customHeight="1">
      <c r="A1907" s="10">
        <v>143490711</v>
      </c>
      <c r="B1907" s="15">
        <v>5540246175050</v>
      </c>
      <c r="C1907" s="32">
        <v>44919</v>
      </c>
      <c r="D1907" s="11">
        <v>279</v>
      </c>
      <c r="E1907" s="14" t="str">
        <f>VLOOKUP(B1907, 'Catégorie des articles'!A:E, 4, FALSE)</f>
        <v>CREMERIE</v>
      </c>
      <c r="F1907" s="14">
        <f t="shared" si="29"/>
        <v>202212</v>
      </c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</row>
    <row r="1908" spans="1:21" ht="12.75" customHeight="1">
      <c r="A1908" s="10">
        <v>143490732</v>
      </c>
      <c r="B1908" s="15">
        <v>5540246196148</v>
      </c>
      <c r="C1908" s="32">
        <v>44942</v>
      </c>
      <c r="D1908" s="11">
        <v>975</v>
      </c>
      <c r="E1908" s="14" t="str">
        <f>VLOOKUP(B1908, 'Catégorie des articles'!A:E, 4, FALSE)</f>
        <v>EMBALLAGES</v>
      </c>
      <c r="F1908" s="14">
        <f t="shared" si="29"/>
        <v>202301</v>
      </c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</row>
    <row r="1909" spans="1:21" ht="12.75" customHeight="1">
      <c r="A1909" s="10">
        <v>143490736</v>
      </c>
      <c r="B1909" s="15">
        <v>5540246172539</v>
      </c>
      <c r="C1909" s="32">
        <v>44914</v>
      </c>
      <c r="D1909" s="11">
        <v>24</v>
      </c>
      <c r="E1909" s="14" t="str">
        <f>VLOOKUP(B1909, 'Catégorie des articles'!A:E, 4, FALSE)</f>
        <v>CREMERIE</v>
      </c>
      <c r="F1909" s="14">
        <f t="shared" si="29"/>
        <v>202212</v>
      </c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</row>
    <row r="1910" spans="1:21" ht="12.75" customHeight="1">
      <c r="A1910" s="7">
        <v>143490736</v>
      </c>
      <c r="B1910" s="13">
        <v>5540246172669</v>
      </c>
      <c r="C1910" s="31">
        <v>44914</v>
      </c>
      <c r="D1910" s="8">
        <v>279</v>
      </c>
      <c r="E1910" s="14" t="str">
        <f>VLOOKUP(B1910, 'Catégorie des articles'!A:E, 4, FALSE)</f>
        <v>CREMERIE</v>
      </c>
      <c r="F1910" s="14">
        <f t="shared" si="29"/>
        <v>202212</v>
      </c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</row>
    <row r="1911" spans="1:21" ht="12.75" customHeight="1">
      <c r="A1911" s="10">
        <v>143490736</v>
      </c>
      <c r="B1911" s="15">
        <v>5540246172978</v>
      </c>
      <c r="C1911" s="32">
        <v>44914</v>
      </c>
      <c r="D1911" s="11">
        <v>1671</v>
      </c>
      <c r="E1911" s="14" t="str">
        <f>VLOOKUP(B1911, 'Catégorie des articles'!A:E, 4, FALSE)</f>
        <v>CREMERIE</v>
      </c>
      <c r="F1911" s="14">
        <f t="shared" si="29"/>
        <v>202212</v>
      </c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</row>
    <row r="1912" spans="1:21" ht="12.75" customHeight="1">
      <c r="A1912" s="10">
        <v>143490736</v>
      </c>
      <c r="B1912" s="15">
        <v>5540246174174</v>
      </c>
      <c r="C1912" s="32">
        <v>44914</v>
      </c>
      <c r="D1912" s="11">
        <v>232</v>
      </c>
      <c r="E1912" s="14" t="str">
        <f>VLOOKUP(B1912, 'Catégorie des articles'!A:E, 4, FALSE)</f>
        <v>CREMERIE</v>
      </c>
      <c r="F1912" s="14">
        <f t="shared" si="29"/>
        <v>202212</v>
      </c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</row>
    <row r="1913" spans="1:21" ht="12.75" customHeight="1">
      <c r="A1913" s="7">
        <v>143490736</v>
      </c>
      <c r="B1913" s="13">
        <v>5540246176699</v>
      </c>
      <c r="C1913" s="31">
        <v>44914</v>
      </c>
      <c r="D1913" s="8">
        <v>6264</v>
      </c>
      <c r="E1913" s="14" t="str">
        <f>VLOOKUP(B1913, 'Catégorie des articles'!A:E, 4, FALSE)</f>
        <v>CREMERIE</v>
      </c>
      <c r="F1913" s="14">
        <f t="shared" si="29"/>
        <v>202212</v>
      </c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</row>
    <row r="1914" spans="1:21" ht="12.75" customHeight="1">
      <c r="A1914" s="10">
        <v>143490737</v>
      </c>
      <c r="B1914" s="15">
        <v>5540246171933</v>
      </c>
      <c r="C1914" s="32">
        <v>44914</v>
      </c>
      <c r="D1914" s="11">
        <v>1114</v>
      </c>
      <c r="E1914" s="14" t="str">
        <f>VLOOKUP(B1914, 'Catégorie des articles'!A:E, 4, FALSE)</f>
        <v>CREMERIE</v>
      </c>
      <c r="F1914" s="14">
        <f t="shared" si="29"/>
        <v>202212</v>
      </c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</row>
    <row r="1915" spans="1:21" ht="12.75" customHeight="1">
      <c r="A1915" s="7">
        <v>143490737</v>
      </c>
      <c r="B1915" s="13">
        <v>5540246176294</v>
      </c>
      <c r="C1915" s="31">
        <v>44914</v>
      </c>
      <c r="D1915" s="8">
        <v>1485</v>
      </c>
      <c r="E1915" s="14" t="str">
        <f>VLOOKUP(B1915, 'Catégorie des articles'!A:E, 4, FALSE)</f>
        <v>CREMERIE</v>
      </c>
      <c r="F1915" s="14">
        <f t="shared" si="29"/>
        <v>202212</v>
      </c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</row>
    <row r="1916" spans="1:21" ht="12.75" customHeight="1">
      <c r="A1916" s="10">
        <v>143490737</v>
      </c>
      <c r="B1916" s="15">
        <v>5540246176295</v>
      </c>
      <c r="C1916" s="32">
        <v>44914</v>
      </c>
      <c r="D1916" s="11">
        <v>6682</v>
      </c>
      <c r="E1916" s="14" t="str">
        <f>VLOOKUP(B1916, 'Catégorie des articles'!A:E, 4, FALSE)</f>
        <v>CREMERIE</v>
      </c>
      <c r="F1916" s="14">
        <f t="shared" si="29"/>
        <v>202212</v>
      </c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</row>
    <row r="1917" spans="1:21" ht="12.75" customHeight="1">
      <c r="A1917" s="10">
        <v>143490737</v>
      </c>
      <c r="B1917" s="15">
        <v>5540246187987</v>
      </c>
      <c r="C1917" s="32">
        <v>44914</v>
      </c>
      <c r="D1917" s="11">
        <v>3341</v>
      </c>
      <c r="E1917" s="14" t="str">
        <f>VLOOKUP(B1917, 'Catégorie des articles'!A:E, 4, FALSE)</f>
        <v>CREMERIE</v>
      </c>
      <c r="F1917" s="14">
        <f t="shared" si="29"/>
        <v>202212</v>
      </c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</row>
    <row r="1918" spans="1:21" ht="12.75" customHeight="1">
      <c r="A1918" s="10">
        <v>143490747</v>
      </c>
      <c r="B1918" s="15">
        <v>5540246188175</v>
      </c>
      <c r="C1918" s="32">
        <v>44918</v>
      </c>
      <c r="D1918" s="11">
        <v>836</v>
      </c>
      <c r="E1918" s="14" t="str">
        <f>VLOOKUP(B1918, 'Catégorie des articles'!A:E, 4, FALSE)</f>
        <v>CREMERIE</v>
      </c>
      <c r="F1918" s="14">
        <f t="shared" si="29"/>
        <v>202212</v>
      </c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</row>
    <row r="1919" spans="1:21" ht="12.75" customHeight="1">
      <c r="A1919" s="10">
        <v>143490761</v>
      </c>
      <c r="B1919" s="15">
        <v>5540246191394</v>
      </c>
      <c r="C1919" s="32">
        <v>44948</v>
      </c>
      <c r="D1919" s="11">
        <v>418</v>
      </c>
      <c r="E1919" s="14" t="str">
        <f>VLOOKUP(B1919, 'Catégorie des articles'!A:E, 4, FALSE)</f>
        <v>CREMERIE</v>
      </c>
      <c r="F1919" s="14">
        <f t="shared" si="29"/>
        <v>202301</v>
      </c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</row>
    <row r="1920" spans="1:21" ht="12.75" customHeight="1">
      <c r="A1920" s="10">
        <v>143490763</v>
      </c>
      <c r="B1920" s="15">
        <v>5540246196002</v>
      </c>
      <c r="C1920" s="32">
        <v>44948</v>
      </c>
      <c r="D1920" s="11">
        <v>423</v>
      </c>
      <c r="E1920" s="14" t="str">
        <f>VLOOKUP(B1920, 'Catégorie des articles'!A:E, 4, FALSE)</f>
        <v>CREMERIE</v>
      </c>
      <c r="F1920" s="14">
        <f t="shared" si="29"/>
        <v>202301</v>
      </c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</row>
    <row r="1921" spans="1:21" ht="12.75" customHeight="1">
      <c r="A1921" s="10">
        <v>143490765</v>
      </c>
      <c r="B1921" s="15">
        <v>5540246177133</v>
      </c>
      <c r="C1921" s="32">
        <v>44931</v>
      </c>
      <c r="D1921" s="11">
        <v>6125</v>
      </c>
      <c r="E1921" s="14" t="str">
        <f>VLOOKUP(B1921, 'Catégorie des articles'!A:E, 4, FALSE)</f>
        <v>MIX LEGUMES</v>
      </c>
      <c r="F1921" s="14">
        <f t="shared" si="29"/>
        <v>202301</v>
      </c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</row>
    <row r="1922" spans="1:21" ht="12.75" customHeight="1">
      <c r="A1922" s="7">
        <v>143490765</v>
      </c>
      <c r="B1922" s="13">
        <v>5540246192148</v>
      </c>
      <c r="C1922" s="31">
        <v>44931</v>
      </c>
      <c r="D1922" s="8">
        <v>13920</v>
      </c>
      <c r="E1922" s="14" t="str">
        <f>VLOOKUP(B1922, 'Catégorie des articles'!A:E, 4, FALSE)</f>
        <v>MIX LEGUMES</v>
      </c>
      <c r="F1922" s="14">
        <f t="shared" ref="F1922:F1985" si="30">YEAR(C1922)*100 + MONTH(C1922)</f>
        <v>202301</v>
      </c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</row>
    <row r="1923" spans="1:21" ht="12.75" customHeight="1">
      <c r="A1923" s="10">
        <v>143490765</v>
      </c>
      <c r="B1923" s="15">
        <v>5540246192518</v>
      </c>
      <c r="C1923" s="32">
        <v>44931</v>
      </c>
      <c r="D1923" s="11">
        <v>9396</v>
      </c>
      <c r="E1923" s="14" t="str">
        <f>VLOOKUP(B1923, 'Catégorie des articles'!A:E, 4, FALSE)</f>
        <v>MIX LEGUMES</v>
      </c>
      <c r="F1923" s="14">
        <f t="shared" si="30"/>
        <v>202301</v>
      </c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</row>
    <row r="1924" spans="1:21" ht="12.75" customHeight="1">
      <c r="A1924" s="10">
        <v>143490767</v>
      </c>
      <c r="B1924" s="15">
        <v>5540246177376</v>
      </c>
      <c r="C1924" s="32">
        <v>44932</v>
      </c>
      <c r="D1924" s="11">
        <v>1253</v>
      </c>
      <c r="E1924" s="14" t="str">
        <f>VLOOKUP(B1924, 'Catégorie des articles'!A:E, 4, FALSE)</f>
        <v>BOULANGERIE</v>
      </c>
      <c r="F1924" s="14">
        <f t="shared" si="30"/>
        <v>202301</v>
      </c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</row>
    <row r="1925" spans="1:21" ht="12.75" customHeight="1">
      <c r="A1925" s="10">
        <v>143490772</v>
      </c>
      <c r="B1925" s="15">
        <v>5540246170256</v>
      </c>
      <c r="C1925" s="32">
        <v>44947</v>
      </c>
      <c r="D1925" s="11">
        <v>2116</v>
      </c>
      <c r="E1925" s="14" t="str">
        <f>VLOOKUP(B1925, 'Catégorie des articles'!A:E, 4, FALSE)</f>
        <v>BOULANGERIE</v>
      </c>
      <c r="F1925" s="14">
        <f t="shared" si="30"/>
        <v>202301</v>
      </c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</row>
    <row r="1926" spans="1:21" ht="12.75" customHeight="1">
      <c r="A1926" s="7">
        <v>143490772</v>
      </c>
      <c r="B1926" s="13">
        <v>5540246171888</v>
      </c>
      <c r="C1926" s="31">
        <v>44947</v>
      </c>
      <c r="D1926" s="8">
        <v>1040</v>
      </c>
      <c r="E1926" s="14" t="str">
        <f>VLOOKUP(B1926, 'Catégorie des articles'!A:E, 4, FALSE)</f>
        <v>BOULANGERIE</v>
      </c>
      <c r="F1926" s="14">
        <f t="shared" si="30"/>
        <v>202301</v>
      </c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</row>
    <row r="1927" spans="1:21" ht="12.75" customHeight="1">
      <c r="A1927" s="10">
        <v>143490786</v>
      </c>
      <c r="B1927" s="15">
        <v>5540246176295</v>
      </c>
      <c r="C1927" s="32">
        <v>44917</v>
      </c>
      <c r="D1927" s="11">
        <v>6125</v>
      </c>
      <c r="E1927" s="14" t="str">
        <f>VLOOKUP(B1927, 'Catégorie des articles'!A:E, 4, FALSE)</f>
        <v>CREMERIE</v>
      </c>
      <c r="F1927" s="14">
        <f t="shared" si="30"/>
        <v>202212</v>
      </c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</row>
    <row r="1928" spans="1:21" ht="12.75" customHeight="1">
      <c r="A1928" s="10">
        <v>143490786</v>
      </c>
      <c r="B1928" s="15">
        <v>5540246187987</v>
      </c>
      <c r="C1928" s="32">
        <v>44917</v>
      </c>
      <c r="D1928" s="11">
        <v>4455</v>
      </c>
      <c r="E1928" s="14" t="str">
        <f>VLOOKUP(B1928, 'Catégorie des articles'!A:E, 4, FALSE)</f>
        <v>CREMERIE</v>
      </c>
      <c r="F1928" s="14">
        <f t="shared" si="30"/>
        <v>202212</v>
      </c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</row>
    <row r="1929" spans="1:21" ht="12.75" customHeight="1">
      <c r="A1929" s="10">
        <v>143490787</v>
      </c>
      <c r="B1929" s="15">
        <v>5540246172978</v>
      </c>
      <c r="C1929" s="32">
        <v>44917</v>
      </c>
      <c r="D1929" s="11">
        <v>836</v>
      </c>
      <c r="E1929" s="14" t="str">
        <f>VLOOKUP(B1929, 'Catégorie des articles'!A:E, 4, FALSE)</f>
        <v>CREMERIE</v>
      </c>
      <c r="F1929" s="14">
        <f t="shared" si="30"/>
        <v>202212</v>
      </c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</row>
    <row r="1930" spans="1:21" ht="12.75" customHeight="1">
      <c r="A1930" s="7">
        <v>143490787</v>
      </c>
      <c r="B1930" s="13">
        <v>5540246176699</v>
      </c>
      <c r="C1930" s="31">
        <v>44917</v>
      </c>
      <c r="D1930" s="8">
        <v>6264</v>
      </c>
      <c r="E1930" s="14" t="str">
        <f>VLOOKUP(B1930, 'Catégorie des articles'!A:E, 4, FALSE)</f>
        <v>CREMERIE</v>
      </c>
      <c r="F1930" s="14">
        <f t="shared" si="30"/>
        <v>202212</v>
      </c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</row>
    <row r="1931" spans="1:21" ht="12.75" customHeight="1">
      <c r="A1931" s="10">
        <v>143490787</v>
      </c>
      <c r="B1931" s="15">
        <v>5540246188175</v>
      </c>
      <c r="C1931" s="32">
        <v>44917</v>
      </c>
      <c r="D1931" s="11">
        <v>232</v>
      </c>
      <c r="E1931" s="14" t="str">
        <f>VLOOKUP(B1931, 'Catégorie des articles'!A:E, 4, FALSE)</f>
        <v>CREMERIE</v>
      </c>
      <c r="F1931" s="14">
        <f t="shared" si="30"/>
        <v>202212</v>
      </c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</row>
    <row r="1932" spans="1:21" ht="12.75" customHeight="1">
      <c r="A1932" s="10">
        <v>143490790</v>
      </c>
      <c r="B1932" s="15">
        <v>5540246191598</v>
      </c>
      <c r="C1932" s="32">
        <v>44919</v>
      </c>
      <c r="D1932" s="11">
        <v>1601</v>
      </c>
      <c r="E1932" s="14" t="str">
        <f>VLOOKUP(B1932, 'Catégorie des articles'!A:E, 4, FALSE)</f>
        <v>CREMERIE</v>
      </c>
      <c r="F1932" s="14">
        <f t="shared" si="30"/>
        <v>202212</v>
      </c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</row>
    <row r="1933" spans="1:21" ht="12.75" customHeight="1">
      <c r="A1933" s="10">
        <v>143490803</v>
      </c>
      <c r="B1933" s="15">
        <v>5540246185562</v>
      </c>
      <c r="C1933" s="32">
        <v>44919</v>
      </c>
      <c r="D1933" s="11">
        <v>279</v>
      </c>
      <c r="E1933" s="14" t="str">
        <f>VLOOKUP(B1933, 'Catégorie des articles'!A:E, 4, FALSE)</f>
        <v>CREMERIE</v>
      </c>
      <c r="F1933" s="14">
        <f t="shared" si="30"/>
        <v>202212</v>
      </c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</row>
    <row r="1934" spans="1:21" ht="12.75" customHeight="1">
      <c r="A1934" s="10">
        <v>143490804</v>
      </c>
      <c r="B1934" s="15">
        <v>5540246174095</v>
      </c>
      <c r="C1934" s="32">
        <v>44921</v>
      </c>
      <c r="D1934" s="11">
        <v>70</v>
      </c>
      <c r="E1934" s="14" t="str">
        <f>VLOOKUP(B1934, 'Catégorie des articles'!A:E, 4, FALSE)</f>
        <v>CREMERIE</v>
      </c>
      <c r="F1934" s="14">
        <f t="shared" si="30"/>
        <v>202212</v>
      </c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</row>
    <row r="1935" spans="1:21" ht="12.75" customHeight="1">
      <c r="A1935" s="7">
        <v>143490804</v>
      </c>
      <c r="B1935" s="13">
        <v>5540246175047</v>
      </c>
      <c r="C1935" s="31">
        <v>44921</v>
      </c>
      <c r="D1935" s="8">
        <v>279</v>
      </c>
      <c r="E1935" s="14" t="str">
        <f>VLOOKUP(B1935, 'Catégorie des articles'!A:E, 4, FALSE)</f>
        <v>CREMERIE</v>
      </c>
      <c r="F1935" s="14">
        <f t="shared" si="30"/>
        <v>202212</v>
      </c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</row>
    <row r="1936" spans="1:21" ht="12.75" customHeight="1">
      <c r="A1936" s="10">
        <v>143490804</v>
      </c>
      <c r="B1936" s="15">
        <v>5540246175049</v>
      </c>
      <c r="C1936" s="32">
        <v>44921</v>
      </c>
      <c r="D1936" s="11">
        <v>836</v>
      </c>
      <c r="E1936" s="14" t="str">
        <f>VLOOKUP(B1936, 'Catégorie des articles'!A:E, 4, FALSE)</f>
        <v>CREMERIE</v>
      </c>
      <c r="F1936" s="14">
        <f t="shared" si="30"/>
        <v>202212</v>
      </c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</row>
    <row r="1937" spans="1:21" ht="12.75" customHeight="1">
      <c r="A1937" s="7">
        <v>143490804</v>
      </c>
      <c r="B1937" s="13">
        <v>5540246190743</v>
      </c>
      <c r="C1937" s="31">
        <v>44921</v>
      </c>
      <c r="D1937" s="8">
        <v>557</v>
      </c>
      <c r="E1937" s="14" t="str">
        <f>VLOOKUP(B1937, 'Catégorie des articles'!A:E, 4, FALSE)</f>
        <v>CREMERIE</v>
      </c>
      <c r="F1937" s="14">
        <f t="shared" si="30"/>
        <v>202212</v>
      </c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</row>
    <row r="1938" spans="1:21" ht="12.75" customHeight="1">
      <c r="A1938" s="7">
        <v>143490806</v>
      </c>
      <c r="B1938" s="13">
        <v>5540246194632</v>
      </c>
      <c r="C1938" s="31">
        <v>44932</v>
      </c>
      <c r="D1938" s="8">
        <v>729</v>
      </c>
      <c r="E1938" s="14" t="str">
        <f>VLOOKUP(B1938, 'Catégorie des articles'!A:E, 4, FALSE)</f>
        <v>BOULANGERIE</v>
      </c>
      <c r="F1938" s="14">
        <f t="shared" si="30"/>
        <v>202301</v>
      </c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</row>
    <row r="1939" spans="1:21" ht="12.75" customHeight="1">
      <c r="A1939" s="10">
        <v>143490806</v>
      </c>
      <c r="B1939" s="15">
        <v>5540246195250</v>
      </c>
      <c r="C1939" s="32">
        <v>44932</v>
      </c>
      <c r="D1939" s="11">
        <v>151</v>
      </c>
      <c r="E1939" s="14" t="str">
        <f>VLOOKUP(B1939, 'Catégorie des articles'!A:E, 4, FALSE)</f>
        <v>BOULANGERIE</v>
      </c>
      <c r="F1939" s="14">
        <f t="shared" si="30"/>
        <v>202301</v>
      </c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</row>
    <row r="1940" spans="1:21" ht="12.75" customHeight="1">
      <c r="A1940" s="7">
        <v>143490806</v>
      </c>
      <c r="B1940" s="13">
        <v>5540246196046</v>
      </c>
      <c r="C1940" s="31">
        <v>44932</v>
      </c>
      <c r="D1940" s="8">
        <v>84</v>
      </c>
      <c r="E1940" s="14" t="str">
        <f>VLOOKUP(B1940, 'Catégorie des articles'!A:E, 4, FALSE)</f>
        <v>BOULANGERIE</v>
      </c>
      <c r="F1940" s="14">
        <f t="shared" si="30"/>
        <v>202301</v>
      </c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</row>
    <row r="1941" spans="1:21" ht="12.75" customHeight="1">
      <c r="A1941" s="10">
        <v>143490807</v>
      </c>
      <c r="B1941" s="15">
        <v>5540246177133</v>
      </c>
      <c r="C1941" s="32">
        <v>44938</v>
      </c>
      <c r="D1941" s="11">
        <v>5568</v>
      </c>
      <c r="E1941" s="14" t="str">
        <f>VLOOKUP(B1941, 'Catégorie des articles'!A:E, 4, FALSE)</f>
        <v>MIX LEGUMES</v>
      </c>
      <c r="F1941" s="14">
        <f t="shared" si="30"/>
        <v>202301</v>
      </c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</row>
    <row r="1942" spans="1:21" ht="12.75" customHeight="1">
      <c r="A1942" s="7">
        <v>143490807</v>
      </c>
      <c r="B1942" s="13">
        <v>5540246192148</v>
      </c>
      <c r="C1942" s="31">
        <v>44938</v>
      </c>
      <c r="D1942" s="8">
        <v>23664</v>
      </c>
      <c r="E1942" s="14" t="str">
        <f>VLOOKUP(B1942, 'Catégorie des articles'!A:E, 4, FALSE)</f>
        <v>MIX LEGUMES</v>
      </c>
      <c r="F1942" s="14">
        <f t="shared" si="30"/>
        <v>202301</v>
      </c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</row>
    <row r="1943" spans="1:21" ht="12.75" customHeight="1">
      <c r="A1943" s="10">
        <v>143490807</v>
      </c>
      <c r="B1943" s="15">
        <v>5540246192518</v>
      </c>
      <c r="C1943" s="32">
        <v>44938</v>
      </c>
      <c r="D1943" s="11">
        <v>3132</v>
      </c>
      <c r="E1943" s="14" t="str">
        <f>VLOOKUP(B1943, 'Catégorie des articles'!A:E, 4, FALSE)</f>
        <v>MIX LEGUMES</v>
      </c>
      <c r="F1943" s="14">
        <f t="shared" si="30"/>
        <v>202301</v>
      </c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</row>
    <row r="1944" spans="1:21" ht="12.75" customHeight="1">
      <c r="A1944" s="10">
        <v>143490813</v>
      </c>
      <c r="B1944" s="15">
        <v>5540246173492</v>
      </c>
      <c r="C1944" s="32">
        <v>44928</v>
      </c>
      <c r="D1944" s="11">
        <v>8967</v>
      </c>
      <c r="E1944" s="14" t="str">
        <f>VLOOKUP(B1944, 'Catégorie des articles'!A:E, 4, FALSE)</f>
        <v>VOLAILLE</v>
      </c>
      <c r="F1944" s="14">
        <f t="shared" si="30"/>
        <v>202301</v>
      </c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</row>
    <row r="1945" spans="1:21" ht="12.75" customHeight="1">
      <c r="A1945" s="10">
        <v>143490814</v>
      </c>
      <c r="B1945" s="15">
        <v>5540246196046</v>
      </c>
      <c r="C1945" s="32">
        <v>44914</v>
      </c>
      <c r="D1945" s="11">
        <v>335</v>
      </c>
      <c r="E1945" s="14" t="str">
        <f>VLOOKUP(B1945, 'Catégorie des articles'!A:E, 4, FALSE)</f>
        <v>BOULANGERIE</v>
      </c>
      <c r="F1945" s="14">
        <f t="shared" si="30"/>
        <v>202212</v>
      </c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</row>
    <row r="1946" spans="1:21" ht="12.75" customHeight="1">
      <c r="A1946" s="7">
        <v>143490821</v>
      </c>
      <c r="B1946" s="13">
        <v>5540246181061</v>
      </c>
      <c r="C1946" s="31">
        <v>44927</v>
      </c>
      <c r="D1946" s="8">
        <v>2849</v>
      </c>
      <c r="E1946" s="14" t="str">
        <f>VLOOKUP(B1946, 'Catégorie des articles'!A:E, 4, FALSE)</f>
        <v>VOLAILLE</v>
      </c>
      <c r="F1946" s="14">
        <f t="shared" si="30"/>
        <v>202301</v>
      </c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</row>
    <row r="1947" spans="1:21" ht="12.75" customHeight="1">
      <c r="A1947" s="10">
        <v>143490821</v>
      </c>
      <c r="B1947" s="15">
        <v>5540246185278</v>
      </c>
      <c r="C1947" s="32">
        <v>44927</v>
      </c>
      <c r="D1947" s="11">
        <v>3358</v>
      </c>
      <c r="E1947" s="14" t="str">
        <f>VLOOKUP(B1947, 'Catégorie des articles'!A:E, 4, FALSE)</f>
        <v>VOLAILLE</v>
      </c>
      <c r="F1947" s="14">
        <f t="shared" si="30"/>
        <v>202301</v>
      </c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</row>
    <row r="1948" spans="1:21" ht="12.75" customHeight="1">
      <c r="A1948" s="10">
        <v>143490829</v>
      </c>
      <c r="B1948" s="15">
        <v>5540246176699</v>
      </c>
      <c r="C1948" s="32">
        <v>44918</v>
      </c>
      <c r="D1948" s="11">
        <v>6264</v>
      </c>
      <c r="E1948" s="14" t="str">
        <f>VLOOKUP(B1948, 'Catégorie des articles'!A:E, 4, FALSE)</f>
        <v>CREMERIE</v>
      </c>
      <c r="F1948" s="14">
        <f t="shared" si="30"/>
        <v>202212</v>
      </c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</row>
    <row r="1949" spans="1:21" ht="12.75" customHeight="1">
      <c r="A1949" s="7">
        <v>143490830</v>
      </c>
      <c r="B1949" s="13">
        <v>5540246176295</v>
      </c>
      <c r="C1949" s="31">
        <v>44918</v>
      </c>
      <c r="D1949" s="8">
        <v>7424</v>
      </c>
      <c r="E1949" s="14" t="str">
        <f>VLOOKUP(B1949, 'Catégorie des articles'!A:E, 4, FALSE)</f>
        <v>CREMERIE</v>
      </c>
      <c r="F1949" s="14">
        <f t="shared" si="30"/>
        <v>202212</v>
      </c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</row>
    <row r="1950" spans="1:21" ht="12.75" customHeight="1">
      <c r="A1950" s="10">
        <v>143490830</v>
      </c>
      <c r="B1950" s="15">
        <v>5540246187987</v>
      </c>
      <c r="C1950" s="32">
        <v>44918</v>
      </c>
      <c r="D1950" s="11">
        <v>3341</v>
      </c>
      <c r="E1950" s="14" t="str">
        <f>VLOOKUP(B1950, 'Catégorie des articles'!A:E, 4, FALSE)</f>
        <v>CREMERIE</v>
      </c>
      <c r="F1950" s="14">
        <f t="shared" si="30"/>
        <v>202212</v>
      </c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</row>
    <row r="1951" spans="1:21" ht="12.75" customHeight="1">
      <c r="A1951" s="10">
        <v>143490837</v>
      </c>
      <c r="B1951" s="15">
        <v>5540246194632</v>
      </c>
      <c r="C1951" s="32">
        <v>44935</v>
      </c>
      <c r="D1951" s="11">
        <v>1381</v>
      </c>
      <c r="E1951" s="14" t="str">
        <f>VLOOKUP(B1951, 'Catégorie des articles'!A:E, 4, FALSE)</f>
        <v>BOULANGERIE</v>
      </c>
      <c r="F1951" s="14">
        <f t="shared" si="30"/>
        <v>202301</v>
      </c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</row>
    <row r="1952" spans="1:21" ht="12.75" customHeight="1">
      <c r="A1952" s="7">
        <v>143500850</v>
      </c>
      <c r="B1952" s="13">
        <v>5540246174174</v>
      </c>
      <c r="C1952" s="31">
        <v>44919</v>
      </c>
      <c r="D1952" s="8">
        <v>696</v>
      </c>
      <c r="E1952" s="14" t="str">
        <f>VLOOKUP(B1952, 'Catégorie des articles'!A:E, 4, FALSE)</f>
        <v>CREMERIE</v>
      </c>
      <c r="F1952" s="14">
        <f t="shared" si="30"/>
        <v>202212</v>
      </c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</row>
    <row r="1953" spans="1:21" ht="12.75" customHeight="1">
      <c r="A1953" s="7">
        <v>143500851</v>
      </c>
      <c r="B1953" s="13">
        <v>5540246187987</v>
      </c>
      <c r="C1953" s="31">
        <v>44919</v>
      </c>
      <c r="D1953" s="8">
        <v>2228</v>
      </c>
      <c r="E1953" s="14" t="str">
        <f>VLOOKUP(B1953, 'Catégorie des articles'!A:E, 4, FALSE)</f>
        <v>CREMERIE</v>
      </c>
      <c r="F1953" s="14">
        <f t="shared" si="30"/>
        <v>202212</v>
      </c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</row>
    <row r="1954" spans="1:21" ht="12.75" customHeight="1">
      <c r="A1954" s="10">
        <v>143500860</v>
      </c>
      <c r="B1954" s="15">
        <v>5540246173472</v>
      </c>
      <c r="C1954" s="32">
        <v>44925</v>
      </c>
      <c r="D1954" s="11">
        <v>279</v>
      </c>
      <c r="E1954" s="14" t="str">
        <f>VLOOKUP(B1954, 'Catégorie des articles'!A:E, 4, FALSE)</f>
        <v>CREMERIE</v>
      </c>
      <c r="F1954" s="14">
        <f t="shared" si="30"/>
        <v>202212</v>
      </c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</row>
    <row r="1955" spans="1:21" ht="12.75" customHeight="1">
      <c r="A1955" s="7">
        <v>143500860</v>
      </c>
      <c r="B1955" s="13">
        <v>5540246175049</v>
      </c>
      <c r="C1955" s="31">
        <v>44925</v>
      </c>
      <c r="D1955" s="8">
        <v>557</v>
      </c>
      <c r="E1955" s="14" t="str">
        <f>VLOOKUP(B1955, 'Catégorie des articles'!A:E, 4, FALSE)</f>
        <v>CREMERIE</v>
      </c>
      <c r="F1955" s="14">
        <f t="shared" si="30"/>
        <v>202212</v>
      </c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</row>
    <row r="1956" spans="1:21" ht="12.75" customHeight="1">
      <c r="A1956" s="10">
        <v>143500860</v>
      </c>
      <c r="B1956" s="15">
        <v>5540246175050</v>
      </c>
      <c r="C1956" s="32">
        <v>44925</v>
      </c>
      <c r="D1956" s="11">
        <v>1114</v>
      </c>
      <c r="E1956" s="14" t="str">
        <f>VLOOKUP(B1956, 'Catégorie des articles'!A:E, 4, FALSE)</f>
        <v>CREMERIE</v>
      </c>
      <c r="F1956" s="14">
        <f t="shared" si="30"/>
        <v>202212</v>
      </c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</row>
    <row r="1957" spans="1:21" ht="12.75" customHeight="1">
      <c r="A1957" s="7">
        <v>143500865</v>
      </c>
      <c r="B1957" s="13">
        <v>5540246194632</v>
      </c>
      <c r="C1957" s="31">
        <v>44939</v>
      </c>
      <c r="D1957" s="8">
        <v>669</v>
      </c>
      <c r="E1957" s="14" t="str">
        <f>VLOOKUP(B1957, 'Catégorie des articles'!A:E, 4, FALSE)</f>
        <v>BOULANGERIE</v>
      </c>
      <c r="F1957" s="14">
        <f t="shared" si="30"/>
        <v>202301</v>
      </c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</row>
    <row r="1958" spans="1:21" ht="12.75" customHeight="1">
      <c r="A1958" s="10">
        <v>143500865</v>
      </c>
      <c r="B1958" s="15">
        <v>5540246195250</v>
      </c>
      <c r="C1958" s="32">
        <v>44939</v>
      </c>
      <c r="D1958" s="11">
        <v>168</v>
      </c>
      <c r="E1958" s="14" t="str">
        <f>VLOOKUP(B1958, 'Catégorie des articles'!A:E, 4, FALSE)</f>
        <v>BOULANGERIE</v>
      </c>
      <c r="F1958" s="14">
        <f t="shared" si="30"/>
        <v>202301</v>
      </c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</row>
    <row r="1959" spans="1:21" ht="12.75" customHeight="1">
      <c r="A1959" s="7">
        <v>143500866</v>
      </c>
      <c r="B1959" s="13">
        <v>5540246182684</v>
      </c>
      <c r="C1959" s="31">
        <v>44941</v>
      </c>
      <c r="D1959" s="8">
        <v>372</v>
      </c>
      <c r="E1959" s="14" t="str">
        <f>VLOOKUP(B1959, 'Catégorie des articles'!A:E, 4, FALSE)</f>
        <v>BOULANGERIE</v>
      </c>
      <c r="F1959" s="14">
        <f t="shared" si="30"/>
        <v>202301</v>
      </c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</row>
    <row r="1960" spans="1:21" ht="12.75" customHeight="1">
      <c r="A1960" s="7">
        <v>143500866</v>
      </c>
      <c r="B1960" s="13">
        <v>5540246194467</v>
      </c>
      <c r="C1960" s="31">
        <v>44941</v>
      </c>
      <c r="D1960" s="8">
        <v>14255</v>
      </c>
      <c r="E1960" s="14" t="str">
        <f>VLOOKUP(B1960, 'Catégorie des articles'!A:E, 4, FALSE)</f>
        <v>BOULANGERIE</v>
      </c>
      <c r="F1960" s="14">
        <f t="shared" si="30"/>
        <v>202301</v>
      </c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</row>
    <row r="1961" spans="1:21" ht="12.75" customHeight="1">
      <c r="A1961" s="7">
        <v>143500873</v>
      </c>
      <c r="B1961" s="13">
        <v>5540246173906</v>
      </c>
      <c r="C1961" s="31">
        <v>44932</v>
      </c>
      <c r="D1961" s="8">
        <v>4900</v>
      </c>
      <c r="E1961" s="14" t="str">
        <f>VLOOKUP(B1961, 'Catégorie des articles'!A:E, 4, FALSE)</f>
        <v>VOLAILLE</v>
      </c>
      <c r="F1961" s="14">
        <f t="shared" si="30"/>
        <v>202301</v>
      </c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</row>
    <row r="1962" spans="1:21" ht="12.75" customHeight="1">
      <c r="A1962" s="10">
        <v>143500873</v>
      </c>
      <c r="B1962" s="15">
        <v>5540246181016</v>
      </c>
      <c r="C1962" s="32">
        <v>44932</v>
      </c>
      <c r="D1962" s="11">
        <v>10691</v>
      </c>
      <c r="E1962" s="14" t="str">
        <f>VLOOKUP(B1962, 'Catégorie des articles'!A:E, 4, FALSE)</f>
        <v>VOLAILLE</v>
      </c>
      <c r="F1962" s="14">
        <f t="shared" si="30"/>
        <v>202301</v>
      </c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</row>
    <row r="1963" spans="1:21" ht="12.75" customHeight="1">
      <c r="A1963" s="7">
        <v>143500874</v>
      </c>
      <c r="B1963" s="13">
        <v>5540246183130</v>
      </c>
      <c r="C1963" s="31">
        <v>44940</v>
      </c>
      <c r="D1963" s="8">
        <v>1128</v>
      </c>
      <c r="E1963" s="14" t="str">
        <f>VLOOKUP(B1963, 'Catégorie des articles'!A:E, 4, FALSE)</f>
        <v>MIX LEGUMES</v>
      </c>
      <c r="F1963" s="14">
        <f t="shared" si="30"/>
        <v>202301</v>
      </c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</row>
    <row r="1964" spans="1:21" ht="12.75" customHeight="1">
      <c r="A1964" s="10">
        <v>143500874</v>
      </c>
      <c r="B1964" s="15">
        <v>5540246183455</v>
      </c>
      <c r="C1964" s="32">
        <v>44940</v>
      </c>
      <c r="D1964" s="11">
        <v>1044</v>
      </c>
      <c r="E1964" s="14" t="str">
        <f>VLOOKUP(B1964, 'Catégorie des articles'!A:E, 4, FALSE)</f>
        <v>MIX LEGUMES</v>
      </c>
      <c r="F1964" s="14">
        <f t="shared" si="30"/>
        <v>202301</v>
      </c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</row>
    <row r="1965" spans="1:21" ht="12.75" customHeight="1">
      <c r="A1965" s="7">
        <v>143500874</v>
      </c>
      <c r="B1965" s="13">
        <v>5540246183538</v>
      </c>
      <c r="C1965" s="31">
        <v>44940</v>
      </c>
      <c r="D1965" s="8">
        <v>919</v>
      </c>
      <c r="E1965" s="14" t="str">
        <f>VLOOKUP(B1965, 'Catégorie des articles'!A:E, 4, FALSE)</f>
        <v>MIX LEGUMES</v>
      </c>
      <c r="F1965" s="14">
        <f t="shared" si="30"/>
        <v>202301</v>
      </c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</row>
    <row r="1966" spans="1:21" ht="12.75" customHeight="1">
      <c r="A1966" s="7">
        <v>143500876</v>
      </c>
      <c r="B1966" s="13">
        <v>5540246183587</v>
      </c>
      <c r="C1966" s="31">
        <v>44941</v>
      </c>
      <c r="D1966" s="8">
        <v>502</v>
      </c>
      <c r="E1966" s="14" t="str">
        <f>VLOOKUP(B1966, 'Catégorie des articles'!A:E, 4, FALSE)</f>
        <v>MIX LEGUMES</v>
      </c>
      <c r="F1966" s="14">
        <f t="shared" si="30"/>
        <v>202301</v>
      </c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</row>
    <row r="1967" spans="1:21" ht="12.75" customHeight="1">
      <c r="A1967" s="10">
        <v>143500876</v>
      </c>
      <c r="B1967" s="15">
        <v>5540246183589</v>
      </c>
      <c r="C1967" s="32">
        <v>44941</v>
      </c>
      <c r="D1967" s="11">
        <v>1300</v>
      </c>
      <c r="E1967" s="14" t="str">
        <f>VLOOKUP(B1967, 'Catégorie des articles'!A:E, 4, FALSE)</f>
        <v>MIX LEGUMES</v>
      </c>
      <c r="F1967" s="14">
        <f t="shared" si="30"/>
        <v>202301</v>
      </c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</row>
    <row r="1968" spans="1:21" ht="12.75" customHeight="1">
      <c r="A1968" s="7">
        <v>143500876</v>
      </c>
      <c r="B1968" s="13">
        <v>5540246186352</v>
      </c>
      <c r="C1968" s="31">
        <v>44941</v>
      </c>
      <c r="D1968" s="8">
        <v>940</v>
      </c>
      <c r="E1968" s="14" t="str">
        <f>VLOOKUP(B1968, 'Catégorie des articles'!A:E, 4, FALSE)</f>
        <v>MIX LEGUMES</v>
      </c>
      <c r="F1968" s="14">
        <f t="shared" si="30"/>
        <v>202301</v>
      </c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</row>
    <row r="1969" spans="1:21" ht="12.75" customHeight="1">
      <c r="A1969" s="7">
        <v>143500892</v>
      </c>
      <c r="B1969" s="13">
        <v>5540246188175</v>
      </c>
      <c r="C1969" s="31">
        <v>44920</v>
      </c>
      <c r="D1969" s="8">
        <v>348</v>
      </c>
      <c r="E1969" s="14" t="str">
        <f>VLOOKUP(B1969, 'Catégorie des articles'!A:E, 4, FALSE)</f>
        <v>CREMERIE</v>
      </c>
      <c r="F1969" s="14">
        <f t="shared" si="30"/>
        <v>202212</v>
      </c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</row>
    <row r="1970" spans="1:21" ht="12.75" customHeight="1">
      <c r="A1970" s="10">
        <v>143500892</v>
      </c>
      <c r="B1970" s="15">
        <v>5540246192102</v>
      </c>
      <c r="C1970" s="32">
        <v>44920</v>
      </c>
      <c r="D1970" s="11">
        <v>4009</v>
      </c>
      <c r="E1970" s="14" t="str">
        <f>VLOOKUP(B1970, 'Catégorie des articles'!A:E, 4, FALSE)</f>
        <v>CREMERIE</v>
      </c>
      <c r="F1970" s="14">
        <f t="shared" si="30"/>
        <v>202212</v>
      </c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</row>
    <row r="1971" spans="1:21" ht="12.75" customHeight="1">
      <c r="A1971" s="7">
        <v>143500931</v>
      </c>
      <c r="B1971" s="13">
        <v>5540246171933</v>
      </c>
      <c r="C1971" s="31">
        <v>44921</v>
      </c>
      <c r="D1971" s="8">
        <v>1671</v>
      </c>
      <c r="E1971" s="14" t="str">
        <f>VLOOKUP(B1971, 'Catégorie des articles'!A:E, 4, FALSE)</f>
        <v>CREMERIE</v>
      </c>
      <c r="F1971" s="14">
        <f t="shared" si="30"/>
        <v>202212</v>
      </c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</row>
    <row r="1972" spans="1:21" ht="12.75" customHeight="1">
      <c r="A1972" s="10">
        <v>143500931</v>
      </c>
      <c r="B1972" s="15">
        <v>5540246176294</v>
      </c>
      <c r="C1972" s="32">
        <v>44921</v>
      </c>
      <c r="D1972" s="11">
        <v>1114</v>
      </c>
      <c r="E1972" s="14" t="str">
        <f>VLOOKUP(B1972, 'Catégorie des articles'!A:E, 4, FALSE)</f>
        <v>CREMERIE</v>
      </c>
      <c r="F1972" s="14">
        <f t="shared" si="30"/>
        <v>202212</v>
      </c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</row>
    <row r="1973" spans="1:21" ht="12.75" customHeight="1">
      <c r="A1973" s="7">
        <v>143500931</v>
      </c>
      <c r="B1973" s="13">
        <v>5540246176295</v>
      </c>
      <c r="C1973" s="31">
        <v>44921</v>
      </c>
      <c r="D1973" s="8">
        <v>3712</v>
      </c>
      <c r="E1973" s="14" t="str">
        <f>VLOOKUP(B1973, 'Catégorie des articles'!A:E, 4, FALSE)</f>
        <v>CREMERIE</v>
      </c>
      <c r="F1973" s="14">
        <f t="shared" si="30"/>
        <v>202212</v>
      </c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</row>
    <row r="1974" spans="1:21" ht="12.75" customHeight="1">
      <c r="A1974" s="7">
        <v>143500931</v>
      </c>
      <c r="B1974" s="13">
        <v>5540246187987</v>
      </c>
      <c r="C1974" s="31">
        <v>44921</v>
      </c>
      <c r="D1974" s="8">
        <v>2228</v>
      </c>
      <c r="E1974" s="14" t="str">
        <f>VLOOKUP(B1974, 'Catégorie des articles'!A:E, 4, FALSE)</f>
        <v>CREMERIE</v>
      </c>
      <c r="F1974" s="14">
        <f t="shared" si="30"/>
        <v>202212</v>
      </c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</row>
    <row r="1975" spans="1:21" ht="12.75" customHeight="1">
      <c r="A1975" s="10">
        <v>143500936</v>
      </c>
      <c r="B1975" s="15">
        <v>5540246185429</v>
      </c>
      <c r="C1975" s="32">
        <v>44924</v>
      </c>
      <c r="D1975" s="11">
        <v>140</v>
      </c>
      <c r="E1975" s="14" t="str">
        <f>VLOOKUP(B1975, 'Catégorie des articles'!A:E, 4, FALSE)</f>
        <v>CREMERIE</v>
      </c>
      <c r="F1975" s="14">
        <f t="shared" si="30"/>
        <v>202212</v>
      </c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</row>
    <row r="1976" spans="1:21" ht="12.75" customHeight="1">
      <c r="A1976" s="7">
        <v>143500942</v>
      </c>
      <c r="B1976" s="13">
        <v>5540246191598</v>
      </c>
      <c r="C1976" s="31">
        <v>44924</v>
      </c>
      <c r="D1976" s="8">
        <v>42</v>
      </c>
      <c r="E1976" s="14" t="str">
        <f>VLOOKUP(B1976, 'Catégorie des articles'!A:E, 4, FALSE)</f>
        <v>CREMERIE</v>
      </c>
      <c r="F1976" s="14">
        <f t="shared" si="30"/>
        <v>202212</v>
      </c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</row>
    <row r="1977" spans="1:21" ht="12.75" customHeight="1">
      <c r="A1977" s="10">
        <v>143500943</v>
      </c>
      <c r="B1977" s="15">
        <v>5540246191594</v>
      </c>
      <c r="C1977" s="32">
        <v>44924</v>
      </c>
      <c r="D1977" s="11">
        <v>1392</v>
      </c>
      <c r="E1977" s="14" t="str">
        <f>VLOOKUP(B1977, 'Catégorie des articles'!A:E, 4, FALSE)</f>
        <v>CREMERIE</v>
      </c>
      <c r="F1977" s="14">
        <f t="shared" si="30"/>
        <v>202212</v>
      </c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</row>
    <row r="1978" spans="1:21" ht="12.75" customHeight="1">
      <c r="A1978" s="7">
        <v>143500947</v>
      </c>
      <c r="B1978" s="13">
        <v>5540246191596</v>
      </c>
      <c r="C1978" s="31">
        <v>44938</v>
      </c>
      <c r="D1978" s="8">
        <v>149</v>
      </c>
      <c r="E1978" s="14" t="str">
        <f>VLOOKUP(B1978, 'Catégorie des articles'!A:E, 4, FALSE)</f>
        <v>BOULANGERIE</v>
      </c>
      <c r="F1978" s="14">
        <f t="shared" si="30"/>
        <v>202301</v>
      </c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</row>
    <row r="1979" spans="1:21" ht="12.75" customHeight="1">
      <c r="A1979" s="10">
        <v>143500947</v>
      </c>
      <c r="B1979" s="15">
        <v>5540246196466</v>
      </c>
      <c r="C1979" s="32">
        <v>44938</v>
      </c>
      <c r="D1979" s="11">
        <v>594</v>
      </c>
      <c r="E1979" s="14" t="str">
        <f>VLOOKUP(B1979, 'Catégorie des articles'!A:E, 4, FALSE)</f>
        <v>BOULANGERIE</v>
      </c>
      <c r="F1979" s="14">
        <f t="shared" si="30"/>
        <v>202301</v>
      </c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</row>
    <row r="1980" spans="1:21" ht="12.75" customHeight="1">
      <c r="A1980" s="10">
        <v>143500967</v>
      </c>
      <c r="B1980" s="15">
        <v>5540246172978</v>
      </c>
      <c r="C1980" s="32">
        <v>44924</v>
      </c>
      <c r="D1980" s="11">
        <v>1671</v>
      </c>
      <c r="E1980" s="14" t="str">
        <f>VLOOKUP(B1980, 'Catégorie des articles'!A:E, 4, FALSE)</f>
        <v>CREMERIE</v>
      </c>
      <c r="F1980" s="14">
        <f t="shared" si="30"/>
        <v>202212</v>
      </c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</row>
    <row r="1981" spans="1:21" ht="12.75" customHeight="1">
      <c r="A1981" s="7">
        <v>143500967</v>
      </c>
      <c r="B1981" s="13">
        <v>5540246176699</v>
      </c>
      <c r="C1981" s="31">
        <v>44924</v>
      </c>
      <c r="D1981" s="8">
        <v>12528</v>
      </c>
      <c r="E1981" s="14" t="str">
        <f>VLOOKUP(B1981, 'Catégorie des articles'!A:E, 4, FALSE)</f>
        <v>CREMERIE</v>
      </c>
      <c r="F1981" s="14">
        <f t="shared" si="30"/>
        <v>202212</v>
      </c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</row>
    <row r="1982" spans="1:21" ht="12.75" customHeight="1">
      <c r="A1982" s="10">
        <v>143500969</v>
      </c>
      <c r="B1982" s="15">
        <v>5540246171933</v>
      </c>
      <c r="C1982" s="32">
        <v>44924</v>
      </c>
      <c r="D1982" s="11">
        <v>1671</v>
      </c>
      <c r="E1982" s="14" t="str">
        <f>VLOOKUP(B1982, 'Catégorie des articles'!A:E, 4, FALSE)</f>
        <v>CREMERIE</v>
      </c>
      <c r="F1982" s="14">
        <f t="shared" si="30"/>
        <v>202212</v>
      </c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</row>
    <row r="1983" spans="1:21" ht="12.75" customHeight="1">
      <c r="A1983" s="10">
        <v>143500969</v>
      </c>
      <c r="B1983" s="15">
        <v>5540246187987</v>
      </c>
      <c r="C1983" s="32">
        <v>44924</v>
      </c>
      <c r="D1983" s="11">
        <v>5568</v>
      </c>
      <c r="E1983" s="14" t="str">
        <f>VLOOKUP(B1983, 'Catégorie des articles'!A:E, 4, FALSE)</f>
        <v>CREMERIE</v>
      </c>
      <c r="F1983" s="14">
        <f t="shared" si="30"/>
        <v>202212</v>
      </c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</row>
    <row r="1984" spans="1:21" ht="12.75" customHeight="1">
      <c r="A1984" s="7">
        <v>143500969</v>
      </c>
      <c r="B1984" s="13">
        <v>5540246188200</v>
      </c>
      <c r="C1984" s="31">
        <v>44924</v>
      </c>
      <c r="D1984" s="8">
        <v>2228</v>
      </c>
      <c r="E1984" s="14" t="str">
        <f>VLOOKUP(B1984, 'Catégorie des articles'!A:E, 4, FALSE)</f>
        <v>CREMERIE</v>
      </c>
      <c r="F1984" s="14">
        <f t="shared" si="30"/>
        <v>202212</v>
      </c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</row>
    <row r="1985" spans="1:21" ht="12.75" customHeight="1">
      <c r="A1985" s="10">
        <v>143500973</v>
      </c>
      <c r="B1985" s="15">
        <v>5540246185278</v>
      </c>
      <c r="C1985" s="32">
        <v>44921</v>
      </c>
      <c r="D1985" s="11">
        <v>1120</v>
      </c>
      <c r="E1985" s="14" t="str">
        <f>VLOOKUP(B1985, 'Catégorie des articles'!A:E, 4, FALSE)</f>
        <v>VOLAILLE</v>
      </c>
      <c r="F1985" s="14">
        <f t="shared" si="30"/>
        <v>202212</v>
      </c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</row>
    <row r="1986" spans="1:21" ht="12.75" customHeight="1">
      <c r="A1986" s="10">
        <v>143500984</v>
      </c>
      <c r="B1986" s="15">
        <v>5540246194632</v>
      </c>
      <c r="C1986" s="32">
        <v>44941</v>
      </c>
      <c r="D1986" s="11">
        <v>502</v>
      </c>
      <c r="E1986" s="14" t="str">
        <f>VLOOKUP(B1986, 'Catégorie des articles'!A:E, 4, FALSE)</f>
        <v>BOULANGERIE</v>
      </c>
      <c r="F1986" s="14">
        <f t="shared" ref="F1986:F2049" si="31">YEAR(C1986)*100 + MONTH(C1986)</f>
        <v>202301</v>
      </c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</row>
    <row r="1987" spans="1:21" ht="12.75" customHeight="1">
      <c r="A1987" s="10">
        <v>143500987</v>
      </c>
      <c r="B1987" s="15">
        <v>5540246192148</v>
      </c>
      <c r="C1987" s="32">
        <v>44938</v>
      </c>
      <c r="D1987" s="11">
        <v>45936</v>
      </c>
      <c r="E1987" s="14" t="str">
        <f>VLOOKUP(B1987, 'Catégorie des articles'!A:E, 4, FALSE)</f>
        <v>MIX LEGUMES</v>
      </c>
      <c r="F1987" s="14">
        <f t="shared" si="31"/>
        <v>202301</v>
      </c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</row>
    <row r="1988" spans="1:21" ht="12.75" customHeight="1">
      <c r="A1988" s="10">
        <v>143500988</v>
      </c>
      <c r="B1988" s="15">
        <v>5540246171759</v>
      </c>
      <c r="C1988" s="32">
        <v>44941</v>
      </c>
      <c r="D1988" s="11">
        <v>7308</v>
      </c>
      <c r="E1988" s="14" t="str">
        <f>VLOOKUP(B1988, 'Catégorie des articles'!A:E, 4, FALSE)</f>
        <v>MIX LEGUMES</v>
      </c>
      <c r="F1988" s="14">
        <f t="shared" si="31"/>
        <v>202301</v>
      </c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</row>
    <row r="1989" spans="1:21" ht="12.75" customHeight="1">
      <c r="A1989" s="7">
        <v>143500988</v>
      </c>
      <c r="B1989" s="13">
        <v>5540246177133</v>
      </c>
      <c r="C1989" s="31">
        <v>44941</v>
      </c>
      <c r="D1989" s="8">
        <v>8352</v>
      </c>
      <c r="E1989" s="14" t="str">
        <f>VLOOKUP(B1989, 'Catégorie des articles'!A:E, 4, FALSE)</f>
        <v>MIX LEGUMES</v>
      </c>
      <c r="F1989" s="14">
        <f t="shared" si="31"/>
        <v>202301</v>
      </c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</row>
    <row r="1990" spans="1:21" ht="12.75" customHeight="1">
      <c r="A1990" s="10">
        <v>143500988</v>
      </c>
      <c r="B1990" s="15">
        <v>5540246192518</v>
      </c>
      <c r="C1990" s="32">
        <v>44941</v>
      </c>
      <c r="D1990" s="11">
        <v>5220</v>
      </c>
      <c r="E1990" s="14" t="str">
        <f>VLOOKUP(B1990, 'Catégorie des articles'!A:E, 4, FALSE)</f>
        <v>MIX LEGUMES</v>
      </c>
      <c r="F1990" s="14">
        <f t="shared" si="31"/>
        <v>202301</v>
      </c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</row>
    <row r="1991" spans="1:21" ht="12.75" customHeight="1">
      <c r="A1991" s="10">
        <v>143501007</v>
      </c>
      <c r="B1991" s="15">
        <v>5540246172539</v>
      </c>
      <c r="C1991" s="32">
        <v>44925</v>
      </c>
      <c r="D1991" s="11">
        <v>47</v>
      </c>
      <c r="E1991" s="14" t="str">
        <f>VLOOKUP(B1991, 'Catégorie des articles'!A:E, 4, FALSE)</f>
        <v>CREMERIE</v>
      </c>
      <c r="F1991" s="14">
        <f t="shared" si="31"/>
        <v>202212</v>
      </c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</row>
    <row r="1992" spans="1:21" ht="12.75" customHeight="1">
      <c r="A1992" s="7">
        <v>143501007</v>
      </c>
      <c r="B1992" s="13">
        <v>5540246172669</v>
      </c>
      <c r="C1992" s="31">
        <v>44925</v>
      </c>
      <c r="D1992" s="8">
        <v>251</v>
      </c>
      <c r="E1992" s="14" t="str">
        <f>VLOOKUP(B1992, 'Catégorie des articles'!A:E, 4, FALSE)</f>
        <v>CREMERIE</v>
      </c>
      <c r="F1992" s="14">
        <f t="shared" si="31"/>
        <v>202212</v>
      </c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</row>
    <row r="1993" spans="1:21" ht="12.75" customHeight="1">
      <c r="A1993" s="10">
        <v>143501007</v>
      </c>
      <c r="B1993" s="15">
        <v>5540246172978</v>
      </c>
      <c r="C1993" s="32">
        <v>44925</v>
      </c>
      <c r="D1993" s="11">
        <v>1671</v>
      </c>
      <c r="E1993" s="14" t="str">
        <f>VLOOKUP(B1993, 'Catégorie des articles'!A:E, 4, FALSE)</f>
        <v>CREMERIE</v>
      </c>
      <c r="F1993" s="14">
        <f t="shared" si="31"/>
        <v>202212</v>
      </c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</row>
    <row r="1994" spans="1:21" ht="12.75" customHeight="1">
      <c r="A1994" s="10">
        <v>143501008</v>
      </c>
      <c r="B1994" s="15">
        <v>5540246191598</v>
      </c>
      <c r="C1994" s="32">
        <v>44925</v>
      </c>
      <c r="D1994" s="11">
        <v>1601</v>
      </c>
      <c r="E1994" s="14" t="str">
        <f>VLOOKUP(B1994, 'Catégorie des articles'!A:E, 4, FALSE)</f>
        <v>CREMERIE</v>
      </c>
      <c r="F1994" s="14">
        <f t="shared" si="31"/>
        <v>202212</v>
      </c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</row>
    <row r="1995" spans="1:21" ht="12.75" customHeight="1">
      <c r="A1995" s="10">
        <v>143501009</v>
      </c>
      <c r="B1995" s="15">
        <v>5540246171933</v>
      </c>
      <c r="C1995" s="32">
        <v>44925</v>
      </c>
      <c r="D1995" s="11">
        <v>1671</v>
      </c>
      <c r="E1995" s="14" t="str">
        <f>VLOOKUP(B1995, 'Catégorie des articles'!A:E, 4, FALSE)</f>
        <v>CREMERIE</v>
      </c>
      <c r="F1995" s="14">
        <f t="shared" si="31"/>
        <v>202212</v>
      </c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</row>
    <row r="1996" spans="1:21" ht="12.75" customHeight="1">
      <c r="A1996" s="7">
        <v>143501009</v>
      </c>
      <c r="B1996" s="13">
        <v>5540246176294</v>
      </c>
      <c r="C1996" s="31">
        <v>44925</v>
      </c>
      <c r="D1996" s="8">
        <v>2228</v>
      </c>
      <c r="E1996" s="14" t="str">
        <f>VLOOKUP(B1996, 'Catégorie des articles'!A:E, 4, FALSE)</f>
        <v>CREMERIE</v>
      </c>
      <c r="F1996" s="14">
        <f t="shared" si="31"/>
        <v>202212</v>
      </c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</row>
    <row r="1997" spans="1:21" ht="12.75" customHeight="1">
      <c r="A1997" s="10">
        <v>143501009</v>
      </c>
      <c r="B1997" s="15">
        <v>5540246176295</v>
      </c>
      <c r="C1997" s="32">
        <v>44925</v>
      </c>
      <c r="D1997" s="11">
        <v>4455</v>
      </c>
      <c r="E1997" s="14" t="str">
        <f>VLOOKUP(B1997, 'Catégorie des articles'!A:E, 4, FALSE)</f>
        <v>CREMERIE</v>
      </c>
      <c r="F1997" s="14">
        <f t="shared" si="31"/>
        <v>202212</v>
      </c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</row>
    <row r="1998" spans="1:21" ht="12.75" customHeight="1">
      <c r="A1998" s="10">
        <v>143501009</v>
      </c>
      <c r="B1998" s="15">
        <v>5540246187987</v>
      </c>
      <c r="C1998" s="32">
        <v>44925</v>
      </c>
      <c r="D1998" s="11">
        <v>4455</v>
      </c>
      <c r="E1998" s="14" t="str">
        <f>VLOOKUP(B1998, 'Catégorie des articles'!A:E, 4, FALSE)</f>
        <v>CREMERIE</v>
      </c>
      <c r="F1998" s="14">
        <f t="shared" si="31"/>
        <v>202212</v>
      </c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</row>
    <row r="1999" spans="1:21" ht="12.75" customHeight="1">
      <c r="A1999" s="7">
        <v>143501009</v>
      </c>
      <c r="B1999" s="13">
        <v>5540246188200</v>
      </c>
      <c r="C1999" s="31">
        <v>44925</v>
      </c>
      <c r="D1999" s="8">
        <v>1485</v>
      </c>
      <c r="E1999" s="14" t="str">
        <f>VLOOKUP(B1999, 'Catégorie des articles'!A:E, 4, FALSE)</f>
        <v>CREMERIE</v>
      </c>
      <c r="F1999" s="14">
        <f t="shared" si="31"/>
        <v>202212</v>
      </c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</row>
    <row r="2000" spans="1:21" ht="12.75" customHeight="1">
      <c r="A2000" s="7">
        <v>143501014</v>
      </c>
      <c r="B2000" s="13">
        <v>5540246186325</v>
      </c>
      <c r="C2000" s="31">
        <v>44927</v>
      </c>
      <c r="D2000" s="8">
        <v>140</v>
      </c>
      <c r="E2000" s="14" t="str">
        <f>VLOOKUP(B2000, 'Catégorie des articles'!A:E, 4, FALSE)</f>
        <v>CREMERIE</v>
      </c>
      <c r="F2000" s="14">
        <f t="shared" si="31"/>
        <v>202301</v>
      </c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</row>
    <row r="2001" spans="1:21" ht="12.75" customHeight="1">
      <c r="A2001" s="7">
        <v>143501015</v>
      </c>
      <c r="B2001" s="13">
        <v>5540246188175</v>
      </c>
      <c r="C2001" s="31">
        <v>44925</v>
      </c>
      <c r="D2001" s="8">
        <v>348</v>
      </c>
      <c r="E2001" s="14" t="str">
        <f>VLOOKUP(B2001, 'Catégorie des articles'!A:E, 4, FALSE)</f>
        <v>CREMERIE</v>
      </c>
      <c r="F2001" s="14">
        <f t="shared" si="31"/>
        <v>202212</v>
      </c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</row>
    <row r="2002" spans="1:21" ht="12.75" customHeight="1">
      <c r="A2002" s="10">
        <v>143501016</v>
      </c>
      <c r="B2002" s="15">
        <v>5540246196800</v>
      </c>
      <c r="C2002" s="32">
        <v>44926</v>
      </c>
      <c r="D2002" s="11">
        <v>669</v>
      </c>
      <c r="E2002" s="14" t="str">
        <f>VLOOKUP(B2002, 'Catégorie des articles'!A:E, 4, FALSE)</f>
        <v>MIX LEGUMES</v>
      </c>
      <c r="F2002" s="14">
        <f t="shared" si="31"/>
        <v>202212</v>
      </c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</row>
    <row r="2003" spans="1:21" ht="12.75" customHeight="1">
      <c r="A2003" s="10">
        <v>143501018</v>
      </c>
      <c r="B2003" s="15">
        <v>5540246173472</v>
      </c>
      <c r="C2003" s="32">
        <v>44928</v>
      </c>
      <c r="D2003" s="11">
        <v>279</v>
      </c>
      <c r="E2003" s="14" t="str">
        <f>VLOOKUP(B2003, 'Catégorie des articles'!A:E, 4, FALSE)</f>
        <v>CREMERIE</v>
      </c>
      <c r="F2003" s="14">
        <f t="shared" si="31"/>
        <v>202301</v>
      </c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</row>
    <row r="2004" spans="1:21" ht="12.75" customHeight="1">
      <c r="A2004" s="7">
        <v>143501018</v>
      </c>
      <c r="B2004" s="13">
        <v>5540246174095</v>
      </c>
      <c r="C2004" s="31">
        <v>44928</v>
      </c>
      <c r="D2004" s="8">
        <v>279</v>
      </c>
      <c r="E2004" s="14" t="str">
        <f>VLOOKUP(B2004, 'Catégorie des articles'!A:E, 4, FALSE)</f>
        <v>CREMERIE</v>
      </c>
      <c r="F2004" s="14">
        <f t="shared" si="31"/>
        <v>202301</v>
      </c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</row>
    <row r="2005" spans="1:21" ht="12.75" customHeight="1">
      <c r="A2005" s="10">
        <v>143501018</v>
      </c>
      <c r="B2005" s="15">
        <v>5540246175049</v>
      </c>
      <c r="C2005" s="32">
        <v>44928</v>
      </c>
      <c r="D2005" s="11">
        <v>836</v>
      </c>
      <c r="E2005" s="14" t="str">
        <f>VLOOKUP(B2005, 'Catégorie des articles'!A:E, 4, FALSE)</f>
        <v>CREMERIE</v>
      </c>
      <c r="F2005" s="14">
        <f t="shared" si="31"/>
        <v>202301</v>
      </c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</row>
    <row r="2006" spans="1:21" ht="12.75" customHeight="1">
      <c r="A2006" s="7">
        <v>143501018</v>
      </c>
      <c r="B2006" s="13">
        <v>5540246175050</v>
      </c>
      <c r="C2006" s="31">
        <v>44928</v>
      </c>
      <c r="D2006" s="8">
        <v>557</v>
      </c>
      <c r="E2006" s="14" t="str">
        <f>VLOOKUP(B2006, 'Catégorie des articles'!A:E, 4, FALSE)</f>
        <v>CREMERIE</v>
      </c>
      <c r="F2006" s="14">
        <f t="shared" si="31"/>
        <v>202301</v>
      </c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</row>
    <row r="2007" spans="1:21" ht="12.75" customHeight="1">
      <c r="A2007" s="7">
        <v>143511044</v>
      </c>
      <c r="B2007" s="13">
        <v>5540246174174</v>
      </c>
      <c r="C2007" s="31">
        <v>44926</v>
      </c>
      <c r="D2007" s="8">
        <v>464</v>
      </c>
      <c r="E2007" s="14" t="str">
        <f>VLOOKUP(B2007, 'Catégorie des articles'!A:E, 4, FALSE)</f>
        <v>CREMERIE</v>
      </c>
      <c r="F2007" s="14">
        <f t="shared" si="31"/>
        <v>202212</v>
      </c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</row>
    <row r="2008" spans="1:21" ht="12.75" customHeight="1">
      <c r="A2008" s="7">
        <v>143511045</v>
      </c>
      <c r="B2008" s="13">
        <v>5540246176295</v>
      </c>
      <c r="C2008" s="31">
        <v>44926</v>
      </c>
      <c r="D2008" s="8">
        <v>7424</v>
      </c>
      <c r="E2008" s="14" t="str">
        <f>VLOOKUP(B2008, 'Catégorie des articles'!A:E, 4, FALSE)</f>
        <v>CREMERIE</v>
      </c>
      <c r="F2008" s="14">
        <f t="shared" si="31"/>
        <v>202212</v>
      </c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</row>
    <row r="2009" spans="1:21" ht="12.75" customHeight="1">
      <c r="A2009" s="10">
        <v>143511045</v>
      </c>
      <c r="B2009" s="15">
        <v>5540246188200</v>
      </c>
      <c r="C2009" s="32">
        <v>44926</v>
      </c>
      <c r="D2009" s="11">
        <v>2228</v>
      </c>
      <c r="E2009" s="14" t="str">
        <f>VLOOKUP(B2009, 'Catégorie des articles'!A:E, 4, FALSE)</f>
        <v>CREMERIE</v>
      </c>
      <c r="F2009" s="14">
        <f t="shared" si="31"/>
        <v>202212</v>
      </c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</row>
    <row r="2010" spans="1:21" ht="12.75" customHeight="1">
      <c r="A2010" s="10">
        <v>143511052</v>
      </c>
      <c r="B2010" s="15">
        <v>5540246175049</v>
      </c>
      <c r="C2010" s="32">
        <v>44932</v>
      </c>
      <c r="D2010" s="11">
        <v>1114</v>
      </c>
      <c r="E2010" s="14" t="str">
        <f>VLOOKUP(B2010, 'Catégorie des articles'!A:E, 4, FALSE)</f>
        <v>CREMERIE</v>
      </c>
      <c r="F2010" s="14">
        <f t="shared" si="31"/>
        <v>202301</v>
      </c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</row>
    <row r="2011" spans="1:21" ht="12.75" customHeight="1">
      <c r="A2011" s="7">
        <v>143511052</v>
      </c>
      <c r="B2011" s="13">
        <v>5540246175050</v>
      </c>
      <c r="C2011" s="31">
        <v>44932</v>
      </c>
      <c r="D2011" s="8">
        <v>557</v>
      </c>
      <c r="E2011" s="14" t="str">
        <f>VLOOKUP(B2011, 'Catégorie des articles'!A:E, 4, FALSE)</f>
        <v>CREMERIE</v>
      </c>
      <c r="F2011" s="14">
        <f t="shared" si="31"/>
        <v>202301</v>
      </c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</row>
    <row r="2012" spans="1:21" ht="12.75" customHeight="1">
      <c r="A2012" s="10">
        <v>143511064</v>
      </c>
      <c r="B2012" s="15">
        <v>5540246194632</v>
      </c>
      <c r="C2012" s="32">
        <v>44945</v>
      </c>
      <c r="D2012" s="11">
        <v>539</v>
      </c>
      <c r="E2012" s="14" t="str">
        <f>VLOOKUP(B2012, 'Catégorie des articles'!A:E, 4, FALSE)</f>
        <v>BOULANGERIE</v>
      </c>
      <c r="F2012" s="14">
        <f t="shared" si="31"/>
        <v>202301</v>
      </c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</row>
    <row r="2013" spans="1:21" ht="12.75" customHeight="1">
      <c r="A2013" s="7">
        <v>143511068</v>
      </c>
      <c r="B2013" s="13">
        <v>5540246192209</v>
      </c>
      <c r="C2013" s="31">
        <v>44940</v>
      </c>
      <c r="D2013" s="8">
        <v>1114</v>
      </c>
      <c r="E2013" s="14" t="str">
        <f>VLOOKUP(B2013, 'Catégorie des articles'!A:E, 4, FALSE)</f>
        <v>MIX LEGUMES</v>
      </c>
      <c r="F2013" s="14">
        <f t="shared" si="31"/>
        <v>202301</v>
      </c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</row>
    <row r="2014" spans="1:21" ht="12.75" customHeight="1">
      <c r="A2014" s="10">
        <v>143511068</v>
      </c>
      <c r="B2014" s="15">
        <v>5540246192594</v>
      </c>
      <c r="C2014" s="32">
        <v>44940</v>
      </c>
      <c r="D2014" s="11">
        <v>743</v>
      </c>
      <c r="E2014" s="14" t="str">
        <f>VLOOKUP(B2014, 'Catégorie des articles'!A:E, 4, FALSE)</f>
        <v>MIX LEGUMES</v>
      </c>
      <c r="F2014" s="14">
        <f t="shared" si="31"/>
        <v>202301</v>
      </c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</row>
    <row r="2015" spans="1:21" ht="12.75" customHeight="1">
      <c r="A2015" s="7">
        <v>143511068</v>
      </c>
      <c r="B2015" s="13">
        <v>5540246192831</v>
      </c>
      <c r="C2015" s="31">
        <v>44940</v>
      </c>
      <c r="D2015" s="8">
        <v>1300</v>
      </c>
      <c r="E2015" s="14" t="str">
        <f>VLOOKUP(B2015, 'Catégorie des articles'!A:E, 4, FALSE)</f>
        <v>MIX LEGUMES</v>
      </c>
      <c r="F2015" s="14">
        <f t="shared" si="31"/>
        <v>202301</v>
      </c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</row>
    <row r="2016" spans="1:21" ht="12.75" customHeight="1">
      <c r="A2016" s="7">
        <v>143511070</v>
      </c>
      <c r="B2016" s="13">
        <v>5540246193316</v>
      </c>
      <c r="C2016" s="31">
        <v>44945</v>
      </c>
      <c r="D2016" s="8">
        <v>669</v>
      </c>
      <c r="E2016" s="14" t="str">
        <f>VLOOKUP(B2016, 'Catégorie des articles'!A:E, 4, FALSE)</f>
        <v>BOULANGERIE</v>
      </c>
      <c r="F2016" s="14">
        <f t="shared" si="31"/>
        <v>202301</v>
      </c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</row>
    <row r="2017" spans="1:21" ht="12.75" customHeight="1">
      <c r="A2017" s="10">
        <v>143511082</v>
      </c>
      <c r="B2017" s="15">
        <v>5540246172669</v>
      </c>
      <c r="C2017" s="32">
        <v>44927</v>
      </c>
      <c r="D2017" s="11">
        <v>279</v>
      </c>
      <c r="E2017" s="14" t="str">
        <f>VLOOKUP(B2017, 'Catégorie des articles'!A:E, 4, FALSE)</f>
        <v>CREMERIE</v>
      </c>
      <c r="F2017" s="14">
        <f t="shared" si="31"/>
        <v>202301</v>
      </c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</row>
    <row r="2018" spans="1:21" ht="12.75" customHeight="1">
      <c r="A2018" s="10">
        <v>143511082</v>
      </c>
      <c r="B2018" s="15">
        <v>5540246174174</v>
      </c>
      <c r="C2018" s="32">
        <v>44927</v>
      </c>
      <c r="D2018" s="11">
        <v>464</v>
      </c>
      <c r="E2018" s="14" t="str">
        <f>VLOOKUP(B2018, 'Catégorie des articles'!A:E, 4, FALSE)</f>
        <v>CREMERIE</v>
      </c>
      <c r="F2018" s="14">
        <f t="shared" si="31"/>
        <v>202301</v>
      </c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</row>
    <row r="2019" spans="1:21" ht="12.75" customHeight="1">
      <c r="A2019" s="7">
        <v>143511082</v>
      </c>
      <c r="B2019" s="13">
        <v>5540246176699</v>
      </c>
      <c r="C2019" s="31">
        <v>44927</v>
      </c>
      <c r="D2019" s="8">
        <v>8352</v>
      </c>
      <c r="E2019" s="14" t="str">
        <f>VLOOKUP(B2019, 'Catégorie des articles'!A:E, 4, FALSE)</f>
        <v>CREMERIE</v>
      </c>
      <c r="F2019" s="14">
        <f t="shared" si="31"/>
        <v>202301</v>
      </c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</row>
    <row r="2020" spans="1:21" ht="12.75" customHeight="1">
      <c r="A2020" s="7">
        <v>143511082</v>
      </c>
      <c r="B2020" s="13">
        <v>5540246192102</v>
      </c>
      <c r="C2020" s="31">
        <v>44927</v>
      </c>
      <c r="D2020" s="8">
        <v>2005</v>
      </c>
      <c r="E2020" s="14" t="str">
        <f>VLOOKUP(B2020, 'Catégorie des articles'!A:E, 4, FALSE)</f>
        <v>CREMERIE</v>
      </c>
      <c r="F2020" s="14">
        <f t="shared" si="31"/>
        <v>202301</v>
      </c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</row>
    <row r="2021" spans="1:21" ht="12.75" customHeight="1">
      <c r="A2021" s="7">
        <v>143511083</v>
      </c>
      <c r="B2021" s="13">
        <v>5540246176295</v>
      </c>
      <c r="C2021" s="31">
        <v>44927</v>
      </c>
      <c r="D2021" s="8">
        <v>7424</v>
      </c>
      <c r="E2021" s="14" t="str">
        <f>VLOOKUP(B2021, 'Catégorie des articles'!A:E, 4, FALSE)</f>
        <v>CREMERIE</v>
      </c>
      <c r="F2021" s="14">
        <f t="shared" si="31"/>
        <v>202301</v>
      </c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</row>
    <row r="2022" spans="1:21" ht="12.75" customHeight="1">
      <c r="A2022" s="10">
        <v>143511083</v>
      </c>
      <c r="B2022" s="15">
        <v>5540246187987</v>
      </c>
      <c r="C2022" s="32">
        <v>44927</v>
      </c>
      <c r="D2022" s="11">
        <v>2228</v>
      </c>
      <c r="E2022" s="14" t="str">
        <f>VLOOKUP(B2022, 'Catégorie des articles'!A:E, 4, FALSE)</f>
        <v>CREMERIE</v>
      </c>
      <c r="F2022" s="14">
        <f t="shared" si="31"/>
        <v>202301</v>
      </c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</row>
    <row r="2023" spans="1:21" ht="12.75" customHeight="1">
      <c r="A2023" s="10">
        <v>143511097</v>
      </c>
      <c r="B2023" s="15">
        <v>5540246183130</v>
      </c>
      <c r="C2023" s="32">
        <v>44948</v>
      </c>
      <c r="D2023" s="11">
        <v>1692</v>
      </c>
      <c r="E2023" s="14" t="str">
        <f>VLOOKUP(B2023, 'Catégorie des articles'!A:E, 4, FALSE)</f>
        <v>MIX LEGUMES</v>
      </c>
      <c r="F2023" s="14">
        <f t="shared" si="31"/>
        <v>202301</v>
      </c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</row>
    <row r="2024" spans="1:21" ht="12.75" customHeight="1">
      <c r="A2024" s="7">
        <v>143511097</v>
      </c>
      <c r="B2024" s="13">
        <v>5540246183537</v>
      </c>
      <c r="C2024" s="31">
        <v>44948</v>
      </c>
      <c r="D2024" s="8">
        <v>961</v>
      </c>
      <c r="E2024" s="14" t="str">
        <f>VLOOKUP(B2024, 'Catégorie des articles'!A:E, 4, FALSE)</f>
        <v>MIX LEGUMES</v>
      </c>
      <c r="F2024" s="14">
        <f t="shared" si="31"/>
        <v>202301</v>
      </c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</row>
    <row r="2025" spans="1:21" ht="12.75" customHeight="1">
      <c r="A2025" s="10">
        <v>143511097</v>
      </c>
      <c r="B2025" s="15">
        <v>5540246183538</v>
      </c>
      <c r="C2025" s="32">
        <v>44948</v>
      </c>
      <c r="D2025" s="11">
        <v>919</v>
      </c>
      <c r="E2025" s="14" t="str">
        <f>VLOOKUP(B2025, 'Catégorie des articles'!A:E, 4, FALSE)</f>
        <v>MIX LEGUMES</v>
      </c>
      <c r="F2025" s="14">
        <f t="shared" si="31"/>
        <v>202301</v>
      </c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</row>
    <row r="2026" spans="1:21" ht="12.75" customHeight="1">
      <c r="A2026" s="7">
        <v>143511097</v>
      </c>
      <c r="B2026" s="13">
        <v>5540246183541</v>
      </c>
      <c r="C2026" s="31">
        <v>44948</v>
      </c>
      <c r="D2026" s="8">
        <v>928</v>
      </c>
      <c r="E2026" s="14" t="str">
        <f>VLOOKUP(B2026, 'Catégorie des articles'!A:E, 4, FALSE)</f>
        <v>MIX LEGUMES</v>
      </c>
      <c r="F2026" s="14">
        <f t="shared" si="31"/>
        <v>202301</v>
      </c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</row>
    <row r="2027" spans="1:21" ht="12.75" customHeight="1">
      <c r="A2027" s="10">
        <v>143511097</v>
      </c>
      <c r="B2027" s="15">
        <v>5540246183552</v>
      </c>
      <c r="C2027" s="32">
        <v>44948</v>
      </c>
      <c r="D2027" s="11">
        <v>2172</v>
      </c>
      <c r="E2027" s="14" t="str">
        <f>VLOOKUP(B2027, 'Catégorie des articles'!A:E, 4, FALSE)</f>
        <v>MIX LEGUMES</v>
      </c>
      <c r="F2027" s="14">
        <f t="shared" si="31"/>
        <v>202301</v>
      </c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</row>
    <row r="2028" spans="1:21" ht="12.75" customHeight="1">
      <c r="A2028" s="10">
        <v>143511097</v>
      </c>
      <c r="B2028" s="15">
        <v>5540246192571</v>
      </c>
      <c r="C2028" s="32">
        <v>44948</v>
      </c>
      <c r="D2028" s="11">
        <v>669</v>
      </c>
      <c r="E2028" s="14" t="str">
        <f>VLOOKUP(B2028, 'Catégorie des articles'!A:E, 4, FALSE)</f>
        <v>MIX LEGUMES</v>
      </c>
      <c r="F2028" s="14">
        <f t="shared" si="31"/>
        <v>202301</v>
      </c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</row>
    <row r="2029" spans="1:21" ht="12.75" customHeight="1">
      <c r="A2029" s="10">
        <v>143511101</v>
      </c>
      <c r="B2029" s="15">
        <v>5540246180522</v>
      </c>
      <c r="C2029" s="32">
        <v>44949</v>
      </c>
      <c r="D2029" s="11">
        <v>1782</v>
      </c>
      <c r="E2029" s="14" t="str">
        <f>VLOOKUP(B2029, 'Catégorie des articles'!A:E, 4, FALSE)</f>
        <v>BOULANGERIE</v>
      </c>
      <c r="F2029" s="14">
        <f t="shared" si="31"/>
        <v>202301</v>
      </c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</row>
    <row r="2030" spans="1:21" ht="12.75" customHeight="1">
      <c r="A2030" s="7">
        <v>143511101</v>
      </c>
      <c r="B2030" s="13">
        <v>5540246193409</v>
      </c>
      <c r="C2030" s="31">
        <v>44949</v>
      </c>
      <c r="D2030" s="8">
        <v>65</v>
      </c>
      <c r="E2030" s="14" t="str">
        <f>VLOOKUP(B2030, 'Catégorie des articles'!A:E, 4, FALSE)</f>
        <v>BOULANGERIE</v>
      </c>
      <c r="F2030" s="14">
        <f t="shared" si="31"/>
        <v>202301</v>
      </c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</row>
    <row r="2031" spans="1:21" ht="12.75" customHeight="1">
      <c r="A2031" s="10">
        <v>143511102</v>
      </c>
      <c r="B2031" s="15">
        <v>5540246191596</v>
      </c>
      <c r="C2031" s="32">
        <v>44946</v>
      </c>
      <c r="D2031" s="11">
        <v>297</v>
      </c>
      <c r="E2031" s="14" t="str">
        <f>VLOOKUP(B2031, 'Catégorie des articles'!A:E, 4, FALSE)</f>
        <v>BOULANGERIE</v>
      </c>
      <c r="F2031" s="14">
        <f t="shared" si="31"/>
        <v>202301</v>
      </c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</row>
    <row r="2032" spans="1:21" ht="12.75" customHeight="1">
      <c r="A2032" s="7">
        <v>143511102</v>
      </c>
      <c r="B2032" s="13">
        <v>5540246196466</v>
      </c>
      <c r="C2032" s="31">
        <v>44946</v>
      </c>
      <c r="D2032" s="8">
        <v>1188</v>
      </c>
      <c r="E2032" s="14" t="str">
        <f>VLOOKUP(B2032, 'Catégorie des articles'!A:E, 4, FALSE)</f>
        <v>BOULANGERIE</v>
      </c>
      <c r="F2032" s="14">
        <f t="shared" si="31"/>
        <v>202301</v>
      </c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</row>
    <row r="2033" spans="1:21" ht="12.75" customHeight="1">
      <c r="A2033" s="7">
        <v>143511120</v>
      </c>
      <c r="B2033" s="13">
        <v>5540246172978</v>
      </c>
      <c r="C2033" s="31">
        <v>44928</v>
      </c>
      <c r="D2033" s="8">
        <v>2506</v>
      </c>
      <c r="E2033" s="14" t="str">
        <f>VLOOKUP(B2033, 'Catégorie des articles'!A:E, 4, FALSE)</f>
        <v>CREMERIE</v>
      </c>
      <c r="F2033" s="14">
        <f t="shared" si="31"/>
        <v>202301</v>
      </c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</row>
    <row r="2034" spans="1:21" ht="12.75" customHeight="1">
      <c r="A2034" s="7">
        <v>143511120</v>
      </c>
      <c r="B2034" s="13">
        <v>5540246174174</v>
      </c>
      <c r="C2034" s="31">
        <v>44928</v>
      </c>
      <c r="D2034" s="8">
        <v>348</v>
      </c>
      <c r="E2034" s="14" t="str">
        <f>VLOOKUP(B2034, 'Catégorie des articles'!A:E, 4, FALSE)</f>
        <v>CREMERIE</v>
      </c>
      <c r="F2034" s="14">
        <f t="shared" si="31"/>
        <v>202301</v>
      </c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</row>
    <row r="2035" spans="1:21" ht="12.75" customHeight="1">
      <c r="A2035" s="7">
        <v>143511120</v>
      </c>
      <c r="B2035" s="13">
        <v>5540246176699</v>
      </c>
      <c r="C2035" s="31">
        <v>44928</v>
      </c>
      <c r="D2035" s="8">
        <v>4176</v>
      </c>
      <c r="E2035" s="14" t="str">
        <f>VLOOKUP(B2035, 'Catégorie des articles'!A:E, 4, FALSE)</f>
        <v>CREMERIE</v>
      </c>
      <c r="F2035" s="14">
        <f t="shared" si="31"/>
        <v>202301</v>
      </c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</row>
    <row r="2036" spans="1:21" ht="12.75" customHeight="1">
      <c r="A2036" s="10">
        <v>143511120</v>
      </c>
      <c r="B2036" s="15">
        <v>5540246188175</v>
      </c>
      <c r="C2036" s="32">
        <v>44928</v>
      </c>
      <c r="D2036" s="11">
        <v>696</v>
      </c>
      <c r="E2036" s="14" t="str">
        <f>VLOOKUP(B2036, 'Catégorie des articles'!A:E, 4, FALSE)</f>
        <v>CREMERIE</v>
      </c>
      <c r="F2036" s="14">
        <f t="shared" si="31"/>
        <v>202301</v>
      </c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</row>
    <row r="2037" spans="1:21" ht="12.75" customHeight="1">
      <c r="A2037" s="7">
        <v>143511121</v>
      </c>
      <c r="B2037" s="13">
        <v>5540246176294</v>
      </c>
      <c r="C2037" s="31">
        <v>44928</v>
      </c>
      <c r="D2037" s="8">
        <v>743</v>
      </c>
      <c r="E2037" s="14" t="str">
        <f>VLOOKUP(B2037, 'Catégorie des articles'!A:E, 4, FALSE)</f>
        <v>CREMERIE</v>
      </c>
      <c r="F2037" s="14">
        <f t="shared" si="31"/>
        <v>202301</v>
      </c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</row>
    <row r="2038" spans="1:21" ht="12.75" customHeight="1">
      <c r="A2038" s="10">
        <v>143511121</v>
      </c>
      <c r="B2038" s="15">
        <v>5540246176295</v>
      </c>
      <c r="C2038" s="32">
        <v>44928</v>
      </c>
      <c r="D2038" s="11">
        <v>4455</v>
      </c>
      <c r="E2038" s="14" t="str">
        <f>VLOOKUP(B2038, 'Catégorie des articles'!A:E, 4, FALSE)</f>
        <v>CREMERIE</v>
      </c>
      <c r="F2038" s="14">
        <f t="shared" si="31"/>
        <v>202301</v>
      </c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</row>
    <row r="2039" spans="1:21" ht="12.75" customHeight="1">
      <c r="A2039" s="10">
        <v>143511121</v>
      </c>
      <c r="B2039" s="15">
        <v>5540246188200</v>
      </c>
      <c r="C2039" s="32">
        <v>44928</v>
      </c>
      <c r="D2039" s="11">
        <v>1485</v>
      </c>
      <c r="E2039" s="14" t="str">
        <f>VLOOKUP(B2039, 'Catégorie des articles'!A:E, 4, FALSE)</f>
        <v>CREMERIE</v>
      </c>
      <c r="F2039" s="14">
        <f t="shared" si="31"/>
        <v>202301</v>
      </c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</row>
    <row r="2040" spans="1:21" ht="12.75" customHeight="1">
      <c r="A2040" s="10">
        <v>143511127</v>
      </c>
      <c r="B2040" s="15">
        <v>5540246191598</v>
      </c>
      <c r="C2040" s="32">
        <v>44932</v>
      </c>
      <c r="D2040" s="11">
        <v>1601</v>
      </c>
      <c r="E2040" s="14" t="str">
        <f>VLOOKUP(B2040, 'Catégorie des articles'!A:E, 4, FALSE)</f>
        <v>CREMERIE</v>
      </c>
      <c r="F2040" s="14">
        <f t="shared" si="31"/>
        <v>202301</v>
      </c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</row>
    <row r="2041" spans="1:21" ht="12.75" customHeight="1">
      <c r="A2041" s="10">
        <v>143511129</v>
      </c>
      <c r="B2041" s="15">
        <v>5540246195242</v>
      </c>
      <c r="C2041" s="32">
        <v>44946</v>
      </c>
      <c r="D2041" s="11">
        <v>743</v>
      </c>
      <c r="E2041" s="14" t="str">
        <f>VLOOKUP(B2041, 'Catégorie des articles'!A:E, 4, FALSE)</f>
        <v>MIX LEGUMES</v>
      </c>
      <c r="F2041" s="14">
        <f t="shared" si="31"/>
        <v>202301</v>
      </c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</row>
    <row r="2042" spans="1:21" ht="12.75" customHeight="1">
      <c r="A2042" s="10">
        <v>143511148</v>
      </c>
      <c r="B2042" s="15">
        <v>5540246174174</v>
      </c>
      <c r="C2042" s="32">
        <v>44931</v>
      </c>
      <c r="D2042" s="11">
        <v>232</v>
      </c>
      <c r="E2042" s="14" t="str">
        <f>VLOOKUP(B2042, 'Catégorie des articles'!A:E, 4, FALSE)</f>
        <v>CREMERIE</v>
      </c>
      <c r="F2042" s="14">
        <f t="shared" si="31"/>
        <v>202301</v>
      </c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</row>
    <row r="2043" spans="1:21" ht="12.75" customHeight="1">
      <c r="A2043" s="7">
        <v>143511148</v>
      </c>
      <c r="B2043" s="13">
        <v>5540246176699</v>
      </c>
      <c r="C2043" s="31">
        <v>44931</v>
      </c>
      <c r="D2043" s="8">
        <v>8352</v>
      </c>
      <c r="E2043" s="14" t="str">
        <f>VLOOKUP(B2043, 'Catégorie des articles'!A:E, 4, FALSE)</f>
        <v>CREMERIE</v>
      </c>
      <c r="F2043" s="14">
        <f t="shared" si="31"/>
        <v>202301</v>
      </c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</row>
    <row r="2044" spans="1:21" ht="12.75" customHeight="1">
      <c r="A2044" s="10">
        <v>143511149</v>
      </c>
      <c r="B2044" s="15">
        <v>5540246176294</v>
      </c>
      <c r="C2044" s="32">
        <v>44931</v>
      </c>
      <c r="D2044" s="11">
        <v>1485</v>
      </c>
      <c r="E2044" s="14" t="str">
        <f>VLOOKUP(B2044, 'Catégorie des articles'!A:E, 4, FALSE)</f>
        <v>CREMERIE</v>
      </c>
      <c r="F2044" s="14">
        <f t="shared" si="31"/>
        <v>202301</v>
      </c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</row>
    <row r="2045" spans="1:21" ht="12.75" customHeight="1">
      <c r="A2045" s="7">
        <v>143511149</v>
      </c>
      <c r="B2045" s="13">
        <v>5540246187987</v>
      </c>
      <c r="C2045" s="31">
        <v>44931</v>
      </c>
      <c r="D2045" s="8">
        <v>2784</v>
      </c>
      <c r="E2045" s="14" t="str">
        <f>VLOOKUP(B2045, 'Catégorie des articles'!A:E, 4, FALSE)</f>
        <v>CREMERIE</v>
      </c>
      <c r="F2045" s="14">
        <f t="shared" si="31"/>
        <v>202301</v>
      </c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</row>
    <row r="2046" spans="1:21" ht="12.75" customHeight="1">
      <c r="A2046" s="10">
        <v>143511152</v>
      </c>
      <c r="B2046" s="15">
        <v>5540246175049</v>
      </c>
      <c r="C2046" s="32">
        <v>44935</v>
      </c>
      <c r="D2046" s="11">
        <v>836</v>
      </c>
      <c r="E2046" s="14" t="str">
        <f>VLOOKUP(B2046, 'Catégorie des articles'!A:E, 4, FALSE)</f>
        <v>CREMERIE</v>
      </c>
      <c r="F2046" s="14">
        <f t="shared" si="31"/>
        <v>202301</v>
      </c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</row>
    <row r="2047" spans="1:21" ht="12.75" customHeight="1">
      <c r="A2047" s="7">
        <v>143511168</v>
      </c>
      <c r="B2047" s="13">
        <v>5540246183587</v>
      </c>
      <c r="C2047" s="31">
        <v>44948</v>
      </c>
      <c r="D2047" s="8">
        <v>502</v>
      </c>
      <c r="E2047" s="14" t="str">
        <f>VLOOKUP(B2047, 'Catégorie des articles'!A:E, 4, FALSE)</f>
        <v>MIX LEGUMES</v>
      </c>
      <c r="F2047" s="14">
        <f t="shared" si="31"/>
        <v>202301</v>
      </c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</row>
    <row r="2048" spans="1:21" ht="12.75" customHeight="1">
      <c r="A2048" s="10">
        <v>143511168</v>
      </c>
      <c r="B2048" s="15">
        <v>5540246183589</v>
      </c>
      <c r="C2048" s="32">
        <v>44948</v>
      </c>
      <c r="D2048" s="11">
        <v>1300</v>
      </c>
      <c r="E2048" s="14" t="str">
        <f>VLOOKUP(B2048, 'Catégorie des articles'!A:E, 4, FALSE)</f>
        <v>MIX LEGUMES</v>
      </c>
      <c r="F2048" s="14">
        <f t="shared" si="31"/>
        <v>202301</v>
      </c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</row>
    <row r="2049" spans="1:21" ht="12.75" customHeight="1">
      <c r="A2049" s="7">
        <v>143511168</v>
      </c>
      <c r="B2049" s="13">
        <v>5540246186352</v>
      </c>
      <c r="C2049" s="31">
        <v>44948</v>
      </c>
      <c r="D2049" s="8">
        <v>940</v>
      </c>
      <c r="E2049" s="14" t="str">
        <f>VLOOKUP(B2049, 'Catégorie des articles'!A:E, 4, FALSE)</f>
        <v>MIX LEGUMES</v>
      </c>
      <c r="F2049" s="14">
        <f t="shared" si="31"/>
        <v>202301</v>
      </c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</row>
    <row r="2050" spans="1:21" ht="12.75" customHeight="1">
      <c r="A2050" s="10">
        <v>143511168</v>
      </c>
      <c r="B2050" s="15">
        <v>5540246194790</v>
      </c>
      <c r="C2050" s="32">
        <v>44948</v>
      </c>
      <c r="D2050" s="11">
        <v>1316</v>
      </c>
      <c r="E2050" s="14" t="str">
        <f>VLOOKUP(B2050, 'Catégorie des articles'!A:E, 4, FALSE)</f>
        <v>MIX LEGUMES</v>
      </c>
      <c r="F2050" s="14">
        <f t="shared" ref="F2050:F2113" si="32">YEAR(C2050)*100 + MONTH(C2050)</f>
        <v>202301</v>
      </c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</row>
    <row r="2051" spans="1:21" ht="12.75" customHeight="1">
      <c r="A2051" s="7">
        <v>143511173</v>
      </c>
      <c r="B2051" s="13">
        <v>5540246192148</v>
      </c>
      <c r="C2051" s="31">
        <v>44946</v>
      </c>
      <c r="D2051" s="8">
        <v>45936</v>
      </c>
      <c r="E2051" s="14" t="str">
        <f>VLOOKUP(B2051, 'Catégorie des articles'!A:E, 4, FALSE)</f>
        <v>MIX LEGUMES</v>
      </c>
      <c r="F2051" s="14">
        <f t="shared" si="32"/>
        <v>202301</v>
      </c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</row>
    <row r="2052" spans="1:21" ht="12.75" customHeight="1">
      <c r="A2052" s="10">
        <v>143511174</v>
      </c>
      <c r="B2052" s="15">
        <v>5540246192148</v>
      </c>
      <c r="C2052" s="32">
        <v>44949</v>
      </c>
      <c r="D2052" s="11">
        <v>45936</v>
      </c>
      <c r="E2052" s="14" t="str">
        <f>VLOOKUP(B2052, 'Catégorie des articles'!A:E, 4, FALSE)</f>
        <v>MIX LEGUMES</v>
      </c>
      <c r="F2052" s="14">
        <f t="shared" si="32"/>
        <v>202301</v>
      </c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</row>
    <row r="2053" spans="1:21" ht="12.75" customHeight="1">
      <c r="A2053" s="10">
        <v>143511175</v>
      </c>
      <c r="B2053" s="15">
        <v>5540246171759</v>
      </c>
      <c r="C2053" s="32">
        <v>44947</v>
      </c>
      <c r="D2053" s="11">
        <v>5847</v>
      </c>
      <c r="E2053" s="14" t="str">
        <f>VLOOKUP(B2053, 'Catégorie des articles'!A:E, 4, FALSE)</f>
        <v>MIX LEGUMES</v>
      </c>
      <c r="F2053" s="14">
        <f t="shared" si="32"/>
        <v>202301</v>
      </c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</row>
    <row r="2054" spans="1:21" ht="12.75" customHeight="1">
      <c r="A2054" s="7">
        <v>143511175</v>
      </c>
      <c r="B2054" s="13">
        <v>5540246177133</v>
      </c>
      <c r="C2054" s="31">
        <v>44947</v>
      </c>
      <c r="D2054" s="8">
        <v>8352</v>
      </c>
      <c r="E2054" s="14" t="str">
        <f>VLOOKUP(B2054, 'Catégorie des articles'!A:E, 4, FALSE)</f>
        <v>MIX LEGUMES</v>
      </c>
      <c r="F2054" s="14">
        <f t="shared" si="32"/>
        <v>202301</v>
      </c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</row>
    <row r="2055" spans="1:21" ht="12.75" customHeight="1">
      <c r="A2055" s="10">
        <v>143511175</v>
      </c>
      <c r="B2055" s="15">
        <v>5540246192518</v>
      </c>
      <c r="C2055" s="32">
        <v>44947</v>
      </c>
      <c r="D2055" s="11">
        <v>4176</v>
      </c>
      <c r="E2055" s="14" t="str">
        <f>VLOOKUP(B2055, 'Catégorie des articles'!A:E, 4, FALSE)</f>
        <v>MIX LEGUMES</v>
      </c>
      <c r="F2055" s="14">
        <f t="shared" si="32"/>
        <v>202301</v>
      </c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</row>
    <row r="2056" spans="1:21" ht="12.75" customHeight="1">
      <c r="A2056" s="7">
        <v>143511188</v>
      </c>
      <c r="B2056" s="13">
        <v>5540246174174</v>
      </c>
      <c r="C2056" s="31">
        <v>44932</v>
      </c>
      <c r="D2056" s="8">
        <v>232</v>
      </c>
      <c r="E2056" s="14" t="str">
        <f>VLOOKUP(B2056, 'Catégorie des articles'!A:E, 4, FALSE)</f>
        <v>CREMERIE</v>
      </c>
      <c r="F2056" s="14">
        <f t="shared" si="32"/>
        <v>202301</v>
      </c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</row>
    <row r="2057" spans="1:21" ht="12.75" customHeight="1">
      <c r="A2057" s="7">
        <v>143511188</v>
      </c>
      <c r="B2057" s="13">
        <v>5540246188175</v>
      </c>
      <c r="C2057" s="31">
        <v>44932</v>
      </c>
      <c r="D2057" s="8">
        <v>464</v>
      </c>
      <c r="E2057" s="14" t="str">
        <f>VLOOKUP(B2057, 'Catégorie des articles'!A:E, 4, FALSE)</f>
        <v>CREMERIE</v>
      </c>
      <c r="F2057" s="14">
        <f t="shared" si="32"/>
        <v>202301</v>
      </c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</row>
    <row r="2058" spans="1:21" ht="12.75" customHeight="1">
      <c r="A2058" s="7">
        <v>143511189</v>
      </c>
      <c r="B2058" s="13">
        <v>5540246176294</v>
      </c>
      <c r="C2058" s="31">
        <v>44932</v>
      </c>
      <c r="D2058" s="8">
        <v>2228</v>
      </c>
      <c r="E2058" s="14" t="str">
        <f>VLOOKUP(B2058, 'Catégorie des articles'!A:E, 4, FALSE)</f>
        <v>CREMERIE</v>
      </c>
      <c r="F2058" s="14">
        <f t="shared" si="32"/>
        <v>202301</v>
      </c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</row>
    <row r="2059" spans="1:21" ht="12.75" customHeight="1">
      <c r="A2059" s="7">
        <v>143511189</v>
      </c>
      <c r="B2059" s="13">
        <v>5540246187987</v>
      </c>
      <c r="C2059" s="31">
        <v>44932</v>
      </c>
      <c r="D2059" s="8">
        <v>4455</v>
      </c>
      <c r="E2059" s="14" t="str">
        <f>VLOOKUP(B2059, 'Catégorie des articles'!A:E, 4, FALSE)</f>
        <v>CREMERIE</v>
      </c>
      <c r="F2059" s="14">
        <f t="shared" si="32"/>
        <v>202301</v>
      </c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</row>
    <row r="2060" spans="1:21" ht="12.75" customHeight="1">
      <c r="A2060" s="10">
        <v>143511189</v>
      </c>
      <c r="B2060" s="15">
        <v>5540246188200</v>
      </c>
      <c r="C2060" s="32">
        <v>44932</v>
      </c>
      <c r="D2060" s="11">
        <v>743</v>
      </c>
      <c r="E2060" s="14" t="str">
        <f>VLOOKUP(B2060, 'Catégorie des articles'!A:E, 4, FALSE)</f>
        <v>CREMERIE</v>
      </c>
      <c r="F2060" s="14">
        <f t="shared" si="32"/>
        <v>202301</v>
      </c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</row>
    <row r="2061" spans="1:21" ht="12.75" customHeight="1">
      <c r="A2061" s="7">
        <v>143511194</v>
      </c>
      <c r="B2061" s="13">
        <v>5540246185429</v>
      </c>
      <c r="C2061" s="31">
        <v>44935</v>
      </c>
      <c r="D2061" s="8">
        <v>140</v>
      </c>
      <c r="E2061" s="14" t="str">
        <f>VLOOKUP(B2061, 'Catégorie des articles'!A:E, 4, FALSE)</f>
        <v>CREMERIE</v>
      </c>
      <c r="F2061" s="14">
        <f t="shared" si="32"/>
        <v>202301</v>
      </c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</row>
    <row r="2062" spans="1:21" ht="12.75" customHeight="1">
      <c r="A2062" s="10">
        <v>143511194</v>
      </c>
      <c r="B2062" s="15">
        <v>5540246185562</v>
      </c>
      <c r="C2062" s="32">
        <v>44935</v>
      </c>
      <c r="D2062" s="11">
        <v>140</v>
      </c>
      <c r="E2062" s="14" t="str">
        <f>VLOOKUP(B2062, 'Catégorie des articles'!A:E, 4, FALSE)</f>
        <v>CREMERIE</v>
      </c>
      <c r="F2062" s="14">
        <f t="shared" si="32"/>
        <v>202301</v>
      </c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</row>
    <row r="2063" spans="1:21" ht="12.75" customHeight="1">
      <c r="A2063" s="10">
        <v>143511201</v>
      </c>
      <c r="B2063" s="15">
        <v>5540246173906</v>
      </c>
      <c r="C2063" s="32">
        <v>44942</v>
      </c>
      <c r="D2063" s="11">
        <v>3267</v>
      </c>
      <c r="E2063" s="14" t="str">
        <f>VLOOKUP(B2063, 'Catégorie des articles'!A:E, 4, FALSE)</f>
        <v>VOLAILLE</v>
      </c>
      <c r="F2063" s="14">
        <f t="shared" si="32"/>
        <v>202301</v>
      </c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</row>
    <row r="2064" spans="1:21" ht="12.75" customHeight="1">
      <c r="A2064" s="7">
        <v>143511201</v>
      </c>
      <c r="B2064" s="13">
        <v>5540246181016</v>
      </c>
      <c r="C2064" s="31">
        <v>44942</v>
      </c>
      <c r="D2064" s="8">
        <v>10691</v>
      </c>
      <c r="E2064" s="14" t="str">
        <f>VLOOKUP(B2064, 'Catégorie des articles'!A:E, 4, FALSE)</f>
        <v>VOLAILLE</v>
      </c>
      <c r="F2064" s="14">
        <f t="shared" si="32"/>
        <v>202301</v>
      </c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</row>
    <row r="2065" spans="1:21" ht="12.75" customHeight="1">
      <c r="A2065" s="7">
        <v>143511209</v>
      </c>
      <c r="B2065" s="13">
        <v>5540246194632</v>
      </c>
      <c r="C2065" s="31">
        <v>44948</v>
      </c>
      <c r="D2065" s="8">
        <v>713</v>
      </c>
      <c r="E2065" s="14" t="str">
        <f>VLOOKUP(B2065, 'Catégorie des articles'!A:E, 4, FALSE)</f>
        <v>BOULANGERIE</v>
      </c>
      <c r="F2065" s="14">
        <f t="shared" si="32"/>
        <v>202301</v>
      </c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</row>
    <row r="2066" spans="1:21" ht="12.75" customHeight="1">
      <c r="A2066" s="10">
        <v>143521222</v>
      </c>
      <c r="B2066" s="15">
        <v>5540246172539</v>
      </c>
      <c r="C2066" s="32">
        <v>44933</v>
      </c>
      <c r="D2066" s="11">
        <v>47</v>
      </c>
      <c r="E2066" s="14" t="str">
        <f>VLOOKUP(B2066, 'Catégorie des articles'!A:E, 4, FALSE)</f>
        <v>CREMERIE</v>
      </c>
      <c r="F2066" s="14">
        <f t="shared" si="32"/>
        <v>202301</v>
      </c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</row>
    <row r="2067" spans="1:21" ht="12.75" customHeight="1">
      <c r="A2067" s="7">
        <v>143521222</v>
      </c>
      <c r="B2067" s="13">
        <v>5540246172669</v>
      </c>
      <c r="C2067" s="31">
        <v>44933</v>
      </c>
      <c r="D2067" s="8">
        <v>279</v>
      </c>
      <c r="E2067" s="14" t="str">
        <f>VLOOKUP(B2067, 'Catégorie des articles'!A:E, 4, FALSE)</f>
        <v>CREMERIE</v>
      </c>
      <c r="F2067" s="14">
        <f t="shared" si="32"/>
        <v>202301</v>
      </c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</row>
    <row r="2068" spans="1:21" ht="12.75" customHeight="1">
      <c r="A2068" s="10">
        <v>143521222</v>
      </c>
      <c r="B2068" s="15">
        <v>5540246172978</v>
      </c>
      <c r="C2068" s="32">
        <v>44933</v>
      </c>
      <c r="D2068" s="11">
        <v>1671</v>
      </c>
      <c r="E2068" s="14" t="str">
        <f>VLOOKUP(B2068, 'Catégorie des articles'!A:E, 4, FALSE)</f>
        <v>CREMERIE</v>
      </c>
      <c r="F2068" s="14">
        <f t="shared" si="32"/>
        <v>202301</v>
      </c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</row>
    <row r="2069" spans="1:21" ht="12.75" customHeight="1">
      <c r="A2069" s="10">
        <v>143521222</v>
      </c>
      <c r="B2069" s="15">
        <v>5540246174174</v>
      </c>
      <c r="C2069" s="32">
        <v>44933</v>
      </c>
      <c r="D2069" s="11">
        <v>348</v>
      </c>
      <c r="E2069" s="14" t="str">
        <f>VLOOKUP(B2069, 'Catégorie des articles'!A:E, 4, FALSE)</f>
        <v>CREMERIE</v>
      </c>
      <c r="F2069" s="14">
        <f t="shared" si="32"/>
        <v>202301</v>
      </c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</row>
    <row r="2070" spans="1:21" ht="12.75" customHeight="1">
      <c r="A2070" s="7">
        <v>143521222</v>
      </c>
      <c r="B2070" s="13">
        <v>5540246176699</v>
      </c>
      <c r="C2070" s="31">
        <v>44933</v>
      </c>
      <c r="D2070" s="8">
        <v>8352</v>
      </c>
      <c r="E2070" s="14" t="str">
        <f>VLOOKUP(B2070, 'Catégorie des articles'!A:E, 4, FALSE)</f>
        <v>CREMERIE</v>
      </c>
      <c r="F2070" s="14">
        <f t="shared" si="32"/>
        <v>202301</v>
      </c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</row>
    <row r="2071" spans="1:21" ht="12.75" customHeight="1">
      <c r="A2071" s="10">
        <v>143521224</v>
      </c>
      <c r="B2071" s="15">
        <v>5540246176294</v>
      </c>
      <c r="C2071" s="32">
        <v>44933</v>
      </c>
      <c r="D2071" s="11">
        <v>1485</v>
      </c>
      <c r="E2071" s="14" t="str">
        <f>VLOOKUP(B2071, 'Catégorie des articles'!A:E, 4, FALSE)</f>
        <v>CREMERIE</v>
      </c>
      <c r="F2071" s="14">
        <f t="shared" si="32"/>
        <v>202301</v>
      </c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</row>
    <row r="2072" spans="1:21" ht="12.75" customHeight="1">
      <c r="A2072" s="7">
        <v>143521224</v>
      </c>
      <c r="B2072" s="13">
        <v>5540246176295</v>
      </c>
      <c r="C2072" s="31">
        <v>44933</v>
      </c>
      <c r="D2072" s="8">
        <v>14848</v>
      </c>
      <c r="E2072" s="14" t="str">
        <f>VLOOKUP(B2072, 'Catégorie des articles'!A:E, 4, FALSE)</f>
        <v>CREMERIE</v>
      </c>
      <c r="F2072" s="14">
        <f t="shared" si="32"/>
        <v>202301</v>
      </c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</row>
    <row r="2073" spans="1:21" ht="12.75" customHeight="1">
      <c r="A2073" s="7">
        <v>143521224</v>
      </c>
      <c r="B2073" s="13">
        <v>5540246187987</v>
      </c>
      <c r="C2073" s="31">
        <v>44933</v>
      </c>
      <c r="D2073" s="8">
        <v>6682</v>
      </c>
      <c r="E2073" s="14" t="str">
        <f>VLOOKUP(B2073, 'Catégorie des articles'!A:E, 4, FALSE)</f>
        <v>CREMERIE</v>
      </c>
      <c r="F2073" s="14">
        <f t="shared" si="32"/>
        <v>202301</v>
      </c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</row>
    <row r="2074" spans="1:21" ht="12.75" customHeight="1">
      <c r="A2074" s="10">
        <v>143521224</v>
      </c>
      <c r="B2074" s="15">
        <v>5540246188200</v>
      </c>
      <c r="C2074" s="32">
        <v>44933</v>
      </c>
      <c r="D2074" s="11">
        <v>2228</v>
      </c>
      <c r="E2074" s="14" t="str">
        <f>VLOOKUP(B2074, 'Catégorie des articles'!A:E, 4, FALSE)</f>
        <v>CREMERIE</v>
      </c>
      <c r="F2074" s="14">
        <f t="shared" si="32"/>
        <v>202301</v>
      </c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</row>
    <row r="2075" spans="1:21" ht="12.75" customHeight="1">
      <c r="A2075" s="7">
        <v>143521231</v>
      </c>
      <c r="B2075" s="13">
        <v>5540246191598</v>
      </c>
      <c r="C2075" s="31">
        <v>44935</v>
      </c>
      <c r="D2075" s="8">
        <v>1601</v>
      </c>
      <c r="E2075" s="14" t="str">
        <f>VLOOKUP(B2075, 'Catégorie des articles'!A:E, 4, FALSE)</f>
        <v>CREMERIE</v>
      </c>
      <c r="F2075" s="14">
        <f t="shared" si="32"/>
        <v>202301</v>
      </c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</row>
    <row r="2076" spans="1:21" ht="12.75" customHeight="1">
      <c r="A2076" s="10">
        <v>143521245</v>
      </c>
      <c r="B2076" s="15">
        <v>5540246175047</v>
      </c>
      <c r="C2076" s="32">
        <v>44939</v>
      </c>
      <c r="D2076" s="11">
        <v>418</v>
      </c>
      <c r="E2076" s="14" t="str">
        <f>VLOOKUP(B2076, 'Catégorie des articles'!A:E, 4, FALSE)</f>
        <v>CREMERIE</v>
      </c>
      <c r="F2076" s="14">
        <f t="shared" si="32"/>
        <v>202301</v>
      </c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</row>
    <row r="2077" spans="1:21" ht="12.75" customHeight="1">
      <c r="A2077" s="7">
        <v>143521245</v>
      </c>
      <c r="B2077" s="13">
        <v>5540246175049</v>
      </c>
      <c r="C2077" s="31">
        <v>44939</v>
      </c>
      <c r="D2077" s="8">
        <v>1114</v>
      </c>
      <c r="E2077" s="14" t="str">
        <f>VLOOKUP(B2077, 'Catégorie des articles'!A:E, 4, FALSE)</f>
        <v>CREMERIE</v>
      </c>
      <c r="F2077" s="14">
        <f t="shared" si="32"/>
        <v>202301</v>
      </c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</row>
    <row r="2078" spans="1:21" ht="12.75" customHeight="1">
      <c r="A2078" s="10">
        <v>143521245</v>
      </c>
      <c r="B2078" s="15">
        <v>5540246175050</v>
      </c>
      <c r="C2078" s="32">
        <v>44939</v>
      </c>
      <c r="D2078" s="11">
        <v>1114</v>
      </c>
      <c r="E2078" s="14" t="str">
        <f>VLOOKUP(B2078, 'Catégorie des articles'!A:E, 4, FALSE)</f>
        <v>CREMERIE</v>
      </c>
      <c r="F2078" s="14">
        <f t="shared" si="32"/>
        <v>202301</v>
      </c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</row>
    <row r="2079" spans="1:21" ht="12.75" customHeight="1">
      <c r="A2079" s="7">
        <v>143521272</v>
      </c>
      <c r="B2079" s="13">
        <v>5540246176699</v>
      </c>
      <c r="C2079" s="31">
        <v>44935</v>
      </c>
      <c r="D2079" s="8">
        <v>6264</v>
      </c>
      <c r="E2079" s="14" t="str">
        <f>VLOOKUP(B2079, 'Catégorie des articles'!A:E, 4, FALSE)</f>
        <v>CREMERIE</v>
      </c>
      <c r="F2079" s="14">
        <f t="shared" si="32"/>
        <v>202301</v>
      </c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</row>
    <row r="2080" spans="1:21" ht="12.75" customHeight="1">
      <c r="A2080" s="7">
        <v>143521272</v>
      </c>
      <c r="B2080" s="13">
        <v>5540246188175</v>
      </c>
      <c r="C2080" s="31">
        <v>44935</v>
      </c>
      <c r="D2080" s="8">
        <v>580</v>
      </c>
      <c r="E2080" s="14" t="str">
        <f>VLOOKUP(B2080, 'Catégorie des articles'!A:E, 4, FALSE)</f>
        <v>CREMERIE</v>
      </c>
      <c r="F2080" s="14">
        <f t="shared" si="32"/>
        <v>202301</v>
      </c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</row>
    <row r="2081" spans="1:21" ht="12.75" customHeight="1">
      <c r="A2081" s="10">
        <v>143521274</v>
      </c>
      <c r="B2081" s="15">
        <v>5540246176295</v>
      </c>
      <c r="C2081" s="32">
        <v>44935</v>
      </c>
      <c r="D2081" s="11">
        <v>7424</v>
      </c>
      <c r="E2081" s="14" t="str">
        <f>VLOOKUP(B2081, 'Catégorie des articles'!A:E, 4, FALSE)</f>
        <v>CREMERIE</v>
      </c>
      <c r="F2081" s="14">
        <f t="shared" si="32"/>
        <v>202301</v>
      </c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</row>
    <row r="2082" spans="1:21" ht="12.75" customHeight="1">
      <c r="A2082" s="7">
        <v>143521274</v>
      </c>
      <c r="B2082" s="13">
        <v>5540246187987</v>
      </c>
      <c r="C2082" s="31">
        <v>44935</v>
      </c>
      <c r="D2082" s="8">
        <v>4455</v>
      </c>
      <c r="E2082" s="14" t="str">
        <f>VLOOKUP(B2082, 'Catégorie des articles'!A:E, 4, FALSE)</f>
        <v>CREMERIE</v>
      </c>
      <c r="F2082" s="14">
        <f t="shared" si="32"/>
        <v>202301</v>
      </c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</row>
    <row r="2083" spans="1:21" ht="12.75" customHeight="1">
      <c r="A2083" s="10">
        <v>143521285</v>
      </c>
      <c r="B2083" s="15">
        <v>5540246194632</v>
      </c>
      <c r="C2083" s="32">
        <v>44942</v>
      </c>
      <c r="D2083" s="11">
        <v>418</v>
      </c>
      <c r="E2083" s="14" t="str">
        <f>VLOOKUP(B2083, 'Catégorie des articles'!A:E, 4, FALSE)</f>
        <v>BOULANGERIE</v>
      </c>
      <c r="F2083" s="14">
        <f t="shared" si="32"/>
        <v>202301</v>
      </c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</row>
    <row r="2084" spans="1:21" ht="12.75" customHeight="1">
      <c r="A2084" s="10">
        <v>143521289</v>
      </c>
      <c r="B2084" s="15">
        <v>5540246195250</v>
      </c>
      <c r="C2084" s="32">
        <v>44940</v>
      </c>
      <c r="D2084" s="11">
        <v>84</v>
      </c>
      <c r="E2084" s="14" t="str">
        <f>VLOOKUP(B2084, 'Catégorie des articles'!A:E, 4, FALSE)</f>
        <v>BOULANGERIE</v>
      </c>
      <c r="F2084" s="14">
        <f t="shared" si="32"/>
        <v>202301</v>
      </c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</row>
    <row r="2085" spans="1:21" ht="12.75" customHeight="1">
      <c r="A2085" s="10">
        <v>143521300</v>
      </c>
      <c r="B2085" s="15">
        <v>5540246176699</v>
      </c>
      <c r="C2085" s="32">
        <v>44938</v>
      </c>
      <c r="D2085" s="11">
        <v>4176</v>
      </c>
      <c r="E2085" s="14" t="str">
        <f>VLOOKUP(B2085, 'Catégorie des articles'!A:E, 4, FALSE)</f>
        <v>CREMERIE</v>
      </c>
      <c r="F2085" s="14">
        <f t="shared" si="32"/>
        <v>202301</v>
      </c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</row>
    <row r="2086" spans="1:21" ht="12.75" customHeight="1">
      <c r="A2086" s="7">
        <v>143521300</v>
      </c>
      <c r="B2086" s="13">
        <v>5540246192102</v>
      </c>
      <c r="C2086" s="31">
        <v>44938</v>
      </c>
      <c r="D2086" s="8">
        <v>4009</v>
      </c>
      <c r="E2086" s="14" t="str">
        <f>VLOOKUP(B2086, 'Catégorie des articles'!A:E, 4, FALSE)</f>
        <v>CREMERIE</v>
      </c>
      <c r="F2086" s="14">
        <f t="shared" si="32"/>
        <v>202301</v>
      </c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</row>
    <row r="2087" spans="1:21" ht="12.75" customHeight="1">
      <c r="A2087" s="7">
        <v>143521302</v>
      </c>
      <c r="B2087" s="13">
        <v>5540246187987</v>
      </c>
      <c r="C2087" s="31">
        <v>44938</v>
      </c>
      <c r="D2087" s="8">
        <v>3341</v>
      </c>
      <c r="E2087" s="14" t="str">
        <f>VLOOKUP(B2087, 'Catégorie des articles'!A:E, 4, FALSE)</f>
        <v>CREMERIE</v>
      </c>
      <c r="F2087" s="14">
        <f t="shared" si="32"/>
        <v>202301</v>
      </c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</row>
    <row r="2088" spans="1:21" ht="12.75" customHeight="1">
      <c r="A2088" s="10">
        <v>143521324</v>
      </c>
      <c r="B2088" s="15">
        <v>5540246172978</v>
      </c>
      <c r="C2088" s="32">
        <v>44939</v>
      </c>
      <c r="D2088" s="11">
        <v>836</v>
      </c>
      <c r="E2088" s="14" t="str">
        <f>VLOOKUP(B2088, 'Catégorie des articles'!A:E, 4, FALSE)</f>
        <v>CREMERIE</v>
      </c>
      <c r="F2088" s="14">
        <f t="shared" si="32"/>
        <v>202301</v>
      </c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</row>
    <row r="2089" spans="1:21" ht="12.75" customHeight="1">
      <c r="A2089" s="7">
        <v>143521324</v>
      </c>
      <c r="B2089" s="13">
        <v>5540246174174</v>
      </c>
      <c r="C2089" s="31">
        <v>44939</v>
      </c>
      <c r="D2089" s="8">
        <v>464</v>
      </c>
      <c r="E2089" s="14" t="str">
        <f>VLOOKUP(B2089, 'Catégorie des articles'!A:E, 4, FALSE)</f>
        <v>CREMERIE</v>
      </c>
      <c r="F2089" s="14">
        <f t="shared" si="32"/>
        <v>202301</v>
      </c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</row>
    <row r="2090" spans="1:21" ht="12.75" customHeight="1">
      <c r="A2090" s="7">
        <v>143521324</v>
      </c>
      <c r="B2090" s="13">
        <v>5540246176699</v>
      </c>
      <c r="C2090" s="31">
        <v>44939</v>
      </c>
      <c r="D2090" s="8">
        <v>4176</v>
      </c>
      <c r="E2090" s="14" t="str">
        <f>VLOOKUP(B2090, 'Catégorie des articles'!A:E, 4, FALSE)</f>
        <v>CREMERIE</v>
      </c>
      <c r="F2090" s="14">
        <f t="shared" si="32"/>
        <v>202301</v>
      </c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</row>
    <row r="2091" spans="1:21" ht="12.75" customHeight="1">
      <c r="A2091" s="10">
        <v>143521324</v>
      </c>
      <c r="B2091" s="15">
        <v>5540246188175</v>
      </c>
      <c r="C2091" s="32">
        <v>44939</v>
      </c>
      <c r="D2091" s="11">
        <v>464</v>
      </c>
      <c r="E2091" s="14" t="str">
        <f>VLOOKUP(B2091, 'Catégorie des articles'!A:E, 4, FALSE)</f>
        <v>CREMERIE</v>
      </c>
      <c r="F2091" s="14">
        <f t="shared" si="32"/>
        <v>202301</v>
      </c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</row>
    <row r="2092" spans="1:21" ht="12.75" customHeight="1">
      <c r="A2092" s="10">
        <v>143521325</v>
      </c>
      <c r="B2092" s="15">
        <v>5540246171933</v>
      </c>
      <c r="C2092" s="32">
        <v>44939</v>
      </c>
      <c r="D2092" s="11">
        <v>1671</v>
      </c>
      <c r="E2092" s="14" t="str">
        <f>VLOOKUP(B2092, 'Catégorie des articles'!A:E, 4, FALSE)</f>
        <v>CREMERIE</v>
      </c>
      <c r="F2092" s="14">
        <f t="shared" si="32"/>
        <v>202301</v>
      </c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</row>
    <row r="2093" spans="1:21" ht="12.75" customHeight="1">
      <c r="A2093" s="7">
        <v>143521325</v>
      </c>
      <c r="B2093" s="13">
        <v>5540246188200</v>
      </c>
      <c r="C2093" s="31">
        <v>44939</v>
      </c>
      <c r="D2093" s="8">
        <v>743</v>
      </c>
      <c r="E2093" s="14" t="str">
        <f>VLOOKUP(B2093, 'Catégorie des articles'!A:E, 4, FALSE)</f>
        <v>CREMERIE</v>
      </c>
      <c r="F2093" s="14">
        <f t="shared" si="32"/>
        <v>202301</v>
      </c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</row>
    <row r="2094" spans="1:21" ht="12.75" customHeight="1">
      <c r="A2094" s="7">
        <v>143521342</v>
      </c>
      <c r="B2094" s="13">
        <v>5540246185429</v>
      </c>
      <c r="C2094" s="31">
        <v>44940</v>
      </c>
      <c r="D2094" s="8">
        <v>140</v>
      </c>
      <c r="E2094" s="14" t="str">
        <f>VLOOKUP(B2094, 'Catégorie des articles'!A:E, 4, FALSE)</f>
        <v>CREMERIE</v>
      </c>
      <c r="F2094" s="14">
        <f t="shared" si="32"/>
        <v>202301</v>
      </c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</row>
    <row r="2095" spans="1:21" ht="12.75" customHeight="1">
      <c r="A2095" s="10">
        <v>143521342</v>
      </c>
      <c r="B2095" s="15">
        <v>5540246185562</v>
      </c>
      <c r="C2095" s="32">
        <v>44940</v>
      </c>
      <c r="D2095" s="11">
        <v>279</v>
      </c>
      <c r="E2095" s="14" t="str">
        <f>VLOOKUP(B2095, 'Catégorie des articles'!A:E, 4, FALSE)</f>
        <v>CREMERIE</v>
      </c>
      <c r="F2095" s="14">
        <f t="shared" si="32"/>
        <v>202301</v>
      </c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</row>
    <row r="2096" spans="1:21" ht="12.75" customHeight="1">
      <c r="A2096" s="7">
        <v>143521342</v>
      </c>
      <c r="B2096" s="13">
        <v>5540246186325</v>
      </c>
      <c r="C2096" s="31">
        <v>44940</v>
      </c>
      <c r="D2096" s="8">
        <v>279</v>
      </c>
      <c r="E2096" s="14" t="str">
        <f>VLOOKUP(B2096, 'Catégorie des articles'!A:E, 4, FALSE)</f>
        <v>CREMERIE</v>
      </c>
      <c r="F2096" s="14">
        <f t="shared" si="32"/>
        <v>202301</v>
      </c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</row>
    <row r="2097" spans="1:21" ht="12.75" customHeight="1">
      <c r="A2097" s="7">
        <v>143531365</v>
      </c>
      <c r="B2097" s="13">
        <v>5540246174174</v>
      </c>
      <c r="C2097" s="31">
        <v>44940</v>
      </c>
      <c r="D2097" s="8">
        <v>464</v>
      </c>
      <c r="E2097" s="14" t="str">
        <f>VLOOKUP(B2097, 'Catégorie des articles'!A:E, 4, FALSE)</f>
        <v>CREMERIE</v>
      </c>
      <c r="F2097" s="14">
        <f t="shared" si="32"/>
        <v>202301</v>
      </c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</row>
    <row r="2098" spans="1:21" ht="12.75" customHeight="1">
      <c r="A2098" s="10">
        <v>143531365</v>
      </c>
      <c r="B2098" s="15">
        <v>5540246188175</v>
      </c>
      <c r="C2098" s="32">
        <v>44940</v>
      </c>
      <c r="D2098" s="11">
        <v>464</v>
      </c>
      <c r="E2098" s="14" t="str">
        <f>VLOOKUP(B2098, 'Catégorie des articles'!A:E, 4, FALSE)</f>
        <v>CREMERIE</v>
      </c>
      <c r="F2098" s="14">
        <f t="shared" si="32"/>
        <v>202301</v>
      </c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</row>
    <row r="2099" spans="1:21" ht="12.75" customHeight="1">
      <c r="A2099" s="10">
        <v>143531366</v>
      </c>
      <c r="B2099" s="15">
        <v>5540246176294</v>
      </c>
      <c r="C2099" s="32">
        <v>44940</v>
      </c>
      <c r="D2099" s="11">
        <v>1114</v>
      </c>
      <c r="E2099" s="14" t="str">
        <f>VLOOKUP(B2099, 'Catégorie des articles'!A:E, 4, FALSE)</f>
        <v>CREMERIE</v>
      </c>
      <c r="F2099" s="14">
        <f t="shared" si="32"/>
        <v>202301</v>
      </c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</row>
    <row r="2100" spans="1:21" ht="12.75" customHeight="1">
      <c r="A2100" s="7">
        <v>143531366</v>
      </c>
      <c r="B2100" s="13">
        <v>5540246176295</v>
      </c>
      <c r="C2100" s="31">
        <v>44940</v>
      </c>
      <c r="D2100" s="8">
        <v>4381</v>
      </c>
      <c r="E2100" s="14" t="str">
        <f>VLOOKUP(B2100, 'Catégorie des articles'!A:E, 4, FALSE)</f>
        <v>CREMERIE</v>
      </c>
      <c r="F2100" s="14">
        <f t="shared" si="32"/>
        <v>202301</v>
      </c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</row>
    <row r="2101" spans="1:21" ht="12.75" customHeight="1">
      <c r="A2101" s="7">
        <v>143531382</v>
      </c>
      <c r="B2101" s="13">
        <v>5540246171933</v>
      </c>
      <c r="C2101" s="31">
        <v>44941</v>
      </c>
      <c r="D2101" s="8">
        <v>446</v>
      </c>
      <c r="E2101" s="14" t="str">
        <f>VLOOKUP(B2101, 'Catégorie des articles'!A:E, 4, FALSE)</f>
        <v>CREMERIE</v>
      </c>
      <c r="F2101" s="14">
        <f t="shared" si="32"/>
        <v>202301</v>
      </c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</row>
    <row r="2102" spans="1:21" ht="12.75" customHeight="1">
      <c r="A2102" s="7">
        <v>143531393</v>
      </c>
      <c r="B2102" s="13">
        <v>5540246194632</v>
      </c>
      <c r="C2102" s="31">
        <v>44940</v>
      </c>
      <c r="D2102" s="8">
        <v>251</v>
      </c>
      <c r="E2102" s="14" t="str">
        <f>VLOOKUP(B2102, 'Catégorie des articles'!A:E, 4, FALSE)</f>
        <v>BOULANGERIE</v>
      </c>
      <c r="F2102" s="14">
        <f t="shared" si="32"/>
        <v>202301</v>
      </c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</row>
    <row r="2103" spans="1:21" ht="12.75" customHeight="1">
      <c r="A2103" s="10">
        <v>143531423</v>
      </c>
      <c r="B2103" s="15">
        <v>5540246188175</v>
      </c>
      <c r="C2103" s="32">
        <v>44945</v>
      </c>
      <c r="D2103" s="11">
        <v>464</v>
      </c>
      <c r="E2103" s="14" t="str">
        <f>VLOOKUP(B2103, 'Catégorie des articles'!A:E, 4, FALSE)</f>
        <v>CREMERIE</v>
      </c>
      <c r="F2103" s="14">
        <f t="shared" si="32"/>
        <v>202301</v>
      </c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</row>
    <row r="2104" spans="1:21" ht="12.75" customHeight="1">
      <c r="A2104" s="7">
        <v>143531425</v>
      </c>
      <c r="B2104" s="13">
        <v>5540246171933</v>
      </c>
      <c r="C2104" s="31">
        <v>44945</v>
      </c>
      <c r="D2104" s="8">
        <v>1114</v>
      </c>
      <c r="E2104" s="14" t="str">
        <f>VLOOKUP(B2104, 'Catégorie des articles'!A:E, 4, FALSE)</f>
        <v>CREMERIE</v>
      </c>
      <c r="F2104" s="14">
        <f t="shared" si="32"/>
        <v>202301</v>
      </c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</row>
    <row r="2105" spans="1:21" ht="12.75" customHeight="1">
      <c r="A2105" s="10">
        <v>143531425</v>
      </c>
      <c r="B2105" s="15">
        <v>5540246176294</v>
      </c>
      <c r="C2105" s="32">
        <v>44945</v>
      </c>
      <c r="D2105" s="11">
        <v>743</v>
      </c>
      <c r="E2105" s="14" t="str">
        <f>VLOOKUP(B2105, 'Catégorie des articles'!A:E, 4, FALSE)</f>
        <v>CREMERIE</v>
      </c>
      <c r="F2105" s="14">
        <f t="shared" si="32"/>
        <v>202301</v>
      </c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</row>
    <row r="2106" spans="1:21" ht="12.75" customHeight="1">
      <c r="A2106" s="7">
        <v>143531425</v>
      </c>
      <c r="B2106" s="13">
        <v>5540246176295</v>
      </c>
      <c r="C2106" s="31">
        <v>44945</v>
      </c>
      <c r="D2106" s="8">
        <v>7424</v>
      </c>
      <c r="E2106" s="14" t="str">
        <f>VLOOKUP(B2106, 'Catégorie des articles'!A:E, 4, FALSE)</f>
        <v>CREMERIE</v>
      </c>
      <c r="F2106" s="14">
        <f t="shared" si="32"/>
        <v>202301</v>
      </c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</row>
    <row r="2107" spans="1:21" ht="12.75" customHeight="1">
      <c r="A2107" s="7">
        <v>143531425</v>
      </c>
      <c r="B2107" s="13">
        <v>5540246187987</v>
      </c>
      <c r="C2107" s="31">
        <v>44945</v>
      </c>
      <c r="D2107" s="8">
        <v>4455</v>
      </c>
      <c r="E2107" s="14" t="str">
        <f>VLOOKUP(B2107, 'Catégorie des articles'!A:E, 4, FALSE)</f>
        <v>CREMERIE</v>
      </c>
      <c r="F2107" s="14">
        <f t="shared" si="32"/>
        <v>202301</v>
      </c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</row>
    <row r="2108" spans="1:21" ht="12.75" customHeight="1">
      <c r="A2108" s="10">
        <v>143531430</v>
      </c>
      <c r="B2108" s="15">
        <v>5540246194632</v>
      </c>
      <c r="C2108" s="32">
        <v>44947</v>
      </c>
      <c r="D2108" s="11">
        <v>1253</v>
      </c>
      <c r="E2108" s="14" t="str">
        <f>VLOOKUP(B2108, 'Catégorie des articles'!A:E, 4, FALSE)</f>
        <v>BOULANGERIE</v>
      </c>
      <c r="F2108" s="14">
        <f t="shared" si="32"/>
        <v>202301</v>
      </c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</row>
    <row r="2109" spans="1:21" ht="12.75" customHeight="1">
      <c r="A2109" s="10">
        <v>143531432</v>
      </c>
      <c r="B2109" s="15">
        <v>5540246188175</v>
      </c>
      <c r="C2109" s="32">
        <v>44942</v>
      </c>
      <c r="D2109" s="11">
        <v>464</v>
      </c>
      <c r="E2109" s="14" t="str">
        <f>VLOOKUP(B2109, 'Catégorie des articles'!A:E, 4, FALSE)</f>
        <v>CREMERIE</v>
      </c>
      <c r="F2109" s="14">
        <f t="shared" si="32"/>
        <v>202301</v>
      </c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</row>
    <row r="2110" spans="1:21" ht="12.75" customHeight="1">
      <c r="A2110" s="7">
        <v>143531433</v>
      </c>
      <c r="B2110" s="13">
        <v>5540246188175</v>
      </c>
      <c r="C2110" s="31">
        <v>44946</v>
      </c>
      <c r="D2110" s="8">
        <v>1044</v>
      </c>
      <c r="E2110" s="14" t="str">
        <f>VLOOKUP(B2110, 'Catégorie des articles'!A:E, 4, FALSE)</f>
        <v>CREMERIE</v>
      </c>
      <c r="F2110" s="14">
        <f t="shared" si="32"/>
        <v>202301</v>
      </c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</row>
    <row r="2111" spans="1:21" ht="12.75" customHeight="1">
      <c r="A2111" s="7">
        <v>143531435</v>
      </c>
      <c r="B2111" s="13">
        <v>5540246183844</v>
      </c>
      <c r="C2111" s="31">
        <v>44946</v>
      </c>
      <c r="D2111" s="8">
        <v>325</v>
      </c>
      <c r="E2111" s="14" t="str">
        <f>VLOOKUP(B2111, 'Catégorie des articles'!A:E, 4, FALSE)</f>
        <v>BOULANGERIE</v>
      </c>
      <c r="F2111" s="14">
        <f t="shared" si="32"/>
        <v>202301</v>
      </c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</row>
    <row r="2112" spans="1:21" ht="12.75" customHeight="1">
      <c r="A2112" s="10">
        <v>143531453</v>
      </c>
      <c r="B2112" s="15">
        <v>5540246172978</v>
      </c>
      <c r="C2112" s="32">
        <v>44946</v>
      </c>
      <c r="D2112" s="11">
        <v>1671</v>
      </c>
      <c r="E2112" s="14" t="str">
        <f>VLOOKUP(B2112, 'Catégorie des articles'!A:E, 4, FALSE)</f>
        <v>CREMERIE</v>
      </c>
      <c r="F2112" s="14">
        <f t="shared" si="32"/>
        <v>202301</v>
      </c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</row>
    <row r="2113" spans="1:21" ht="12.75" customHeight="1">
      <c r="A2113" s="10">
        <v>143531453</v>
      </c>
      <c r="B2113" s="15">
        <v>5540246174174</v>
      </c>
      <c r="C2113" s="32">
        <v>44946</v>
      </c>
      <c r="D2113" s="11">
        <v>464</v>
      </c>
      <c r="E2113" s="14" t="str">
        <f>VLOOKUP(B2113, 'Catégorie des articles'!A:E, 4, FALSE)</f>
        <v>CREMERIE</v>
      </c>
      <c r="F2113" s="14">
        <f t="shared" si="32"/>
        <v>202301</v>
      </c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</row>
    <row r="2114" spans="1:21" ht="12.75" customHeight="1">
      <c r="A2114" s="7">
        <v>143531453</v>
      </c>
      <c r="B2114" s="13">
        <v>5540246176699</v>
      </c>
      <c r="C2114" s="31">
        <v>44946</v>
      </c>
      <c r="D2114" s="8">
        <v>4176</v>
      </c>
      <c r="E2114" s="14" t="str">
        <f>VLOOKUP(B2114, 'Catégorie des articles'!A:E, 4, FALSE)</f>
        <v>CREMERIE</v>
      </c>
      <c r="F2114" s="14">
        <f t="shared" ref="F2114:F2159" si="33">YEAR(C2114)*100 + MONTH(C2114)</f>
        <v>202301</v>
      </c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</row>
    <row r="2115" spans="1:21" ht="12.75" customHeight="1">
      <c r="A2115" s="10">
        <v>143531453</v>
      </c>
      <c r="B2115" s="15">
        <v>5540246192102</v>
      </c>
      <c r="C2115" s="32">
        <v>44946</v>
      </c>
      <c r="D2115" s="11">
        <v>2005</v>
      </c>
      <c r="E2115" s="14" t="str">
        <f>VLOOKUP(B2115, 'Catégorie des articles'!A:E, 4, FALSE)</f>
        <v>CREMERIE</v>
      </c>
      <c r="F2115" s="14">
        <f t="shared" si="33"/>
        <v>202301</v>
      </c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</row>
    <row r="2116" spans="1:21" ht="12.75" customHeight="1">
      <c r="A2116" s="10">
        <v>143531454</v>
      </c>
      <c r="B2116" s="15">
        <v>5540246171933</v>
      </c>
      <c r="C2116" s="32">
        <v>44946</v>
      </c>
      <c r="D2116" s="11">
        <v>557</v>
      </c>
      <c r="E2116" s="14" t="str">
        <f>VLOOKUP(B2116, 'Catégorie des articles'!A:E, 4, FALSE)</f>
        <v>CREMERIE</v>
      </c>
      <c r="F2116" s="14">
        <f t="shared" si="33"/>
        <v>202301</v>
      </c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</row>
    <row r="2117" spans="1:21" ht="12.75" customHeight="1">
      <c r="A2117" s="7">
        <v>143531454</v>
      </c>
      <c r="B2117" s="13">
        <v>5540246176294</v>
      </c>
      <c r="C2117" s="31">
        <v>44946</v>
      </c>
      <c r="D2117" s="8">
        <v>743</v>
      </c>
      <c r="E2117" s="14" t="str">
        <f>VLOOKUP(B2117, 'Catégorie des articles'!A:E, 4, FALSE)</f>
        <v>CREMERIE</v>
      </c>
      <c r="F2117" s="14">
        <f t="shared" si="33"/>
        <v>202301</v>
      </c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</row>
    <row r="2118" spans="1:21" ht="12.75" customHeight="1">
      <c r="A2118" s="10">
        <v>143531454</v>
      </c>
      <c r="B2118" s="15">
        <v>5540246176295</v>
      </c>
      <c r="C2118" s="32">
        <v>44946</v>
      </c>
      <c r="D2118" s="11">
        <v>7424</v>
      </c>
      <c r="E2118" s="14" t="str">
        <f>VLOOKUP(B2118, 'Catégorie des articles'!A:E, 4, FALSE)</f>
        <v>CREMERIE</v>
      </c>
      <c r="F2118" s="14">
        <f t="shared" si="33"/>
        <v>202301</v>
      </c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</row>
    <row r="2119" spans="1:21" ht="12.75" customHeight="1">
      <c r="A2119" s="7">
        <v>143531454</v>
      </c>
      <c r="B2119" s="13">
        <v>5540246187987</v>
      </c>
      <c r="C2119" s="31">
        <v>44946</v>
      </c>
      <c r="D2119" s="8">
        <v>4455</v>
      </c>
      <c r="E2119" s="14" t="str">
        <f>VLOOKUP(B2119, 'Catégorie des articles'!A:E, 4, FALSE)</f>
        <v>CREMERIE</v>
      </c>
      <c r="F2119" s="14">
        <f t="shared" si="33"/>
        <v>202301</v>
      </c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</row>
    <row r="2120" spans="1:21" ht="12.75" customHeight="1">
      <c r="A2120" s="10">
        <v>143531458</v>
      </c>
      <c r="B2120" s="15">
        <v>5540246188175</v>
      </c>
      <c r="C2120" s="32">
        <v>44943</v>
      </c>
      <c r="D2120" s="11">
        <v>1392</v>
      </c>
      <c r="E2120" s="14" t="str">
        <f>VLOOKUP(B2120, 'Catégorie des articles'!A:E, 4, FALSE)</f>
        <v>CREMERIE</v>
      </c>
      <c r="F2120" s="14">
        <f t="shared" si="33"/>
        <v>202301</v>
      </c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</row>
    <row r="2121" spans="1:21" ht="12.75" customHeight="1">
      <c r="A2121" s="10">
        <v>143531460</v>
      </c>
      <c r="B2121" s="15">
        <v>5540246191598</v>
      </c>
      <c r="C2121" s="32">
        <v>44947</v>
      </c>
      <c r="D2121" s="11">
        <v>1601</v>
      </c>
      <c r="E2121" s="14" t="str">
        <f>VLOOKUP(B2121, 'Catégorie des articles'!A:E, 4, FALSE)</f>
        <v>CREMERIE</v>
      </c>
      <c r="F2121" s="14">
        <f t="shared" si="33"/>
        <v>202301</v>
      </c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</row>
    <row r="2122" spans="1:21" ht="12.75" customHeight="1">
      <c r="A2122" s="7">
        <v>143541475</v>
      </c>
      <c r="B2122" s="13">
        <v>5540246172669</v>
      </c>
      <c r="C2122" s="31">
        <v>44947</v>
      </c>
      <c r="D2122" s="8">
        <v>279</v>
      </c>
      <c r="E2122" s="14" t="str">
        <f>VLOOKUP(B2122, 'Catégorie des articles'!A:E, 4, FALSE)</f>
        <v>CREMERIE</v>
      </c>
      <c r="F2122" s="14">
        <f t="shared" si="33"/>
        <v>202301</v>
      </c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</row>
    <row r="2123" spans="1:21" ht="12.75" customHeight="1">
      <c r="A2123" s="10">
        <v>143541475</v>
      </c>
      <c r="B2123" s="15">
        <v>5540246172978</v>
      </c>
      <c r="C2123" s="32">
        <v>44947</v>
      </c>
      <c r="D2123" s="11">
        <v>1253</v>
      </c>
      <c r="E2123" s="14" t="str">
        <f>VLOOKUP(B2123, 'Catégorie des articles'!A:E, 4, FALSE)</f>
        <v>CREMERIE</v>
      </c>
      <c r="F2123" s="14">
        <f t="shared" si="33"/>
        <v>202301</v>
      </c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</row>
    <row r="2124" spans="1:21" ht="12.75" customHeight="1">
      <c r="A2124" s="10">
        <v>143541475</v>
      </c>
      <c r="B2124" s="15">
        <v>5540246174174</v>
      </c>
      <c r="C2124" s="32">
        <v>44947</v>
      </c>
      <c r="D2124" s="11">
        <v>464</v>
      </c>
      <c r="E2124" s="14" t="str">
        <f>VLOOKUP(B2124, 'Catégorie des articles'!A:E, 4, FALSE)</f>
        <v>CREMERIE</v>
      </c>
      <c r="F2124" s="14">
        <f t="shared" si="33"/>
        <v>202301</v>
      </c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</row>
    <row r="2125" spans="1:21" ht="12.75" customHeight="1">
      <c r="A2125" s="10">
        <v>143541475</v>
      </c>
      <c r="B2125" s="15">
        <v>5540246176699</v>
      </c>
      <c r="C2125" s="32">
        <v>44947</v>
      </c>
      <c r="D2125" s="11">
        <v>4176</v>
      </c>
      <c r="E2125" s="14" t="str">
        <f>VLOOKUP(B2125, 'Catégorie des articles'!A:E, 4, FALSE)</f>
        <v>CREMERIE</v>
      </c>
      <c r="F2125" s="14">
        <f t="shared" si="33"/>
        <v>202301</v>
      </c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</row>
    <row r="2126" spans="1:21" ht="12.75" customHeight="1">
      <c r="A2126" s="10">
        <v>143541477</v>
      </c>
      <c r="B2126" s="15">
        <v>5540246176294</v>
      </c>
      <c r="C2126" s="32">
        <v>44947</v>
      </c>
      <c r="D2126" s="11">
        <v>1485</v>
      </c>
      <c r="E2126" s="14" t="str">
        <f>VLOOKUP(B2126, 'Catégorie des articles'!A:E, 4, FALSE)</f>
        <v>CREMERIE</v>
      </c>
      <c r="F2126" s="14">
        <f t="shared" si="33"/>
        <v>202301</v>
      </c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</row>
    <row r="2127" spans="1:21" ht="12.75" customHeight="1">
      <c r="A2127" s="7">
        <v>143541477</v>
      </c>
      <c r="B2127" s="13">
        <v>5540246176295</v>
      </c>
      <c r="C2127" s="31">
        <v>44947</v>
      </c>
      <c r="D2127" s="8">
        <v>11099</v>
      </c>
      <c r="E2127" s="14" t="str">
        <f>VLOOKUP(B2127, 'Catégorie des articles'!A:E, 4, FALSE)</f>
        <v>CREMERIE</v>
      </c>
      <c r="F2127" s="14">
        <f t="shared" si="33"/>
        <v>202301</v>
      </c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</row>
    <row r="2128" spans="1:21" ht="12.75" customHeight="1">
      <c r="A2128" s="10">
        <v>143541486</v>
      </c>
      <c r="B2128" s="15">
        <v>5540246173472</v>
      </c>
      <c r="C2128" s="32">
        <v>44949</v>
      </c>
      <c r="D2128" s="11">
        <v>140</v>
      </c>
      <c r="E2128" s="14" t="str">
        <f>VLOOKUP(B2128, 'Catégorie des articles'!A:E, 4, FALSE)</f>
        <v>CREMERIE</v>
      </c>
      <c r="F2128" s="14">
        <f t="shared" si="33"/>
        <v>202301</v>
      </c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</row>
    <row r="2129" spans="1:21" ht="12.75" customHeight="1">
      <c r="A2129" s="7">
        <v>143541486</v>
      </c>
      <c r="B2129" s="13">
        <v>5540246174095</v>
      </c>
      <c r="C2129" s="31">
        <v>44949</v>
      </c>
      <c r="D2129" s="8">
        <v>140</v>
      </c>
      <c r="E2129" s="14" t="str">
        <f>VLOOKUP(B2129, 'Catégorie des articles'!A:E, 4, FALSE)</f>
        <v>CREMERIE</v>
      </c>
      <c r="F2129" s="14">
        <f t="shared" si="33"/>
        <v>202301</v>
      </c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</row>
    <row r="2130" spans="1:21" ht="12.75" customHeight="1">
      <c r="A2130" s="10">
        <v>143541486</v>
      </c>
      <c r="B2130" s="15">
        <v>5540246175049</v>
      </c>
      <c r="C2130" s="32">
        <v>44949</v>
      </c>
      <c r="D2130" s="11">
        <v>836</v>
      </c>
      <c r="E2130" s="14" t="str">
        <f>VLOOKUP(B2130, 'Catégorie des articles'!A:E, 4, FALSE)</f>
        <v>CREMERIE</v>
      </c>
      <c r="F2130" s="14">
        <f t="shared" si="33"/>
        <v>202301</v>
      </c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</row>
    <row r="2131" spans="1:21" ht="12.75" customHeight="1">
      <c r="A2131" s="7">
        <v>143541486</v>
      </c>
      <c r="B2131" s="13">
        <v>5540246175050</v>
      </c>
      <c r="C2131" s="31">
        <v>44949</v>
      </c>
      <c r="D2131" s="8">
        <v>836</v>
      </c>
      <c r="E2131" s="14" t="str">
        <f>VLOOKUP(B2131, 'Catégorie des articles'!A:E, 4, FALSE)</f>
        <v>CREMERIE</v>
      </c>
      <c r="F2131" s="14">
        <f t="shared" si="33"/>
        <v>202301</v>
      </c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</row>
    <row r="2132" spans="1:21" ht="12.75" customHeight="1">
      <c r="A2132" s="10">
        <v>143541486</v>
      </c>
      <c r="B2132" s="15">
        <v>5540246190743</v>
      </c>
      <c r="C2132" s="32">
        <v>44949</v>
      </c>
      <c r="D2132" s="11">
        <v>140</v>
      </c>
      <c r="E2132" s="14" t="str">
        <f>VLOOKUP(B2132, 'Catégorie des articles'!A:E, 4, FALSE)</f>
        <v>CREMERIE</v>
      </c>
      <c r="F2132" s="14">
        <f t="shared" si="33"/>
        <v>202301</v>
      </c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</row>
    <row r="2133" spans="1:21" ht="12.75" customHeight="1">
      <c r="A2133" s="10">
        <v>143541505</v>
      </c>
      <c r="B2133" s="15">
        <v>5540246172539</v>
      </c>
      <c r="C2133" s="32">
        <v>44948</v>
      </c>
      <c r="D2133" s="11">
        <v>70</v>
      </c>
      <c r="E2133" s="14" t="str">
        <f>VLOOKUP(B2133, 'Catégorie des articles'!A:E, 4, FALSE)</f>
        <v>CREMERIE</v>
      </c>
      <c r="F2133" s="14">
        <f t="shared" si="33"/>
        <v>202301</v>
      </c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</row>
    <row r="2134" spans="1:21" ht="12.75" customHeight="1">
      <c r="A2134" s="7">
        <v>143541505</v>
      </c>
      <c r="B2134" s="13">
        <v>5540246172669</v>
      </c>
      <c r="C2134" s="31">
        <v>44948</v>
      </c>
      <c r="D2134" s="8">
        <v>279</v>
      </c>
      <c r="E2134" s="14" t="str">
        <f>VLOOKUP(B2134, 'Catégorie des articles'!A:E, 4, FALSE)</f>
        <v>CREMERIE</v>
      </c>
      <c r="F2134" s="14">
        <f t="shared" si="33"/>
        <v>202301</v>
      </c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</row>
    <row r="2135" spans="1:21" ht="12.75" customHeight="1">
      <c r="A2135" s="10">
        <v>143541505</v>
      </c>
      <c r="B2135" s="15">
        <v>5540246172978</v>
      </c>
      <c r="C2135" s="32">
        <v>44948</v>
      </c>
      <c r="D2135" s="11">
        <v>418</v>
      </c>
      <c r="E2135" s="14" t="str">
        <f>VLOOKUP(B2135, 'Catégorie des articles'!A:E, 4, FALSE)</f>
        <v>CREMERIE</v>
      </c>
      <c r="F2135" s="14">
        <f t="shared" si="33"/>
        <v>202301</v>
      </c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</row>
    <row r="2136" spans="1:21" ht="12.75" customHeight="1">
      <c r="A2136" s="10">
        <v>143541505</v>
      </c>
      <c r="B2136" s="15">
        <v>5540246174174</v>
      </c>
      <c r="C2136" s="32">
        <v>44948</v>
      </c>
      <c r="D2136" s="11">
        <v>464</v>
      </c>
      <c r="E2136" s="14" t="str">
        <f>VLOOKUP(B2136, 'Catégorie des articles'!A:E, 4, FALSE)</f>
        <v>CREMERIE</v>
      </c>
      <c r="F2136" s="14">
        <f t="shared" si="33"/>
        <v>202301</v>
      </c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</row>
    <row r="2137" spans="1:21" ht="12.75" customHeight="1">
      <c r="A2137" s="7">
        <v>143541505</v>
      </c>
      <c r="B2137" s="13">
        <v>5540246176699</v>
      </c>
      <c r="C2137" s="31">
        <v>44948</v>
      </c>
      <c r="D2137" s="8">
        <v>12528</v>
      </c>
      <c r="E2137" s="14" t="str">
        <f>VLOOKUP(B2137, 'Catégorie des articles'!A:E, 4, FALSE)</f>
        <v>CREMERIE</v>
      </c>
      <c r="F2137" s="14">
        <f t="shared" si="33"/>
        <v>202301</v>
      </c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</row>
    <row r="2138" spans="1:21" ht="12.75" customHeight="1">
      <c r="A2138" s="10">
        <v>143541506</v>
      </c>
      <c r="B2138" s="15">
        <v>5540246171933</v>
      </c>
      <c r="C2138" s="32">
        <v>44948</v>
      </c>
      <c r="D2138" s="11">
        <v>1114</v>
      </c>
      <c r="E2138" s="14" t="str">
        <f>VLOOKUP(B2138, 'Catégorie des articles'!A:E, 4, FALSE)</f>
        <v>CREMERIE</v>
      </c>
      <c r="F2138" s="14">
        <f t="shared" si="33"/>
        <v>202301</v>
      </c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</row>
    <row r="2139" spans="1:21" ht="12.75" customHeight="1">
      <c r="A2139" s="10">
        <v>143541506</v>
      </c>
      <c r="B2139" s="15">
        <v>5540246187987</v>
      </c>
      <c r="C2139" s="32">
        <v>44948</v>
      </c>
      <c r="D2139" s="11">
        <v>4455</v>
      </c>
      <c r="E2139" s="14" t="str">
        <f>VLOOKUP(B2139, 'Catégorie des articles'!A:E, 4, FALSE)</f>
        <v>CREMERIE</v>
      </c>
      <c r="F2139" s="14">
        <f t="shared" si="33"/>
        <v>202301</v>
      </c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</row>
    <row r="2140" spans="1:21" ht="12.75" customHeight="1">
      <c r="A2140" s="7">
        <v>143541532</v>
      </c>
      <c r="B2140" s="13">
        <v>5540246172978</v>
      </c>
      <c r="C2140" s="31">
        <v>44949</v>
      </c>
      <c r="D2140" s="8">
        <v>2506</v>
      </c>
      <c r="E2140" s="14" t="str">
        <f>VLOOKUP(B2140, 'Catégorie des articles'!A:E, 4, FALSE)</f>
        <v>CREMERIE</v>
      </c>
      <c r="F2140" s="14">
        <f t="shared" si="33"/>
        <v>202301</v>
      </c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</row>
    <row r="2141" spans="1:21" ht="12.75" customHeight="1">
      <c r="A2141" s="10">
        <v>143541535</v>
      </c>
      <c r="B2141" s="15">
        <v>5540246171933</v>
      </c>
      <c r="C2141" s="32">
        <v>44949</v>
      </c>
      <c r="D2141" s="11">
        <v>557</v>
      </c>
      <c r="E2141" s="14" t="str">
        <f>VLOOKUP(B2141, 'Catégorie des articles'!A:E, 4, FALSE)</f>
        <v>CREMERIE</v>
      </c>
      <c r="F2141" s="14">
        <f t="shared" si="33"/>
        <v>202301</v>
      </c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</row>
    <row r="2142" spans="1:21" ht="12.75" customHeight="1">
      <c r="A2142" s="10">
        <v>143541535</v>
      </c>
      <c r="B2142" s="15">
        <v>5540246176294</v>
      </c>
      <c r="C2142" s="32">
        <v>44949</v>
      </c>
      <c r="D2142" s="11">
        <v>743</v>
      </c>
      <c r="E2142" s="14" t="str">
        <f>VLOOKUP(B2142, 'Catégorie des articles'!A:E, 4, FALSE)</f>
        <v>CREMERIE</v>
      </c>
      <c r="F2142" s="14">
        <f t="shared" si="33"/>
        <v>202301</v>
      </c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</row>
    <row r="2143" spans="1:21" ht="12.75" customHeight="1">
      <c r="A2143" s="7">
        <v>143541535</v>
      </c>
      <c r="B2143" s="13">
        <v>5540246187987</v>
      </c>
      <c r="C2143" s="31">
        <v>44949</v>
      </c>
      <c r="D2143" s="8">
        <v>3341</v>
      </c>
      <c r="E2143" s="14" t="str">
        <f>VLOOKUP(B2143, 'Catégorie des articles'!A:E, 4, FALSE)</f>
        <v>CREMERIE</v>
      </c>
      <c r="F2143" s="14">
        <f t="shared" si="33"/>
        <v>202301</v>
      </c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</row>
    <row r="2144" spans="1:21" ht="12.75" customHeight="1">
      <c r="A2144" s="7">
        <v>143541537</v>
      </c>
      <c r="B2144" s="13">
        <v>5540246188175</v>
      </c>
      <c r="C2144" s="31">
        <v>44953</v>
      </c>
      <c r="D2144" s="8">
        <v>743</v>
      </c>
      <c r="E2144" s="14" t="str">
        <f>VLOOKUP(B2144, 'Catégorie des articles'!A:E, 4, FALSE)</f>
        <v>CREMERIE</v>
      </c>
      <c r="F2144" s="14">
        <f t="shared" si="33"/>
        <v>202301</v>
      </c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</row>
    <row r="2145" spans="1:23" ht="12.75" customHeight="1">
      <c r="A2145" s="7">
        <v>143541542</v>
      </c>
      <c r="B2145" s="13">
        <v>5540246186325</v>
      </c>
      <c r="C2145" s="31">
        <v>44953</v>
      </c>
      <c r="D2145" s="8">
        <v>279</v>
      </c>
      <c r="E2145" s="14" t="str">
        <f>VLOOKUP(B2145, 'Catégorie des articles'!A:E, 4, FALSE)</f>
        <v>CREMERIE</v>
      </c>
      <c r="F2145" s="14">
        <f t="shared" si="33"/>
        <v>202301</v>
      </c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</row>
    <row r="2146" spans="1:23" ht="12.75" customHeight="1">
      <c r="A2146" s="10">
        <v>143541565</v>
      </c>
      <c r="B2146" s="15">
        <v>5540246172978</v>
      </c>
      <c r="C2146" s="32">
        <v>44952</v>
      </c>
      <c r="D2146" s="11">
        <v>836</v>
      </c>
      <c r="E2146" s="14" t="str">
        <f>VLOOKUP(B2146, 'Catégorie des articles'!A:E, 4, FALSE)</f>
        <v>CREMERIE</v>
      </c>
      <c r="F2146" s="14">
        <f t="shared" si="33"/>
        <v>202301</v>
      </c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</row>
    <row r="2147" spans="1:23" ht="12.75" customHeight="1">
      <c r="A2147" s="10">
        <v>143541566</v>
      </c>
      <c r="B2147" s="15">
        <v>5540246171933</v>
      </c>
      <c r="C2147" s="32">
        <v>44952</v>
      </c>
      <c r="D2147" s="11">
        <v>1003</v>
      </c>
      <c r="E2147" s="14" t="str">
        <f>VLOOKUP(B2147, 'Catégorie des articles'!A:E, 4, FALSE)</f>
        <v>CREMERIE</v>
      </c>
      <c r="F2147" s="14">
        <f t="shared" si="33"/>
        <v>202301</v>
      </c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</row>
    <row r="2148" spans="1:23" ht="12.75" customHeight="1">
      <c r="A2148" s="10">
        <v>143541566</v>
      </c>
      <c r="B2148" s="15">
        <v>5540246176294</v>
      </c>
      <c r="C2148" s="32">
        <v>44952</v>
      </c>
      <c r="D2148" s="11">
        <v>743</v>
      </c>
      <c r="E2148" s="14" t="str">
        <f>VLOOKUP(B2148, 'Catégorie des articles'!A:E, 4, FALSE)</f>
        <v>CREMERIE</v>
      </c>
      <c r="F2148" s="14">
        <f t="shared" si="33"/>
        <v>202301</v>
      </c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</row>
    <row r="2149" spans="1:23" ht="12.75" customHeight="1">
      <c r="A2149" s="10">
        <v>143541573</v>
      </c>
      <c r="B2149" s="15">
        <v>5540246191594</v>
      </c>
      <c r="C2149" s="32">
        <v>44953</v>
      </c>
      <c r="D2149" s="11">
        <v>1504</v>
      </c>
      <c r="E2149" s="14" t="str">
        <f>VLOOKUP(B2149, 'Catégorie des articles'!A:E, 4, FALSE)</f>
        <v>CREMERIE</v>
      </c>
      <c r="F2149" s="14">
        <f t="shared" si="33"/>
        <v>202301</v>
      </c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</row>
    <row r="2150" spans="1:23" ht="12.75" customHeight="1">
      <c r="A2150" s="7">
        <v>143541573</v>
      </c>
      <c r="B2150" s="13">
        <v>5540246191598</v>
      </c>
      <c r="C2150" s="31">
        <v>44953</v>
      </c>
      <c r="D2150" s="8">
        <v>1601</v>
      </c>
      <c r="E2150" s="14" t="str">
        <f>VLOOKUP(B2150, 'Catégorie des articles'!A:E, 4, FALSE)</f>
        <v>CREMERIE</v>
      </c>
      <c r="F2150" s="14">
        <f t="shared" si="33"/>
        <v>202301</v>
      </c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</row>
    <row r="2151" spans="1:23" ht="12.75" customHeight="1">
      <c r="A2151" s="10">
        <v>143541573</v>
      </c>
      <c r="B2151" s="15">
        <v>5540246192102</v>
      </c>
      <c r="C2151" s="32">
        <v>44953</v>
      </c>
      <c r="D2151" s="11">
        <v>2005</v>
      </c>
      <c r="E2151" s="14" t="str">
        <f>VLOOKUP(B2151, 'Catégorie des articles'!A:E, 4, FALSE)</f>
        <v>CREMERIE</v>
      </c>
      <c r="F2151" s="14">
        <f t="shared" si="33"/>
        <v>202301</v>
      </c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</row>
    <row r="2152" spans="1:23" ht="12.75" customHeight="1">
      <c r="A2152" s="7">
        <v>143541581</v>
      </c>
      <c r="B2152" s="13">
        <v>5540246188175</v>
      </c>
      <c r="C2152" s="31">
        <v>44949</v>
      </c>
      <c r="D2152" s="8">
        <v>1253</v>
      </c>
      <c r="E2152" s="14" t="str">
        <f>VLOOKUP(B2152, 'Catégorie des articles'!A:E, 4, FALSE)</f>
        <v>CREMERIE</v>
      </c>
      <c r="F2152" s="14">
        <f t="shared" si="33"/>
        <v>202301</v>
      </c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</row>
    <row r="2153" spans="1:23" ht="12.75" customHeight="1">
      <c r="A2153" s="10">
        <v>143541594</v>
      </c>
      <c r="B2153" s="15">
        <v>5540246194632</v>
      </c>
      <c r="C2153" s="32">
        <v>44950</v>
      </c>
      <c r="D2153" s="11">
        <v>335</v>
      </c>
      <c r="E2153" s="14" t="str">
        <f>VLOOKUP(B2153, 'Catégorie des articles'!A:E, 4, FALSE)</f>
        <v>BOULANGERIE</v>
      </c>
      <c r="F2153" s="14">
        <f t="shared" si="33"/>
        <v>202301</v>
      </c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</row>
    <row r="2154" spans="1:23" ht="12.75" customHeight="1">
      <c r="A2154" s="10">
        <v>143541595</v>
      </c>
      <c r="B2154" s="15">
        <v>5540246174174</v>
      </c>
      <c r="C2154" s="32">
        <v>44953</v>
      </c>
      <c r="D2154" s="11">
        <v>464</v>
      </c>
      <c r="E2154" s="14" t="str">
        <f>VLOOKUP(B2154, 'Catégorie des articles'!A:E, 4, FALSE)</f>
        <v>CREMERIE</v>
      </c>
      <c r="F2154" s="14">
        <f t="shared" si="33"/>
        <v>202301</v>
      </c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</row>
    <row r="2155" spans="1:23" ht="12.75" customHeight="1">
      <c r="A2155" s="7">
        <v>143541595</v>
      </c>
      <c r="B2155" s="13">
        <v>5540246176699</v>
      </c>
      <c r="C2155" s="31">
        <v>44953</v>
      </c>
      <c r="D2155" s="8">
        <v>4176</v>
      </c>
      <c r="E2155" s="14" t="str">
        <f>VLOOKUP(B2155, 'Catégorie des articles'!A:E, 4, FALSE)</f>
        <v>CREMERIE</v>
      </c>
      <c r="F2155" s="14">
        <f t="shared" si="33"/>
        <v>202301</v>
      </c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</row>
    <row r="2156" spans="1:23" ht="12.75" customHeight="1">
      <c r="A2156" s="7">
        <v>143541596</v>
      </c>
      <c r="B2156" s="13">
        <v>5540246171933</v>
      </c>
      <c r="C2156" s="31">
        <v>44953</v>
      </c>
      <c r="D2156" s="8">
        <v>557</v>
      </c>
      <c r="E2156" s="14" t="str">
        <f>VLOOKUP(B2156, 'Catégorie des articles'!A:E, 4, FALSE)</f>
        <v>CREMERIE</v>
      </c>
      <c r="F2156" s="14">
        <f t="shared" si="33"/>
        <v>202301</v>
      </c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</row>
    <row r="2157" spans="1:23" ht="12.75" customHeight="1">
      <c r="A2157" s="7">
        <v>143541596</v>
      </c>
      <c r="B2157" s="13">
        <v>5540246176295</v>
      </c>
      <c r="C2157" s="31">
        <v>44953</v>
      </c>
      <c r="D2157" s="8">
        <v>4455</v>
      </c>
      <c r="E2157" s="14" t="str">
        <f>VLOOKUP(B2157, 'Catégorie des articles'!A:E, 4, FALSE)</f>
        <v>CREMERIE</v>
      </c>
      <c r="F2157" s="14">
        <f t="shared" si="33"/>
        <v>202301</v>
      </c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</row>
    <row r="2158" spans="1:23" ht="12.75" customHeight="1">
      <c r="A2158" s="7">
        <v>143541596</v>
      </c>
      <c r="B2158" s="13">
        <v>5540246187987</v>
      </c>
      <c r="C2158" s="31">
        <v>44953</v>
      </c>
      <c r="D2158" s="8">
        <v>4455</v>
      </c>
      <c r="E2158" s="14" t="str">
        <f>VLOOKUP(B2158, 'Catégorie des articles'!A:E, 4, FALSE)</f>
        <v>CREMERIE</v>
      </c>
      <c r="F2158" s="14">
        <f t="shared" si="33"/>
        <v>202301</v>
      </c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</row>
    <row r="2159" spans="1:23" ht="12.75" customHeight="1">
      <c r="A2159" s="7">
        <v>143541616</v>
      </c>
      <c r="B2159" s="13">
        <v>5540246194632</v>
      </c>
      <c r="C2159" s="31">
        <v>44952</v>
      </c>
      <c r="D2159" s="8">
        <v>919</v>
      </c>
      <c r="E2159" s="14" t="str">
        <f>VLOOKUP(B2159, 'Catégorie des articles'!A:E, 4, FALSE)</f>
        <v>BOULANGERIE</v>
      </c>
      <c r="F2159" s="14">
        <f t="shared" si="33"/>
        <v>202301</v>
      </c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</row>
    <row r="2160" spans="1:23" ht="18.75" customHeight="1">
      <c r="B2160" s="3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Z999"/>
  <sheetViews>
    <sheetView zoomScale="110" zoomScaleNormal="110" workbookViewId="0">
      <selection activeCell="H1" sqref="A1:H929"/>
    </sheetView>
  </sheetViews>
  <sheetFormatPr baseColWidth="10" defaultColWidth="12.6640625" defaultRowHeight="15.75" customHeight="1"/>
  <cols>
    <col min="1" max="1" width="11.1640625" customWidth="1"/>
    <col min="2" max="2" width="20.5" customWidth="1"/>
    <col min="3" max="3" width="17" customWidth="1"/>
    <col min="4" max="4" width="18.5" customWidth="1"/>
    <col min="5" max="5" width="18.5" style="27" customWidth="1"/>
    <col min="6" max="6" width="16.33203125" customWidth="1"/>
    <col min="7" max="7" width="21.1640625" customWidth="1"/>
    <col min="8" max="8" width="26.6640625" customWidth="1"/>
    <col min="9" max="26" width="8.6640625" customWidth="1"/>
  </cols>
  <sheetData>
    <row r="1" spans="1:26" ht="35.25" customHeight="1">
      <c r="A1" s="1" t="s">
        <v>160</v>
      </c>
      <c r="B1" s="2" t="s">
        <v>161</v>
      </c>
      <c r="C1" s="1" t="s">
        <v>162</v>
      </c>
      <c r="D1" s="1" t="s">
        <v>163</v>
      </c>
      <c r="E1" s="24" t="s">
        <v>169</v>
      </c>
      <c r="F1" s="1" t="s">
        <v>164</v>
      </c>
      <c r="G1" s="34" t="s">
        <v>3</v>
      </c>
      <c r="H1" s="40" t="s">
        <v>176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>
      <c r="A2" s="17">
        <v>202205</v>
      </c>
      <c r="B2" s="15">
        <v>5540246170256</v>
      </c>
      <c r="C2" s="11">
        <v>1594</v>
      </c>
      <c r="D2" s="11">
        <v>10713.902400000001</v>
      </c>
      <c r="E2" s="25">
        <f>IF(C2=0,"",D2/C2)</f>
        <v>6.7213942283563366</v>
      </c>
      <c r="F2" s="11">
        <v>8357</v>
      </c>
      <c r="G2" s="17" t="str">
        <f>VLOOKUP(B2, 'Catégorie des articles'!A:E, 4, FALSE)</f>
        <v>BOULANGERIE</v>
      </c>
      <c r="H2" s="14">
        <f>IF(Tableau5[[#This Row],[Stock Moyen (UVC)]]&gt;0,1,0)</f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>
      <c r="A3" s="17">
        <v>202205</v>
      </c>
      <c r="B3" s="15">
        <v>5540246171759</v>
      </c>
      <c r="C3" s="11">
        <v>2423</v>
      </c>
      <c r="D3" s="11">
        <v>13304.736000000001</v>
      </c>
      <c r="E3" s="25">
        <f t="shared" ref="E3:E66" si="0">IF(C3=0,"",D3/C3)</f>
        <v>5.49101774659513</v>
      </c>
      <c r="F3" s="11">
        <v>5049</v>
      </c>
      <c r="G3" s="17" t="str">
        <f>VLOOKUP(B3, 'Catégorie des articles'!A:E, 4, FALSE)</f>
        <v>MIX LEGUMES</v>
      </c>
      <c r="H3" s="14">
        <f>IF(Tableau5[[#This Row],[Stock Moyen (UVC)]]&gt;0,1,0)</f>
        <v>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>
      <c r="A4" s="17">
        <v>202205</v>
      </c>
      <c r="B4" s="15">
        <v>5540246171796</v>
      </c>
      <c r="C4" s="11">
        <v>0</v>
      </c>
      <c r="D4" s="11">
        <v>0</v>
      </c>
      <c r="E4" s="25" t="str">
        <f t="shared" si="0"/>
        <v/>
      </c>
      <c r="F4" s="11">
        <v>1323</v>
      </c>
      <c r="G4" s="17"/>
      <c r="H4" s="14">
        <f>IF(Tableau5[[#This Row],[Stock Moyen (UVC)]]&gt;0,1,0)</f>
        <v>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>
      <c r="A5" s="17">
        <v>202205</v>
      </c>
      <c r="B5" s="15">
        <v>5540246171888</v>
      </c>
      <c r="C5" s="11">
        <v>-21</v>
      </c>
      <c r="D5" s="11">
        <v>-351.86400000000003</v>
      </c>
      <c r="E5" s="25">
        <f t="shared" si="0"/>
        <v>16.755428571428574</v>
      </c>
      <c r="F5" s="11">
        <v>1673</v>
      </c>
      <c r="G5" s="17" t="str">
        <f>VLOOKUP(B5, 'Catégorie des articles'!A:E, 4, FALSE)</f>
        <v>BOULANGERIE</v>
      </c>
      <c r="H5" s="14">
        <f>IF(Tableau5[[#This Row],[Stock Moyen (UVC)]]&gt;0,1,0)</f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customHeight="1">
      <c r="A6" s="17">
        <v>202205</v>
      </c>
      <c r="B6" s="13">
        <v>5540246171933</v>
      </c>
      <c r="C6" s="8">
        <v>836</v>
      </c>
      <c r="D6" s="8">
        <v>538.0992</v>
      </c>
      <c r="E6" s="25">
        <f t="shared" si="0"/>
        <v>0.64365933014354071</v>
      </c>
      <c r="F6" s="8">
        <v>6738</v>
      </c>
      <c r="G6" s="17" t="str">
        <f>VLOOKUP(B6, 'Catégorie des articles'!A:E, 4, FALSE)</f>
        <v>CREMERIE</v>
      </c>
      <c r="H6" s="14">
        <f>IF(Tableau5[[#This Row],[Stock Moyen (UVC)]]&gt;0,1,0)</f>
        <v>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2.75" customHeight="1">
      <c r="A7" s="17">
        <v>202205</v>
      </c>
      <c r="B7" s="13">
        <v>5540246172539</v>
      </c>
      <c r="C7" s="8">
        <v>28</v>
      </c>
      <c r="D7" s="8">
        <v>579.35520000000008</v>
      </c>
      <c r="E7" s="25">
        <f t="shared" si="0"/>
        <v>20.691257142857147</v>
      </c>
      <c r="F7" s="8">
        <v>89</v>
      </c>
      <c r="G7" s="17" t="str">
        <f>VLOOKUP(B7, 'Catégorie des articles'!A:E, 4, FALSE)</f>
        <v>CREMERIE</v>
      </c>
      <c r="H7" s="14">
        <f>IF(Tableau5[[#This Row],[Stock Moyen (UVC)]]&gt;0,1,0)</f>
        <v>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customHeight="1">
      <c r="A8" s="17">
        <v>202205</v>
      </c>
      <c r="B8" s="15">
        <v>5540246172669</v>
      </c>
      <c r="C8" s="11">
        <v>168</v>
      </c>
      <c r="D8" s="11">
        <v>2273.0976000000001</v>
      </c>
      <c r="E8" s="25">
        <f t="shared" si="0"/>
        <v>13.530342857142857</v>
      </c>
      <c r="F8" s="11">
        <v>1170</v>
      </c>
      <c r="G8" s="17" t="str">
        <f>VLOOKUP(B8, 'Catégorie des articles'!A:E, 4, FALSE)</f>
        <v>CREMERIE</v>
      </c>
      <c r="H8" s="14">
        <f>IF(Tableau5[[#This Row],[Stock Moyen (UVC)]]&gt;0,1,0)</f>
        <v>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>
      <c r="A9" s="17">
        <v>202205</v>
      </c>
      <c r="B9" s="15">
        <v>5540246172978</v>
      </c>
      <c r="C9" s="11">
        <v>752</v>
      </c>
      <c r="D9" s="11">
        <v>606.05280000000005</v>
      </c>
      <c r="E9" s="25">
        <f t="shared" si="0"/>
        <v>0.80592127659574475</v>
      </c>
      <c r="F9" s="11">
        <v>8854</v>
      </c>
      <c r="G9" s="17" t="str">
        <f>VLOOKUP(B9, 'Catégorie des articles'!A:E, 4, FALSE)</f>
        <v>CREMERIE</v>
      </c>
      <c r="H9" s="14">
        <f>IF(Tableau5[[#This Row],[Stock Moyen (UVC)]]&gt;0,1,0)</f>
        <v>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>
      <c r="A10" s="17">
        <v>202205</v>
      </c>
      <c r="B10" s="13">
        <v>5540246173472</v>
      </c>
      <c r="C10" s="8">
        <v>0</v>
      </c>
      <c r="D10" s="8">
        <v>0</v>
      </c>
      <c r="E10" s="25" t="str">
        <f t="shared" si="0"/>
        <v/>
      </c>
      <c r="F10" s="8">
        <v>543</v>
      </c>
      <c r="G10" s="17" t="str">
        <f>VLOOKUP(B10, 'Catégorie des articles'!A:E, 4, FALSE)</f>
        <v>CREMERIE</v>
      </c>
      <c r="H10" s="14">
        <f>IF(Tableau5[[#This Row],[Stock Moyen (UVC)]]&gt;0,1,0)</f>
        <v>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>
      <c r="A11" s="17">
        <v>202205</v>
      </c>
      <c r="B11" s="15">
        <v>5540246173492</v>
      </c>
      <c r="C11" s="11">
        <v>989</v>
      </c>
      <c r="D11" s="11">
        <v>15396.134400000001</v>
      </c>
      <c r="E11" s="25">
        <f t="shared" si="0"/>
        <v>15.567375530839232</v>
      </c>
      <c r="F11" s="11">
        <v>993</v>
      </c>
      <c r="G11" s="17" t="str">
        <f>VLOOKUP(B11, 'Catégorie des articles'!A:E, 4, FALSE)</f>
        <v>VOLAILLE</v>
      </c>
      <c r="H11" s="14">
        <f>IF(Tableau5[[#This Row],[Stock Moyen (UVC)]]&gt;0,1,0)</f>
        <v>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>
      <c r="A12" s="17">
        <v>202205</v>
      </c>
      <c r="B12" s="15">
        <v>5540246173685</v>
      </c>
      <c r="C12" s="11">
        <v>107</v>
      </c>
      <c r="D12" s="11">
        <v>2694.6432</v>
      </c>
      <c r="E12" s="25">
        <f t="shared" si="0"/>
        <v>25.183581308411213</v>
      </c>
      <c r="F12" s="11">
        <v>260</v>
      </c>
      <c r="G12" s="17" t="str">
        <f>VLOOKUP(B12, 'Catégorie des articles'!A:E, 4, FALSE)</f>
        <v>EMBALLAGES</v>
      </c>
      <c r="H12" s="14">
        <f>IF(Tableau5[[#This Row],[Stock Moyen (UVC)]]&gt;0,1,0)</f>
        <v>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>
      <c r="A13" s="17">
        <v>202205</v>
      </c>
      <c r="B13" s="13">
        <v>5540246173686</v>
      </c>
      <c r="C13" s="8">
        <v>875</v>
      </c>
      <c r="D13" s="8">
        <v>22084.358400000001</v>
      </c>
      <c r="E13" s="25">
        <f t="shared" si="0"/>
        <v>25.239266742857144</v>
      </c>
      <c r="F13" s="8">
        <v>314</v>
      </c>
      <c r="G13" s="17" t="str">
        <f>VLOOKUP(B13, 'Catégorie des articles'!A:E, 4, FALSE)</f>
        <v>EMBALLAGES</v>
      </c>
      <c r="H13" s="14">
        <f>IF(Tableau5[[#This Row],[Stock Moyen (UVC)]]&gt;0,1,0)</f>
        <v>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>
      <c r="A14" s="17">
        <v>202205</v>
      </c>
      <c r="B14" s="13">
        <v>5540246173906</v>
      </c>
      <c r="C14" s="8">
        <v>1300</v>
      </c>
      <c r="D14" s="8">
        <v>24143.616000000002</v>
      </c>
      <c r="E14" s="25">
        <f t="shared" si="0"/>
        <v>18.572012307692308</v>
      </c>
      <c r="F14" s="8">
        <v>1448</v>
      </c>
      <c r="G14" s="17" t="str">
        <f>VLOOKUP(B14, 'Catégorie des articles'!A:E, 4, FALSE)</f>
        <v>VOLAILLE</v>
      </c>
      <c r="H14" s="14">
        <f>IF(Tableau5[[#This Row],[Stock Moyen (UVC)]]&gt;0,1,0)</f>
        <v>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2.75" customHeight="1">
      <c r="A15" s="17">
        <v>202205</v>
      </c>
      <c r="B15" s="13">
        <v>5540246174095</v>
      </c>
      <c r="C15" s="8">
        <v>14</v>
      </c>
      <c r="D15" s="8">
        <v>434.41920000000005</v>
      </c>
      <c r="E15" s="25">
        <f t="shared" si="0"/>
        <v>31.02994285714286</v>
      </c>
      <c r="F15" s="8">
        <v>105</v>
      </c>
      <c r="G15" s="17" t="str">
        <f>VLOOKUP(B15, 'Catégorie des articles'!A:E, 4, FALSE)</f>
        <v>CREMERIE</v>
      </c>
      <c r="H15" s="14">
        <f>IF(Tableau5[[#This Row],[Stock Moyen (UVC)]]&gt;0,1,0)</f>
        <v>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>
      <c r="A16" s="17">
        <v>202205</v>
      </c>
      <c r="B16" s="15">
        <v>5540246174174</v>
      </c>
      <c r="C16" s="11">
        <v>26</v>
      </c>
      <c r="D16" s="11">
        <v>339.55200000000002</v>
      </c>
      <c r="E16" s="25">
        <f t="shared" si="0"/>
        <v>13.059692307692309</v>
      </c>
      <c r="F16" s="11">
        <v>708</v>
      </c>
      <c r="G16" s="17" t="str">
        <f>VLOOKUP(B16, 'Catégorie des articles'!A:E, 4, FALSE)</f>
        <v>CREMERIE</v>
      </c>
      <c r="H16" s="14">
        <f>IF(Tableau5[[#This Row],[Stock Moyen (UVC)]]&gt;0,1,0)</f>
        <v>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2.75" customHeight="1">
      <c r="A17" s="17">
        <v>202205</v>
      </c>
      <c r="B17" s="13">
        <v>5540246175047</v>
      </c>
      <c r="C17" s="8">
        <v>0</v>
      </c>
      <c r="D17" s="8">
        <v>0</v>
      </c>
      <c r="E17" s="25" t="str">
        <f t="shared" si="0"/>
        <v/>
      </c>
      <c r="F17" s="8">
        <v>710</v>
      </c>
      <c r="G17" s="17" t="str">
        <f>VLOOKUP(B17, 'Catégorie des articles'!A:E, 4, FALSE)</f>
        <v>CREMERIE</v>
      </c>
      <c r="H17" s="14">
        <f>IF(Tableau5[[#This Row],[Stock Moyen (UVC)]]&gt;0,1,0)</f>
        <v>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>
      <c r="A18" s="17">
        <v>202205</v>
      </c>
      <c r="B18" s="15">
        <v>5540246175049</v>
      </c>
      <c r="C18" s="11">
        <v>502</v>
      </c>
      <c r="D18" s="11">
        <v>5216.1408000000001</v>
      </c>
      <c r="E18" s="25">
        <f t="shared" si="0"/>
        <v>10.390718725099601</v>
      </c>
      <c r="F18" s="11">
        <v>1643</v>
      </c>
      <c r="G18" s="17" t="str">
        <f>VLOOKUP(B18, 'Catégorie des articles'!A:E, 4, FALSE)</f>
        <v>CREMERIE</v>
      </c>
      <c r="H18" s="14">
        <f>IF(Tableau5[[#This Row],[Stock Moyen (UVC)]]&gt;0,1,0)</f>
        <v>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>
      <c r="A19" s="17">
        <v>202205</v>
      </c>
      <c r="B19" s="13">
        <v>5540246175050</v>
      </c>
      <c r="C19" s="8">
        <v>195</v>
      </c>
      <c r="D19" s="8">
        <v>2257.1136000000001</v>
      </c>
      <c r="E19" s="25">
        <f t="shared" si="0"/>
        <v>11.574941538461539</v>
      </c>
      <c r="F19" s="8">
        <v>2409</v>
      </c>
      <c r="G19" s="17" t="str">
        <f>VLOOKUP(B19, 'Catégorie des articles'!A:E, 4, FALSE)</f>
        <v>CREMERIE</v>
      </c>
      <c r="H19" s="14">
        <f>IF(Tableau5[[#This Row],[Stock Moyen (UVC)]]&gt;0,1,0)</f>
        <v>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>
      <c r="A20" s="17">
        <v>202205</v>
      </c>
      <c r="B20" s="15">
        <v>5540246175372</v>
      </c>
      <c r="C20" s="11">
        <v>627</v>
      </c>
      <c r="D20" s="11">
        <v>2449.44</v>
      </c>
      <c r="E20" s="25">
        <f t="shared" si="0"/>
        <v>3.9066028708133973</v>
      </c>
      <c r="F20" s="11">
        <v>696</v>
      </c>
      <c r="G20" s="17" t="str">
        <f>VLOOKUP(B20, 'Catégorie des articles'!A:E, 4, FALSE)</f>
        <v>BOULANGERIE</v>
      </c>
      <c r="H20" s="14">
        <f>IF(Tableau5[[#This Row],[Stock Moyen (UVC)]]&gt;0,1,0)</f>
        <v>1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>
      <c r="A21" s="17">
        <v>202205</v>
      </c>
      <c r="B21" s="13">
        <v>5540246175461</v>
      </c>
      <c r="C21" s="8">
        <v>0</v>
      </c>
      <c r="D21" s="8">
        <v>0</v>
      </c>
      <c r="E21" s="25" t="str">
        <f t="shared" si="0"/>
        <v/>
      </c>
      <c r="F21" s="8">
        <v>0</v>
      </c>
      <c r="G21" s="17" t="str">
        <f>VLOOKUP(B21, 'Catégorie des articles'!A:E, 4, FALSE)</f>
        <v>MIX LEGUMES</v>
      </c>
      <c r="H21" s="14">
        <f>IF(Tableau5[[#This Row],[Stock Moyen (UVC)]]&gt;0,1,0)</f>
        <v>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>
      <c r="A22" s="17">
        <v>202205</v>
      </c>
      <c r="B22" s="13">
        <v>5540246176294</v>
      </c>
      <c r="C22" s="8">
        <v>4975</v>
      </c>
      <c r="D22" s="8">
        <v>4584.7296000000006</v>
      </c>
      <c r="E22" s="25">
        <f t="shared" si="0"/>
        <v>0.92155368844221119</v>
      </c>
      <c r="F22" s="8">
        <v>22755</v>
      </c>
      <c r="G22" s="17" t="str">
        <f>VLOOKUP(B22, 'Catégorie des articles'!A:E, 4, FALSE)</f>
        <v>CREMERIE</v>
      </c>
      <c r="H22" s="14">
        <f>IF(Tableau5[[#This Row],[Stock Moyen (UVC)]]&gt;0,1,0)</f>
        <v>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>
      <c r="A23" s="17">
        <v>202205</v>
      </c>
      <c r="B23" s="15">
        <v>5540246176295</v>
      </c>
      <c r="C23" s="11">
        <v>0</v>
      </c>
      <c r="D23" s="11">
        <v>0</v>
      </c>
      <c r="E23" s="25" t="str">
        <f t="shared" si="0"/>
        <v/>
      </c>
      <c r="F23" s="11">
        <v>75104</v>
      </c>
      <c r="G23" s="17" t="str">
        <f>VLOOKUP(B23, 'Catégorie des articles'!A:E, 4, FALSE)</f>
        <v>CREMERIE</v>
      </c>
      <c r="H23" s="14">
        <f>IF(Tableau5[[#This Row],[Stock Moyen (UVC)]]&gt;0,1,0)</f>
        <v>0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>
      <c r="A24" s="17">
        <v>202205</v>
      </c>
      <c r="B24" s="15">
        <v>5540246176699</v>
      </c>
      <c r="C24" s="11">
        <v>0</v>
      </c>
      <c r="D24" s="11">
        <v>0</v>
      </c>
      <c r="E24" s="25" t="str">
        <f t="shared" si="0"/>
        <v/>
      </c>
      <c r="F24" s="11">
        <v>7308</v>
      </c>
      <c r="G24" s="17" t="str">
        <f>VLOOKUP(B24, 'Catégorie des articles'!A:E, 4, FALSE)</f>
        <v>CREMERIE</v>
      </c>
      <c r="H24" s="14">
        <f>IF(Tableau5[[#This Row],[Stock Moyen (UVC)]]&gt;0,1,0)</f>
        <v>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>
      <c r="A25" s="17">
        <v>202205</v>
      </c>
      <c r="B25" s="13">
        <v>5540246177132</v>
      </c>
      <c r="C25" s="8">
        <v>7935</v>
      </c>
      <c r="D25" s="8">
        <v>4584.7295999999997</v>
      </c>
      <c r="E25" s="25">
        <f t="shared" si="0"/>
        <v>0.57778570888468805</v>
      </c>
      <c r="F25" s="8">
        <v>48999</v>
      </c>
      <c r="G25" s="17" t="str">
        <f>VLOOKUP(B25, 'Catégorie des articles'!A:E, 4, FALSE)</f>
        <v>MIX LEGUMES</v>
      </c>
      <c r="H25" s="14">
        <f>IF(Tableau5[[#This Row],[Stock Moyen (UVC)]]&gt;0,1,0)</f>
        <v>1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>
      <c r="A26" s="17">
        <v>202205</v>
      </c>
      <c r="B26" s="15">
        <v>5540246177133</v>
      </c>
      <c r="C26" s="11">
        <v>9849</v>
      </c>
      <c r="D26" s="11">
        <v>35759.880000000005</v>
      </c>
      <c r="E26" s="25">
        <f t="shared" si="0"/>
        <v>3.6308132805360955</v>
      </c>
      <c r="F26" s="11">
        <v>23386</v>
      </c>
      <c r="G26" s="17" t="str">
        <f>VLOOKUP(B26, 'Catégorie des articles'!A:E, 4, FALSE)</f>
        <v>MIX LEGUMES</v>
      </c>
      <c r="H26" s="14">
        <f>IF(Tableau5[[#This Row],[Stock Moyen (UVC)]]&gt;0,1,0)</f>
        <v>1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>
      <c r="A27" s="17">
        <v>202205</v>
      </c>
      <c r="B27" s="13">
        <v>5540246177376</v>
      </c>
      <c r="C27" s="8">
        <v>592</v>
      </c>
      <c r="D27" s="8">
        <v>23353.920000000002</v>
      </c>
      <c r="E27" s="25">
        <f t="shared" si="0"/>
        <v>39.449189189189191</v>
      </c>
      <c r="F27" s="8">
        <v>601</v>
      </c>
      <c r="G27" s="17" t="str">
        <f>VLOOKUP(B27, 'Catégorie des articles'!A:E, 4, FALSE)</f>
        <v>BOULANGERIE</v>
      </c>
      <c r="H27" s="14">
        <f>IF(Tableau5[[#This Row],[Stock Moyen (UVC)]]&gt;0,1,0)</f>
        <v>1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>
      <c r="A28" s="17">
        <v>202205</v>
      </c>
      <c r="B28" s="13">
        <v>5540246180522</v>
      </c>
      <c r="C28" s="8">
        <v>1177</v>
      </c>
      <c r="D28" s="8">
        <v>20588.256000000001</v>
      </c>
      <c r="E28" s="25">
        <f t="shared" si="0"/>
        <v>17.492146134239594</v>
      </c>
      <c r="F28" s="8">
        <v>1365</v>
      </c>
      <c r="G28" s="17" t="str">
        <f>VLOOKUP(B28, 'Catégorie des articles'!A:E, 4, FALSE)</f>
        <v>BOULANGERIE</v>
      </c>
      <c r="H28" s="14">
        <f>IF(Tableau5[[#This Row],[Stock Moyen (UVC)]]&gt;0,1,0)</f>
        <v>1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>
      <c r="A29" s="17">
        <v>202205</v>
      </c>
      <c r="B29" s="15">
        <v>5540246181016</v>
      </c>
      <c r="C29" s="11">
        <v>2228</v>
      </c>
      <c r="D29" s="11">
        <v>17501.184000000001</v>
      </c>
      <c r="E29" s="25">
        <f t="shared" si="0"/>
        <v>7.8551095152603239</v>
      </c>
      <c r="F29" s="11">
        <v>15591</v>
      </c>
      <c r="G29" s="17" t="str">
        <f>VLOOKUP(B29, 'Catégorie des articles'!A:E, 4, FALSE)</f>
        <v>VOLAILLE</v>
      </c>
      <c r="H29" s="14">
        <f>IF(Tableau5[[#This Row],[Stock Moyen (UVC)]]&gt;0,1,0)</f>
        <v>1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>
      <c r="A30" s="17">
        <v>202205</v>
      </c>
      <c r="B30" s="13">
        <v>5540246181061</v>
      </c>
      <c r="C30" s="8">
        <v>27353</v>
      </c>
      <c r="D30" s="8">
        <v>33259.118399999999</v>
      </c>
      <c r="E30" s="25">
        <f t="shared" si="0"/>
        <v>1.2159221438233465</v>
      </c>
      <c r="F30" s="8">
        <v>68696</v>
      </c>
      <c r="G30" s="17" t="str">
        <f>VLOOKUP(B30, 'Catégorie des articles'!A:E, 4, FALSE)</f>
        <v>VOLAILLE</v>
      </c>
      <c r="H30" s="14">
        <f>IF(Tableau5[[#This Row],[Stock Moyen (UVC)]]&gt;0,1,0)</f>
        <v>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2.75" customHeight="1">
      <c r="A31" s="17">
        <v>202205</v>
      </c>
      <c r="B31" s="15">
        <v>5540246182684</v>
      </c>
      <c r="C31" s="11">
        <v>205</v>
      </c>
      <c r="D31" s="11">
        <v>10245.312</v>
      </c>
      <c r="E31" s="25">
        <f t="shared" si="0"/>
        <v>49.977131707317071</v>
      </c>
      <c r="F31" s="11">
        <v>339</v>
      </c>
      <c r="G31" s="17" t="str">
        <f>VLOOKUP(B31, 'Catégorie des articles'!A:E, 4, FALSE)</f>
        <v>BOULANGERIE</v>
      </c>
      <c r="H31" s="14">
        <f>IF(Tableau5[[#This Row],[Stock Moyen (UVC)]]&gt;0,1,0)</f>
        <v>1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>
      <c r="A32" s="17">
        <v>202205</v>
      </c>
      <c r="B32" s="15">
        <v>5540246183130</v>
      </c>
      <c r="C32" s="11">
        <v>5304</v>
      </c>
      <c r="D32" s="11">
        <v>22456.915199999999</v>
      </c>
      <c r="E32" s="25">
        <f t="shared" si="0"/>
        <v>4.2339583710407238</v>
      </c>
      <c r="F32" s="11">
        <v>7392</v>
      </c>
      <c r="G32" s="17" t="str">
        <f>VLOOKUP(B32, 'Catégorie des articles'!A:E, 4, FALSE)</f>
        <v>MIX LEGUMES</v>
      </c>
      <c r="H32" s="14">
        <f>IF(Tableau5[[#This Row],[Stock Moyen (UVC)]]&gt;0,1,0)</f>
        <v>1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>
      <c r="A33" s="17">
        <v>202205</v>
      </c>
      <c r="B33" s="15">
        <v>5540246183455</v>
      </c>
      <c r="C33" s="11">
        <v>1346</v>
      </c>
      <c r="D33" s="11">
        <v>22456.915199999999</v>
      </c>
      <c r="E33" s="25">
        <f t="shared" si="0"/>
        <v>16.68418662704309</v>
      </c>
      <c r="F33" s="11">
        <v>998</v>
      </c>
      <c r="G33" s="17" t="str">
        <f>VLOOKUP(B33, 'Catégorie des articles'!A:E, 4, FALSE)</f>
        <v>MIX LEGUMES</v>
      </c>
      <c r="H33" s="14">
        <f>IF(Tableau5[[#This Row],[Stock Moyen (UVC)]]&gt;0,1,0)</f>
        <v>1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>
      <c r="A34" s="17">
        <v>202205</v>
      </c>
      <c r="B34" s="13">
        <v>5540246183537</v>
      </c>
      <c r="C34" s="8">
        <v>1931</v>
      </c>
      <c r="D34" s="8">
        <v>2713.6512000000002</v>
      </c>
      <c r="E34" s="25">
        <f t="shared" si="0"/>
        <v>1.4053087519419991</v>
      </c>
      <c r="F34" s="8">
        <v>3286</v>
      </c>
      <c r="G34" s="17" t="str">
        <f>VLOOKUP(B34, 'Catégorie des articles'!A:E, 4, FALSE)</f>
        <v>MIX LEGUMES</v>
      </c>
      <c r="H34" s="14">
        <f>IF(Tableau5[[#This Row],[Stock Moyen (UVC)]]&gt;0,1,0)</f>
        <v>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>
      <c r="A35" s="17">
        <v>202205</v>
      </c>
      <c r="B35" s="15">
        <v>5540246183538</v>
      </c>
      <c r="C35" s="11">
        <v>1615</v>
      </c>
      <c r="D35" s="11">
        <v>2119.7376000000004</v>
      </c>
      <c r="E35" s="25">
        <f t="shared" si="0"/>
        <v>1.3125310216718269</v>
      </c>
      <c r="F35" s="11">
        <v>2525</v>
      </c>
      <c r="G35" s="17" t="str">
        <f>VLOOKUP(B35, 'Catégorie des articles'!A:E, 4, FALSE)</f>
        <v>MIX LEGUMES</v>
      </c>
      <c r="H35" s="14">
        <f>IF(Tableau5[[#This Row],[Stock Moyen (UVC)]]&gt;0,1,0)</f>
        <v>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>
      <c r="A36" s="17">
        <v>202205</v>
      </c>
      <c r="B36" s="13">
        <v>5540246183541</v>
      </c>
      <c r="C36" s="8">
        <v>488</v>
      </c>
      <c r="D36" s="8">
        <v>4390.848</v>
      </c>
      <c r="E36" s="25">
        <f t="shared" si="0"/>
        <v>8.9976393442622946</v>
      </c>
      <c r="F36" s="8">
        <v>348</v>
      </c>
      <c r="G36" s="17" t="str">
        <f>VLOOKUP(B36, 'Catégorie des articles'!A:E, 4, FALSE)</f>
        <v>MIX LEGUMES</v>
      </c>
      <c r="H36" s="14">
        <f>IF(Tableau5[[#This Row],[Stock Moyen (UVC)]]&gt;0,1,0)</f>
        <v>1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 customHeight="1">
      <c r="A37" s="17">
        <v>202205</v>
      </c>
      <c r="B37" s="15">
        <v>5540246183542</v>
      </c>
      <c r="C37" s="11">
        <v>766</v>
      </c>
      <c r="D37" s="11">
        <v>2152.6560000000004</v>
      </c>
      <c r="E37" s="25">
        <f t="shared" si="0"/>
        <v>2.8102558746736297</v>
      </c>
      <c r="F37" s="11">
        <v>766</v>
      </c>
      <c r="G37" s="17" t="str">
        <f>VLOOKUP(B37, 'Catégorie des articles'!A:E, 4, FALSE)</f>
        <v>MIX LEGUMES</v>
      </c>
      <c r="H37" s="14">
        <f>IF(Tableau5[[#This Row],[Stock Moyen (UVC)]]&gt;0,1,0)</f>
        <v>1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>
      <c r="A38" s="17">
        <v>202205</v>
      </c>
      <c r="B38" s="15">
        <v>5540246183547</v>
      </c>
      <c r="C38" s="11">
        <v>9895</v>
      </c>
      <c r="D38" s="11">
        <v>101704.89600000001</v>
      </c>
      <c r="E38" s="25">
        <f t="shared" si="0"/>
        <v>10.278412935826175</v>
      </c>
      <c r="F38" s="11">
        <v>11902</v>
      </c>
      <c r="G38" s="17" t="str">
        <f>VLOOKUP(B38, 'Catégorie des articles'!A:E, 4, FALSE)</f>
        <v>VOLAILLE</v>
      </c>
      <c r="H38" s="14">
        <f>IF(Tableau5[[#This Row],[Stock Moyen (UVC)]]&gt;0,1,0)</f>
        <v>1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>
      <c r="A39" s="17">
        <v>202205</v>
      </c>
      <c r="B39" s="15">
        <v>5540246183552</v>
      </c>
      <c r="C39" s="11">
        <v>968</v>
      </c>
      <c r="D39" s="11">
        <v>1783.4256</v>
      </c>
      <c r="E39" s="25">
        <f t="shared" si="0"/>
        <v>1.8423818181818181</v>
      </c>
      <c r="F39" s="11">
        <v>260</v>
      </c>
      <c r="G39" s="17" t="str">
        <f>VLOOKUP(B39, 'Catégorie des articles'!A:E, 4, FALSE)</f>
        <v>MIX LEGUMES</v>
      </c>
      <c r="H39" s="14">
        <f>IF(Tableau5[[#This Row],[Stock Moyen (UVC)]]&gt;0,1,0)</f>
        <v>1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>
      <c r="A40" s="17">
        <v>202205</v>
      </c>
      <c r="B40" s="13">
        <v>5540246183554</v>
      </c>
      <c r="C40" s="8">
        <v>864</v>
      </c>
      <c r="D40" s="8">
        <v>6498.8783999999996</v>
      </c>
      <c r="E40" s="25">
        <f t="shared" si="0"/>
        <v>7.5218499999999997</v>
      </c>
      <c r="F40" s="8">
        <v>154</v>
      </c>
      <c r="G40" s="17" t="str">
        <f>VLOOKUP(B40, 'Catégorie des articles'!A:E, 4, FALSE)</f>
        <v>MIX LEGUMES</v>
      </c>
      <c r="H40" s="14">
        <f>IF(Tableau5[[#This Row],[Stock Moyen (UVC)]]&gt;0,1,0)</f>
        <v>1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>
      <c r="A41" s="17">
        <v>202205</v>
      </c>
      <c r="B41" s="15">
        <v>5540246183555</v>
      </c>
      <c r="C41" s="11">
        <v>1337</v>
      </c>
      <c r="D41" s="11">
        <v>1786.6224000000002</v>
      </c>
      <c r="E41" s="25">
        <f t="shared" si="0"/>
        <v>1.3362919970082274</v>
      </c>
      <c r="F41" s="11">
        <v>669</v>
      </c>
      <c r="G41" s="17" t="str">
        <f>VLOOKUP(B41, 'Catégorie des articles'!A:E, 4, FALSE)</f>
        <v>MIX LEGUMES</v>
      </c>
      <c r="H41" s="14">
        <f>IF(Tableau5[[#This Row],[Stock Moyen (UVC)]]&gt;0,1,0)</f>
        <v>1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>
      <c r="A42" s="17">
        <v>202205</v>
      </c>
      <c r="B42" s="13">
        <v>5540246183556</v>
      </c>
      <c r="C42" s="8">
        <v>1977</v>
      </c>
      <c r="D42" s="8">
        <v>14832.979200000002</v>
      </c>
      <c r="E42" s="25">
        <f t="shared" si="0"/>
        <v>7.5027714719271632</v>
      </c>
      <c r="F42" s="8">
        <v>1323</v>
      </c>
      <c r="G42" s="17" t="str">
        <f>VLOOKUP(B42, 'Catégorie des articles'!A:E, 4, FALSE)</f>
        <v>MIX LEGUMES</v>
      </c>
      <c r="H42" s="14">
        <f>IF(Tableau5[[#This Row],[Stock Moyen (UVC)]]&gt;0,1,0)</f>
        <v>1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>
      <c r="A43" s="17">
        <v>202205</v>
      </c>
      <c r="B43" s="15">
        <v>5540246183558</v>
      </c>
      <c r="C43" s="11">
        <v>2947</v>
      </c>
      <c r="D43" s="11">
        <v>16239.744000000001</v>
      </c>
      <c r="E43" s="25">
        <f t="shared" si="0"/>
        <v>5.5106019681031562</v>
      </c>
      <c r="F43" s="11">
        <v>4594</v>
      </c>
      <c r="G43" s="17" t="str">
        <f>VLOOKUP(B43, 'Catégorie des articles'!A:E, 4, FALSE)</f>
        <v>MIX LEGUMES</v>
      </c>
      <c r="H43" s="14">
        <f>IF(Tableau5[[#This Row],[Stock Moyen (UVC)]]&gt;0,1,0)</f>
        <v>1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>
      <c r="A44" s="17">
        <v>202205</v>
      </c>
      <c r="B44" s="13">
        <v>5540246183560</v>
      </c>
      <c r="C44" s="8">
        <v>344</v>
      </c>
      <c r="D44" s="8">
        <v>8375.616</v>
      </c>
      <c r="E44" s="25">
        <f t="shared" si="0"/>
        <v>24.347720930232558</v>
      </c>
      <c r="F44" s="8">
        <v>149</v>
      </c>
      <c r="G44" s="17" t="str">
        <f>VLOOKUP(B44, 'Catégorie des articles'!A:E, 4, FALSE)</f>
        <v>MIX LEGUMES</v>
      </c>
      <c r="H44" s="14">
        <f>IF(Tableau5[[#This Row],[Stock Moyen (UVC)]]&gt;0,1,0)</f>
        <v>1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>
      <c r="A45" s="17">
        <v>202205</v>
      </c>
      <c r="B45" s="15">
        <v>5540246183562</v>
      </c>
      <c r="C45" s="11">
        <v>0</v>
      </c>
      <c r="D45" s="11">
        <v>0</v>
      </c>
      <c r="E45" s="25" t="str">
        <f t="shared" si="0"/>
        <v/>
      </c>
      <c r="F45" s="11">
        <v>4594</v>
      </c>
      <c r="G45" s="17" t="str">
        <f>VLOOKUP(B45, 'Catégorie des articles'!A:E, 4, FALSE)</f>
        <v>MIX LEGUMES</v>
      </c>
      <c r="H45" s="14">
        <f>IF(Tableau5[[#This Row],[Stock Moyen (UVC)]]&gt;0,1,0)</f>
        <v>0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>
      <c r="A46" s="17">
        <v>202205</v>
      </c>
      <c r="B46" s="15">
        <v>5540246183587</v>
      </c>
      <c r="C46" s="11">
        <v>1413</v>
      </c>
      <c r="D46" s="11">
        <v>29752.617600000001</v>
      </c>
      <c r="E46" s="25">
        <f t="shared" si="0"/>
        <v>21.056346496815287</v>
      </c>
      <c r="F46" s="11">
        <v>696</v>
      </c>
      <c r="G46" s="17" t="str">
        <f>VLOOKUP(B46, 'Catégorie des articles'!A:E, 4, FALSE)</f>
        <v>MIX LEGUMES</v>
      </c>
      <c r="H46" s="14">
        <f>IF(Tableau5[[#This Row],[Stock Moyen (UVC)]]&gt;0,1,0)</f>
        <v>1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>
      <c r="A47" s="17">
        <v>202205</v>
      </c>
      <c r="B47" s="13">
        <v>5540246183589</v>
      </c>
      <c r="C47" s="8">
        <v>917</v>
      </c>
      <c r="D47" s="8">
        <v>12081.312</v>
      </c>
      <c r="E47" s="25">
        <f t="shared" si="0"/>
        <v>13.174822246455834</v>
      </c>
      <c r="F47" s="8">
        <v>1914</v>
      </c>
      <c r="G47" s="17" t="str">
        <f>VLOOKUP(B47, 'Catégorie des articles'!A:E, 4, FALSE)</f>
        <v>MIX LEGUMES</v>
      </c>
      <c r="H47" s="14">
        <f>IF(Tableau5[[#This Row],[Stock Moyen (UVC)]]&gt;0,1,0)</f>
        <v>1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>
      <c r="A48" s="17">
        <v>202205</v>
      </c>
      <c r="B48" s="15">
        <v>5540246183590</v>
      </c>
      <c r="C48" s="11">
        <v>2499</v>
      </c>
      <c r="D48" s="11">
        <v>34662.167999999998</v>
      </c>
      <c r="E48" s="25">
        <f t="shared" si="0"/>
        <v>13.870415366146458</v>
      </c>
      <c r="F48" s="11">
        <v>0</v>
      </c>
      <c r="G48" s="17" t="str">
        <f>VLOOKUP(B48, 'Catégorie des articles'!A:E, 4, FALSE)</f>
        <v>MIX LEGUMES</v>
      </c>
      <c r="H48" s="14">
        <f>IF(Tableau5[[#This Row],[Stock Moyen (UVC)]]&gt;0,1,0)</f>
        <v>1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>
      <c r="A49" s="17">
        <v>202205</v>
      </c>
      <c r="B49" s="15">
        <v>5540246183844</v>
      </c>
      <c r="C49" s="11">
        <v>142</v>
      </c>
      <c r="D49" s="11">
        <v>4084.5600000000004</v>
      </c>
      <c r="E49" s="25">
        <f t="shared" si="0"/>
        <v>28.764507042253523</v>
      </c>
      <c r="F49" s="11">
        <v>232</v>
      </c>
      <c r="G49" s="17" t="str">
        <f>VLOOKUP(B49, 'Catégorie des articles'!A:E, 4, FALSE)</f>
        <v>BOULANGERIE</v>
      </c>
      <c r="H49" s="14">
        <f>IF(Tableau5[[#This Row],[Stock Moyen (UVC)]]&gt;0,1,0)</f>
        <v>1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>
      <c r="A50" s="17">
        <v>202205</v>
      </c>
      <c r="B50" s="15">
        <v>5540246184036</v>
      </c>
      <c r="C50" s="11">
        <v>158</v>
      </c>
      <c r="D50" s="11">
        <v>2702.5920000000001</v>
      </c>
      <c r="E50" s="25">
        <f t="shared" si="0"/>
        <v>17.105012658227849</v>
      </c>
      <c r="F50" s="11">
        <v>205</v>
      </c>
      <c r="G50" s="17" t="str">
        <f>VLOOKUP(B50, 'Catégorie des articles'!A:E, 4, FALSE)</f>
        <v>BOULANGERIE</v>
      </c>
      <c r="H50" s="14">
        <f>IF(Tableau5[[#This Row],[Stock Moyen (UVC)]]&gt;0,1,0)</f>
        <v>1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>
      <c r="A51" s="17">
        <v>202205</v>
      </c>
      <c r="B51" s="15">
        <v>5540246184617</v>
      </c>
      <c r="C51" s="11">
        <v>32629</v>
      </c>
      <c r="D51" s="11">
        <v>46174.924800000001</v>
      </c>
      <c r="E51" s="25">
        <f t="shared" si="0"/>
        <v>1.4151498605534953</v>
      </c>
      <c r="F51" s="11">
        <v>56664</v>
      </c>
      <c r="G51" s="17" t="str">
        <f>VLOOKUP(B51, 'Catégorie des articles'!A:E, 4, FALSE)</f>
        <v>MIX LEGUMES</v>
      </c>
      <c r="H51" s="14">
        <f>IF(Tableau5[[#This Row],[Stock Moyen (UVC)]]&gt;0,1,0)</f>
        <v>1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>
      <c r="A52" s="17">
        <v>202205</v>
      </c>
      <c r="B52" s="15">
        <v>5540246184808</v>
      </c>
      <c r="C52" s="11">
        <v>0</v>
      </c>
      <c r="D52" s="11">
        <v>0</v>
      </c>
      <c r="E52" s="25" t="str">
        <f t="shared" si="0"/>
        <v/>
      </c>
      <c r="F52" s="11">
        <v>16287</v>
      </c>
      <c r="G52" s="17" t="str">
        <f>VLOOKUP(B52, 'Catégorie des articles'!A:E, 4, FALSE)</f>
        <v>CREMERIE</v>
      </c>
      <c r="H52" s="14">
        <f>IF(Tableau5[[#This Row],[Stock Moyen (UVC)]]&gt;0,1,0)</f>
        <v>0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>
      <c r="A53" s="17">
        <v>202205</v>
      </c>
      <c r="B53" s="15">
        <v>5540246185278</v>
      </c>
      <c r="C53" s="11">
        <v>5285</v>
      </c>
      <c r="D53" s="11">
        <v>5215.7088000000003</v>
      </c>
      <c r="E53" s="25">
        <f t="shared" si="0"/>
        <v>0.9868890823084201</v>
      </c>
      <c r="F53" s="11">
        <v>34664</v>
      </c>
      <c r="G53" s="17" t="str">
        <f>VLOOKUP(B53, 'Catégorie des articles'!A:E, 4, FALSE)</f>
        <v>VOLAILLE</v>
      </c>
      <c r="H53" s="14">
        <f>IF(Tableau5[[#This Row],[Stock Moyen (UVC)]]&gt;0,1,0)</f>
        <v>1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>
      <c r="A54" s="17">
        <v>202205</v>
      </c>
      <c r="B54" s="13">
        <v>5540246185429</v>
      </c>
      <c r="C54" s="8">
        <v>168</v>
      </c>
      <c r="D54" s="8">
        <v>883.35360000000003</v>
      </c>
      <c r="E54" s="25">
        <f t="shared" si="0"/>
        <v>5.258057142857143</v>
      </c>
      <c r="F54" s="8">
        <v>529</v>
      </c>
      <c r="G54" s="17" t="str">
        <f>VLOOKUP(B54, 'Catégorie des articles'!A:E, 4, FALSE)</f>
        <v>CREMERIE</v>
      </c>
      <c r="H54" s="14">
        <f>IF(Tableau5[[#This Row],[Stock Moyen (UVC)]]&gt;0,1,0)</f>
        <v>1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>
      <c r="A55" s="17">
        <v>202205</v>
      </c>
      <c r="B55" s="13">
        <v>5540246185562</v>
      </c>
      <c r="C55" s="8">
        <v>488</v>
      </c>
      <c r="D55" s="8">
        <v>1415.2320000000002</v>
      </c>
      <c r="E55" s="25">
        <f t="shared" si="0"/>
        <v>2.9000655737704921</v>
      </c>
      <c r="F55" s="8">
        <v>195</v>
      </c>
      <c r="G55" s="17" t="str">
        <f>VLOOKUP(B55, 'Catégorie des articles'!A:E, 4, FALSE)</f>
        <v>CREMERIE</v>
      </c>
      <c r="H55" s="14">
        <f>IF(Tableau5[[#This Row],[Stock Moyen (UVC)]]&gt;0,1,0)</f>
        <v>1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>
      <c r="A56" s="17">
        <v>202205</v>
      </c>
      <c r="B56" s="15">
        <v>5540246185627</v>
      </c>
      <c r="C56" s="11">
        <v>7</v>
      </c>
      <c r="D56" s="11">
        <v>4027.9680000000003</v>
      </c>
      <c r="E56" s="25">
        <f t="shared" si="0"/>
        <v>575.42400000000009</v>
      </c>
      <c r="F56" s="11">
        <v>0</v>
      </c>
      <c r="G56" s="17" t="str">
        <f>VLOOKUP(B56, 'Catégorie des articles'!A:E, 4, FALSE)</f>
        <v>EMBALLAGES</v>
      </c>
      <c r="H56" s="14">
        <f>IF(Tableau5[[#This Row],[Stock Moyen (UVC)]]&gt;0,1,0)</f>
        <v>1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>
      <c r="A57" s="17">
        <v>202205</v>
      </c>
      <c r="B57" s="13">
        <v>5540246186010</v>
      </c>
      <c r="C57" s="8">
        <v>63</v>
      </c>
      <c r="D57" s="8">
        <v>9227.3904000000002</v>
      </c>
      <c r="E57" s="25">
        <f t="shared" si="0"/>
        <v>146.46651428571428</v>
      </c>
      <c r="F57" s="8">
        <v>14</v>
      </c>
      <c r="G57" s="17" t="str">
        <f>VLOOKUP(B57, 'Catégorie des articles'!A:E, 4, FALSE)</f>
        <v>EMBALLAGES</v>
      </c>
      <c r="H57" s="14">
        <f>IF(Tableau5[[#This Row],[Stock Moyen (UVC)]]&gt;0,1,0)</f>
        <v>1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>
      <c r="A58" s="17">
        <v>202205</v>
      </c>
      <c r="B58" s="15">
        <v>5540246186011</v>
      </c>
      <c r="C58" s="11">
        <v>96</v>
      </c>
      <c r="D58" s="11">
        <v>5416.3296</v>
      </c>
      <c r="E58" s="25">
        <f t="shared" si="0"/>
        <v>56.420099999999998</v>
      </c>
      <c r="F58" s="11">
        <v>28</v>
      </c>
      <c r="G58" s="17" t="str">
        <f>VLOOKUP(B58, 'Catégorie des articles'!A:E, 4, FALSE)</f>
        <v>EMBALLAGES</v>
      </c>
      <c r="H58" s="14">
        <f>IF(Tableau5[[#This Row],[Stock Moyen (UVC)]]&gt;0,1,0)</f>
        <v>1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>
      <c r="A59" s="17">
        <v>202205</v>
      </c>
      <c r="B59" s="13">
        <v>5540246186017</v>
      </c>
      <c r="C59" s="8">
        <v>28</v>
      </c>
      <c r="D59" s="8">
        <v>2947.6224000000002</v>
      </c>
      <c r="E59" s="25">
        <f t="shared" si="0"/>
        <v>105.27222857142858</v>
      </c>
      <c r="F59" s="8">
        <v>7</v>
      </c>
      <c r="G59" s="17" t="str">
        <f>VLOOKUP(B59, 'Catégorie des articles'!A:E, 4, FALSE)</f>
        <v>EMBALLAGES</v>
      </c>
      <c r="H59" s="14">
        <f>IF(Tableau5[[#This Row],[Stock Moyen (UVC)]]&gt;0,1,0)</f>
        <v>1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>
      <c r="A60" s="17">
        <v>202205</v>
      </c>
      <c r="B60" s="15">
        <v>5540246186325</v>
      </c>
      <c r="C60" s="11">
        <v>418</v>
      </c>
      <c r="D60" s="11">
        <v>1026.432</v>
      </c>
      <c r="E60" s="25">
        <f t="shared" si="0"/>
        <v>2.4555789473684211</v>
      </c>
      <c r="F60" s="11">
        <v>613</v>
      </c>
      <c r="G60" s="17" t="str">
        <f>VLOOKUP(B60, 'Catégorie des articles'!A:E, 4, FALSE)</f>
        <v>CREMERIE</v>
      </c>
      <c r="H60" s="14">
        <f>IF(Tableau5[[#This Row],[Stock Moyen (UVC)]]&gt;0,1,0)</f>
        <v>1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>
      <c r="A61" s="17">
        <v>202205</v>
      </c>
      <c r="B61" s="15">
        <v>5540246186351</v>
      </c>
      <c r="C61" s="11">
        <v>453</v>
      </c>
      <c r="D61" s="11">
        <v>26813.592000000004</v>
      </c>
      <c r="E61" s="25">
        <f t="shared" si="0"/>
        <v>59.191152317880807</v>
      </c>
      <c r="F61" s="11">
        <v>759</v>
      </c>
      <c r="G61" s="17" t="str">
        <f>VLOOKUP(B61, 'Catégorie des articles'!A:E, 4, FALSE)</f>
        <v>MIX LEGUMES</v>
      </c>
      <c r="H61" s="14">
        <f>IF(Tableau5[[#This Row],[Stock Moyen (UVC)]]&gt;0,1,0)</f>
        <v>1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>
      <c r="A62" s="17">
        <v>202205</v>
      </c>
      <c r="B62" s="13">
        <v>5540246186352</v>
      </c>
      <c r="C62" s="8">
        <v>870</v>
      </c>
      <c r="D62" s="8">
        <v>9153</v>
      </c>
      <c r="E62" s="25">
        <f t="shared" si="0"/>
        <v>10.520689655172413</v>
      </c>
      <c r="F62" s="8">
        <v>3434</v>
      </c>
      <c r="G62" s="17" t="str">
        <f>VLOOKUP(B62, 'Catégorie des articles'!A:E, 4, FALSE)</f>
        <v>MIX LEGUMES</v>
      </c>
      <c r="H62" s="14">
        <f>IF(Tableau5[[#This Row],[Stock Moyen (UVC)]]&gt;0,1,0)</f>
        <v>1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>
      <c r="A63" s="17">
        <v>202205</v>
      </c>
      <c r="B63" s="13">
        <v>5540246187882</v>
      </c>
      <c r="C63" s="8">
        <v>96</v>
      </c>
      <c r="D63" s="8">
        <v>3649.0176000000001</v>
      </c>
      <c r="E63" s="25">
        <f t="shared" si="0"/>
        <v>38.010600000000004</v>
      </c>
      <c r="F63" s="8">
        <v>7</v>
      </c>
      <c r="G63" s="17" t="str">
        <f>VLOOKUP(B63, 'Catégorie des articles'!A:E, 4, FALSE)</f>
        <v>EMBALLAGES</v>
      </c>
      <c r="H63" s="14">
        <f>IF(Tableau5[[#This Row],[Stock Moyen (UVC)]]&gt;0,1,0)</f>
        <v>1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>
      <c r="A64" s="17">
        <v>202205</v>
      </c>
      <c r="B64" s="15">
        <v>5540246187940</v>
      </c>
      <c r="C64" s="11">
        <v>418</v>
      </c>
      <c r="D64" s="11">
        <v>3576.96</v>
      </c>
      <c r="E64" s="25">
        <f t="shared" si="0"/>
        <v>8.557320574162679</v>
      </c>
      <c r="F64" s="11">
        <v>10</v>
      </c>
      <c r="G64" s="17" t="str">
        <f>VLOOKUP(B64, 'Catégorie des articles'!A:E, 4, FALSE)</f>
        <v>MIX LEGUMES</v>
      </c>
      <c r="H64" s="14">
        <f>IF(Tableau5[[#This Row],[Stock Moyen (UVC)]]&gt;0,1,0)</f>
        <v>1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>
      <c r="A65" s="17">
        <v>202205</v>
      </c>
      <c r="B65" s="13">
        <v>5540246187987</v>
      </c>
      <c r="C65" s="8">
        <v>1671</v>
      </c>
      <c r="D65" s="8">
        <v>821.14560000000006</v>
      </c>
      <c r="E65" s="25">
        <f t="shared" si="0"/>
        <v>0.49140969479353686</v>
      </c>
      <c r="F65" s="8">
        <v>38475</v>
      </c>
      <c r="G65" s="17" t="str">
        <f>VLOOKUP(B65, 'Catégorie des articles'!A:E, 4, FALSE)</f>
        <v>CREMERIE</v>
      </c>
      <c r="H65" s="14">
        <f>IF(Tableau5[[#This Row],[Stock Moyen (UVC)]]&gt;0,1,0)</f>
        <v>1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>
      <c r="A66" s="17">
        <v>202205</v>
      </c>
      <c r="B66" s="15">
        <v>5540246187995</v>
      </c>
      <c r="C66" s="11">
        <v>0</v>
      </c>
      <c r="D66" s="11">
        <v>0</v>
      </c>
      <c r="E66" s="25" t="str">
        <f t="shared" si="0"/>
        <v/>
      </c>
      <c r="F66" s="11">
        <v>386</v>
      </c>
      <c r="G66" s="17" t="str">
        <f>VLOOKUP(B66, 'Catégorie des articles'!A:E, 4, FALSE)</f>
        <v>EMBALLAGES</v>
      </c>
      <c r="H66" s="14">
        <f>IF(Tableau5[[#This Row],[Stock Moyen (UVC)]]&gt;0,1,0)</f>
        <v>0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>
      <c r="A67" s="17">
        <v>202205</v>
      </c>
      <c r="B67" s="13">
        <v>5540246187996</v>
      </c>
      <c r="C67" s="8">
        <v>0</v>
      </c>
      <c r="D67" s="8">
        <v>0</v>
      </c>
      <c r="E67" s="25" t="str">
        <f t="shared" ref="E67:E130" si="1">IF(C67=0,"",D67/C67)</f>
        <v/>
      </c>
      <c r="F67" s="8">
        <v>0</v>
      </c>
      <c r="G67" s="17" t="str">
        <f>VLOOKUP(B67, 'Catégorie des articles'!A:E, 4, FALSE)</f>
        <v>EMBALLAGES</v>
      </c>
      <c r="H67" s="14">
        <f>IF(Tableau5[[#This Row],[Stock Moyen (UVC)]]&gt;0,1,0)</f>
        <v>0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>
      <c r="A68" s="17">
        <v>202205</v>
      </c>
      <c r="B68" s="15">
        <v>5540246187997</v>
      </c>
      <c r="C68" s="11">
        <v>0</v>
      </c>
      <c r="D68" s="11">
        <v>0</v>
      </c>
      <c r="E68" s="25" t="str">
        <f t="shared" si="1"/>
        <v/>
      </c>
      <c r="F68" s="11">
        <v>12</v>
      </c>
      <c r="G68" s="17" t="str">
        <f>VLOOKUP(B68, 'Catégorie des articles'!A:E, 4, FALSE)</f>
        <v>EMBALLAGES</v>
      </c>
      <c r="H68" s="14">
        <f>IF(Tableau5[[#This Row],[Stock Moyen (UVC)]]&gt;0,1,0)</f>
        <v>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>
      <c r="A69" s="17">
        <v>202205</v>
      </c>
      <c r="B69" s="13">
        <v>5540246187998</v>
      </c>
      <c r="C69" s="8">
        <v>0</v>
      </c>
      <c r="D69" s="8">
        <v>0</v>
      </c>
      <c r="E69" s="25" t="str">
        <f t="shared" si="1"/>
        <v/>
      </c>
      <c r="F69" s="8">
        <v>374</v>
      </c>
      <c r="G69" s="17" t="str">
        <f>VLOOKUP(B69, 'Catégorie des articles'!A:E, 4, FALSE)</f>
        <v>EMBALLAGES</v>
      </c>
      <c r="H69" s="14">
        <f>IF(Tableau5[[#This Row],[Stock Moyen (UVC)]]&gt;0,1,0)</f>
        <v>0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>
      <c r="A70" s="17">
        <v>202205</v>
      </c>
      <c r="B70" s="15">
        <v>5540246188047</v>
      </c>
      <c r="C70" s="11">
        <v>154</v>
      </c>
      <c r="D70" s="11">
        <v>18652.550400000004</v>
      </c>
      <c r="E70" s="25">
        <f t="shared" si="1"/>
        <v>121.12045714285716</v>
      </c>
      <c r="F70" s="11">
        <v>35</v>
      </c>
      <c r="G70" s="17" t="str">
        <f>VLOOKUP(B70, 'Catégorie des articles'!A:E, 4, FALSE)</f>
        <v>EMBALLAGES</v>
      </c>
      <c r="H70" s="14">
        <f>IF(Tableau5[[#This Row],[Stock Moyen (UVC)]]&gt;0,1,0)</f>
        <v>1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>
      <c r="A71" s="17">
        <v>202205</v>
      </c>
      <c r="B71" s="15">
        <v>5540246188175</v>
      </c>
      <c r="C71" s="11">
        <v>0</v>
      </c>
      <c r="D71" s="11">
        <v>0</v>
      </c>
      <c r="E71" s="25" t="str">
        <f t="shared" si="1"/>
        <v/>
      </c>
      <c r="F71" s="11">
        <v>288</v>
      </c>
      <c r="G71" s="17" t="str">
        <f>VLOOKUP(B71, 'Catégorie des articles'!A:E, 4, FALSE)</f>
        <v>CREMERIE</v>
      </c>
      <c r="H71" s="14">
        <f>IF(Tableau5[[#This Row],[Stock Moyen (UVC)]]&gt;0,1,0)</f>
        <v>0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>
      <c r="A72" s="17">
        <v>202205</v>
      </c>
      <c r="B72" s="15">
        <v>5540246188200</v>
      </c>
      <c r="C72" s="11">
        <v>0</v>
      </c>
      <c r="D72" s="11">
        <v>0</v>
      </c>
      <c r="E72" s="25" t="str">
        <f t="shared" si="1"/>
        <v/>
      </c>
      <c r="F72" s="11">
        <v>12733</v>
      </c>
      <c r="G72" s="17" t="str">
        <f>VLOOKUP(B72, 'Catégorie des articles'!A:E, 4, FALSE)</f>
        <v>CREMERIE</v>
      </c>
      <c r="H72" s="14">
        <f>IF(Tableau5[[#This Row],[Stock Moyen (UVC)]]&gt;0,1,0)</f>
        <v>0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>
      <c r="A73" s="17">
        <v>202205</v>
      </c>
      <c r="B73" s="15">
        <v>5540246188224</v>
      </c>
      <c r="C73" s="11">
        <v>5568</v>
      </c>
      <c r="D73" s="11">
        <v>6531.84</v>
      </c>
      <c r="E73" s="25">
        <f t="shared" si="1"/>
        <v>1.173103448275862</v>
      </c>
      <c r="F73" s="11">
        <v>12876</v>
      </c>
      <c r="G73" s="17" t="str">
        <f>VLOOKUP(B73, 'Catégorie des articles'!A:E, 4, FALSE)</f>
        <v>VOLAILLE</v>
      </c>
      <c r="H73" s="14">
        <f>IF(Tableau5[[#This Row],[Stock Moyen (UVC)]]&gt;0,1,0)</f>
        <v>1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>
      <c r="A74" s="17">
        <v>202205</v>
      </c>
      <c r="B74" s="15">
        <v>5540246188512</v>
      </c>
      <c r="C74" s="11">
        <v>179</v>
      </c>
      <c r="D74" s="11">
        <v>24488.9568</v>
      </c>
      <c r="E74" s="25">
        <f t="shared" si="1"/>
        <v>136.80981452513967</v>
      </c>
      <c r="F74" s="11">
        <v>28</v>
      </c>
      <c r="G74" s="17" t="str">
        <f>VLOOKUP(B74, 'Catégorie des articles'!A:E, 4, FALSE)</f>
        <v>EMBALLAGES</v>
      </c>
      <c r="H74" s="14">
        <f>IF(Tableau5[[#This Row],[Stock Moyen (UVC)]]&gt;0,1,0)</f>
        <v>1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>
      <c r="A75" s="17">
        <v>202205</v>
      </c>
      <c r="B75" s="15">
        <v>5540246188583</v>
      </c>
      <c r="C75" s="11">
        <v>4594</v>
      </c>
      <c r="D75" s="11">
        <v>16448.572800000002</v>
      </c>
      <c r="E75" s="25">
        <f t="shared" si="1"/>
        <v>3.5804468437091863</v>
      </c>
      <c r="F75" s="11">
        <v>8464</v>
      </c>
      <c r="G75" s="17" t="str">
        <f>VLOOKUP(B75, 'Catégorie des articles'!A:E, 4, FALSE)</f>
        <v>BOULANGERIE</v>
      </c>
      <c r="H75" s="14">
        <f>IF(Tableau5[[#This Row],[Stock Moyen (UVC)]]&gt;0,1,0)</f>
        <v>1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>
      <c r="A76" s="17">
        <v>202205</v>
      </c>
      <c r="B76" s="15">
        <v>5540246188647</v>
      </c>
      <c r="C76" s="11">
        <v>1798</v>
      </c>
      <c r="D76" s="11">
        <v>26616.600000000002</v>
      </c>
      <c r="E76" s="25">
        <f t="shared" si="1"/>
        <v>14.80344827586207</v>
      </c>
      <c r="F76" s="11">
        <v>0</v>
      </c>
      <c r="G76" s="17" t="str">
        <f>VLOOKUP(B76, 'Catégorie des articles'!A:E, 4, FALSE)</f>
        <v>MIX LEGUMES</v>
      </c>
      <c r="H76" s="14">
        <f>IF(Tableau5[[#This Row],[Stock Moyen (UVC)]]&gt;0,1,0)</f>
        <v>1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>
      <c r="A77" s="17">
        <v>202205</v>
      </c>
      <c r="B77" s="15">
        <v>5540246190092</v>
      </c>
      <c r="C77" s="11">
        <v>96</v>
      </c>
      <c r="D77" s="11">
        <v>13163.5584</v>
      </c>
      <c r="E77" s="25">
        <f t="shared" si="1"/>
        <v>137.12039999999999</v>
      </c>
      <c r="F77" s="11">
        <v>47</v>
      </c>
      <c r="G77" s="17" t="str">
        <f>VLOOKUP(B77, 'Catégorie des articles'!A:E, 4, FALSE)</f>
        <v>EMBALLAGES</v>
      </c>
      <c r="H77" s="14">
        <f>IF(Tableau5[[#This Row],[Stock Moyen (UVC)]]&gt;0,1,0)</f>
        <v>1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>
      <c r="A78" s="17">
        <v>202205</v>
      </c>
      <c r="B78" s="13">
        <v>5540246190097</v>
      </c>
      <c r="C78" s="8">
        <v>4880</v>
      </c>
      <c r="D78" s="8">
        <v>120385.00800000002</v>
      </c>
      <c r="E78" s="25">
        <f t="shared" si="1"/>
        <v>24.669059016393447</v>
      </c>
      <c r="F78" s="8">
        <v>8234</v>
      </c>
      <c r="G78" s="17" t="str">
        <f>VLOOKUP(B78, 'Catégorie des articles'!A:E, 4, FALSE)</f>
        <v>VOLAILLE</v>
      </c>
      <c r="H78" s="14">
        <f>IF(Tableau5[[#This Row],[Stock Moyen (UVC)]]&gt;0,1,0)</f>
        <v>1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>
      <c r="A79" s="17">
        <v>202205</v>
      </c>
      <c r="B79" s="15">
        <v>5540246190727</v>
      </c>
      <c r="C79" s="11">
        <v>383</v>
      </c>
      <c r="D79" s="11">
        <v>4326.0048000000006</v>
      </c>
      <c r="E79" s="25">
        <f t="shared" si="1"/>
        <v>11.295051697127938</v>
      </c>
      <c r="F79" s="11">
        <v>557</v>
      </c>
      <c r="G79" s="17" t="str">
        <f>VLOOKUP(B79, 'Catégorie des articles'!A:E, 4, FALSE)</f>
        <v>BOULANGERIE</v>
      </c>
      <c r="H79" s="14">
        <f>IF(Tableau5[[#This Row],[Stock Moyen (UVC)]]&gt;0,1,0)</f>
        <v>1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>
      <c r="A80" s="17">
        <v>202205</v>
      </c>
      <c r="B80" s="13">
        <v>5540246190743</v>
      </c>
      <c r="C80" s="8">
        <v>140</v>
      </c>
      <c r="D80" s="8">
        <v>1181.9520000000002</v>
      </c>
      <c r="E80" s="25">
        <f t="shared" si="1"/>
        <v>8.442514285714287</v>
      </c>
      <c r="F80" s="8">
        <v>808</v>
      </c>
      <c r="G80" s="17" t="str">
        <f>VLOOKUP(B80, 'Catégorie des articles'!A:E, 4, FALSE)</f>
        <v>CREMERIE</v>
      </c>
      <c r="H80" s="14">
        <f>IF(Tableau5[[#This Row],[Stock Moyen (UVC)]]&gt;0,1,0)</f>
        <v>1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>
      <c r="A81" s="17">
        <v>202205</v>
      </c>
      <c r="B81" s="15">
        <v>5540246190831</v>
      </c>
      <c r="C81" s="11">
        <v>2019</v>
      </c>
      <c r="D81" s="11">
        <v>15187.694400000002</v>
      </c>
      <c r="E81" s="25">
        <f t="shared" si="1"/>
        <v>7.5223845468053501</v>
      </c>
      <c r="F81" s="11">
        <v>720</v>
      </c>
      <c r="G81" s="17" t="str">
        <f>VLOOKUP(B81, 'Catégorie des articles'!A:E, 4, FALSE)</f>
        <v>MIX LEGUMES</v>
      </c>
      <c r="H81" s="14">
        <f>IF(Tableau5[[#This Row],[Stock Moyen (UVC)]]&gt;0,1,0)</f>
        <v>1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>
      <c r="A82" s="17">
        <v>202205</v>
      </c>
      <c r="B82" s="13">
        <v>5540246190835</v>
      </c>
      <c r="C82" s="8">
        <v>114</v>
      </c>
      <c r="D82" s="8">
        <v>24029.9136</v>
      </c>
      <c r="E82" s="25">
        <f t="shared" si="1"/>
        <v>210.78871578947368</v>
      </c>
      <c r="F82" s="8">
        <v>52</v>
      </c>
      <c r="G82" s="17" t="str">
        <f>VLOOKUP(B82, 'Catégorie des articles'!A:E, 4, FALSE)</f>
        <v>BOULANGERIE</v>
      </c>
      <c r="H82" s="14">
        <f>IF(Tableau5[[#This Row],[Stock Moyen (UVC)]]&gt;0,1,0)</f>
        <v>1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>
      <c r="A83" s="17">
        <v>202205</v>
      </c>
      <c r="B83" s="13">
        <v>5540246191380</v>
      </c>
      <c r="C83" s="8">
        <v>557</v>
      </c>
      <c r="D83" s="8">
        <v>2633.4720000000002</v>
      </c>
      <c r="E83" s="25">
        <f t="shared" si="1"/>
        <v>4.7279569120287253</v>
      </c>
      <c r="F83" s="8">
        <v>140</v>
      </c>
      <c r="G83" s="17" t="str">
        <f>VLOOKUP(B83, 'Catégorie des articles'!A:E, 4, FALSE)</f>
        <v>CREMERIE</v>
      </c>
      <c r="H83" s="14">
        <f>IF(Tableau5[[#This Row],[Stock Moyen (UVC)]]&gt;0,1,0)</f>
        <v>1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>
      <c r="A84" s="17">
        <v>202205</v>
      </c>
      <c r="B84" s="15">
        <v>5540246191394</v>
      </c>
      <c r="C84" s="11">
        <v>2436</v>
      </c>
      <c r="D84" s="11">
        <v>13009.248000000001</v>
      </c>
      <c r="E84" s="25">
        <f t="shared" si="1"/>
        <v>5.3404137931034485</v>
      </c>
      <c r="F84" s="11">
        <v>0</v>
      </c>
      <c r="G84" s="17" t="str">
        <f>VLOOKUP(B84, 'Catégorie des articles'!A:E, 4, FALSE)</f>
        <v>CREMERIE</v>
      </c>
      <c r="H84" s="14">
        <f>IF(Tableau5[[#This Row],[Stock Moyen (UVC)]]&gt;0,1,0)</f>
        <v>1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>
      <c r="A85" s="17">
        <v>202205</v>
      </c>
      <c r="B85" s="15">
        <v>5540246191594</v>
      </c>
      <c r="C85" s="11">
        <v>112</v>
      </c>
      <c r="D85" s="11">
        <v>199.88640000000004</v>
      </c>
      <c r="E85" s="25">
        <f t="shared" si="1"/>
        <v>1.7847000000000004</v>
      </c>
      <c r="F85" s="11">
        <v>112</v>
      </c>
      <c r="G85" s="17" t="str">
        <f>VLOOKUP(B85, 'Catégorie des articles'!A:E, 4, FALSE)</f>
        <v>CREMERIE</v>
      </c>
      <c r="H85" s="14">
        <f>IF(Tableau5[[#This Row],[Stock Moyen (UVC)]]&gt;0,1,0)</f>
        <v>1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>
      <c r="A86" s="17">
        <v>202205</v>
      </c>
      <c r="B86" s="13">
        <v>5540246191596</v>
      </c>
      <c r="C86" s="8">
        <v>161</v>
      </c>
      <c r="D86" s="8">
        <v>8936.4384000000009</v>
      </c>
      <c r="E86" s="25">
        <f t="shared" si="1"/>
        <v>55.50582857142858</v>
      </c>
      <c r="F86" s="8">
        <v>156</v>
      </c>
      <c r="G86" s="17" t="str">
        <f>VLOOKUP(B86, 'Catégorie des articles'!A:E, 4, FALSE)</f>
        <v>BOULANGERIE</v>
      </c>
      <c r="H86" s="14">
        <f>IF(Tableau5[[#This Row],[Stock Moyen (UVC)]]&gt;0,1,0)</f>
        <v>1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>
      <c r="A87" s="17">
        <v>202205</v>
      </c>
      <c r="B87" s="15">
        <v>5540246191598</v>
      </c>
      <c r="C87" s="11">
        <v>0</v>
      </c>
      <c r="D87" s="11">
        <v>0</v>
      </c>
      <c r="E87" s="25" t="str">
        <f t="shared" si="1"/>
        <v/>
      </c>
      <c r="F87" s="11">
        <v>1935</v>
      </c>
      <c r="G87" s="17" t="str">
        <f>VLOOKUP(B87, 'Catégorie des articles'!A:E, 4, FALSE)</f>
        <v>CREMERIE</v>
      </c>
      <c r="H87" s="14">
        <f>IF(Tableau5[[#This Row],[Stock Moyen (UVC)]]&gt;0,1,0)</f>
        <v>0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>
      <c r="A88" s="17">
        <v>202205</v>
      </c>
      <c r="B88" s="13">
        <v>5540246191718</v>
      </c>
      <c r="C88" s="8">
        <v>1235</v>
      </c>
      <c r="D88" s="8">
        <v>3658.7808000000005</v>
      </c>
      <c r="E88" s="25">
        <f t="shared" si="1"/>
        <v>2.9625755465587047</v>
      </c>
      <c r="F88" s="8">
        <v>488</v>
      </c>
      <c r="G88" s="17" t="str">
        <f>VLOOKUP(B88, 'Catégorie des articles'!A:E, 4, FALSE)</f>
        <v>MIX LEGUMES</v>
      </c>
      <c r="H88" s="14">
        <f>IF(Tableau5[[#This Row],[Stock Moyen (UVC)]]&gt;0,1,0)</f>
        <v>1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>
      <c r="A89" s="17">
        <v>202205</v>
      </c>
      <c r="B89" s="13">
        <v>5540246191736</v>
      </c>
      <c r="C89" s="8">
        <v>288</v>
      </c>
      <c r="D89" s="8">
        <v>9304.7616000000016</v>
      </c>
      <c r="E89" s="25">
        <f t="shared" si="1"/>
        <v>32.308200000000006</v>
      </c>
      <c r="F89" s="8">
        <v>0</v>
      </c>
      <c r="G89" s="17" t="str">
        <f>VLOOKUP(B89, 'Catégorie des articles'!A:E, 4, FALSE)</f>
        <v>CREMERIE</v>
      </c>
      <c r="H89" s="14">
        <f>IF(Tableau5[[#This Row],[Stock Moyen (UVC)]]&gt;0,1,0)</f>
        <v>1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>
      <c r="A90" s="17">
        <v>202205</v>
      </c>
      <c r="B90" s="15">
        <v>5540246192102</v>
      </c>
      <c r="C90" s="11">
        <v>7879</v>
      </c>
      <c r="D90" s="11">
        <v>8626.3919999999998</v>
      </c>
      <c r="E90" s="25">
        <f t="shared" si="1"/>
        <v>1.0948587384185811</v>
      </c>
      <c r="F90" s="11">
        <v>6652</v>
      </c>
      <c r="G90" s="17" t="str">
        <f>VLOOKUP(B90, 'Catégorie des articles'!A:E, 4, FALSE)</f>
        <v>CREMERIE</v>
      </c>
      <c r="H90" s="14">
        <f>IF(Tableau5[[#This Row],[Stock Moyen (UVC)]]&gt;0,1,0)</f>
        <v>1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>
      <c r="A91" s="17">
        <v>202205</v>
      </c>
      <c r="B91" s="15">
        <v>5540246192209</v>
      </c>
      <c r="C91" s="11">
        <v>2478</v>
      </c>
      <c r="D91" s="11">
        <v>12457.152</v>
      </c>
      <c r="E91" s="25">
        <f t="shared" si="1"/>
        <v>5.0270992736077478</v>
      </c>
      <c r="F91" s="11">
        <v>1420</v>
      </c>
      <c r="G91" s="17" t="str">
        <f>VLOOKUP(B91, 'Catégorie des articles'!A:E, 4, FALSE)</f>
        <v>MIX LEGUMES</v>
      </c>
      <c r="H91" s="14">
        <f>IF(Tableau5[[#This Row],[Stock Moyen (UVC)]]&gt;0,1,0)</f>
        <v>1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>
      <c r="A92" s="17">
        <v>202205</v>
      </c>
      <c r="B92" s="13">
        <v>5540246192264</v>
      </c>
      <c r="C92" s="8">
        <v>149</v>
      </c>
      <c r="D92" s="8">
        <v>2156.5439999999999</v>
      </c>
      <c r="E92" s="25">
        <f t="shared" si="1"/>
        <v>14.473449664429529</v>
      </c>
      <c r="F92" s="8">
        <v>1578</v>
      </c>
      <c r="G92" s="17" t="str">
        <f>VLOOKUP(B92, 'Catégorie des articles'!A:E, 4, FALSE)</f>
        <v>CREMERIE</v>
      </c>
      <c r="H92" s="14">
        <f>IF(Tableau5[[#This Row],[Stock Moyen (UVC)]]&gt;0,1,0)</f>
        <v>1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>
      <c r="A93" s="17">
        <v>202205</v>
      </c>
      <c r="B93" s="15">
        <v>5540246192265</v>
      </c>
      <c r="C93" s="11">
        <v>706</v>
      </c>
      <c r="D93" s="11">
        <v>9442.4832000000024</v>
      </c>
      <c r="E93" s="25">
        <f t="shared" si="1"/>
        <v>13.374622096317283</v>
      </c>
      <c r="F93" s="11">
        <v>1782</v>
      </c>
      <c r="G93" s="17" t="str">
        <f>VLOOKUP(B93, 'Catégorie des articles'!A:E, 4, FALSE)</f>
        <v>CREMERIE</v>
      </c>
      <c r="H93" s="14">
        <f>IF(Tableau5[[#This Row],[Stock Moyen (UVC)]]&gt;0,1,0)</f>
        <v>1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>
      <c r="A94" s="17">
        <v>202205</v>
      </c>
      <c r="B94" s="15">
        <v>5540246192462</v>
      </c>
      <c r="C94" s="11">
        <v>1114</v>
      </c>
      <c r="D94" s="11">
        <v>7153.92</v>
      </c>
      <c r="E94" s="25">
        <f t="shared" si="1"/>
        <v>6.4218312387791743</v>
      </c>
      <c r="F94" s="11">
        <v>669</v>
      </c>
      <c r="G94" s="17" t="str">
        <f>VLOOKUP(B94, 'Catégorie des articles'!A:E, 4, FALSE)</f>
        <v>MIX LEGUMES</v>
      </c>
      <c r="H94" s="14">
        <f>IF(Tableau5[[#This Row],[Stock Moyen (UVC)]]&gt;0,1,0)</f>
        <v>1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>
      <c r="A95" s="17">
        <v>202205</v>
      </c>
      <c r="B95" s="13">
        <v>5540246192505</v>
      </c>
      <c r="C95" s="8">
        <v>0</v>
      </c>
      <c r="D95" s="8">
        <v>0</v>
      </c>
      <c r="E95" s="25" t="str">
        <f t="shared" si="1"/>
        <v/>
      </c>
      <c r="F95" s="8">
        <v>0</v>
      </c>
      <c r="G95" s="17" t="str">
        <f>VLOOKUP(B95, 'Catégorie des articles'!A:E, 4, FALSE)</f>
        <v>MIX LEGUMES</v>
      </c>
      <c r="H95" s="14">
        <f>IF(Tableau5[[#This Row],[Stock Moyen (UVC)]]&gt;0,1,0)</f>
        <v>0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>
      <c r="A96" s="17">
        <v>202205</v>
      </c>
      <c r="B96" s="13">
        <v>5540246192518</v>
      </c>
      <c r="C96" s="8">
        <v>6292</v>
      </c>
      <c r="D96" s="8">
        <v>40958.567999999999</v>
      </c>
      <c r="E96" s="25">
        <f t="shared" si="1"/>
        <v>6.5096261919898284</v>
      </c>
      <c r="F96" s="8">
        <v>7545</v>
      </c>
      <c r="G96" s="17" t="str">
        <f>VLOOKUP(B96, 'Catégorie des articles'!A:E, 4, FALSE)</f>
        <v>MIX LEGUMES</v>
      </c>
      <c r="H96" s="14">
        <f>IF(Tableau5[[#This Row],[Stock Moyen (UVC)]]&gt;0,1,0)</f>
        <v>1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>
      <c r="A97" s="17">
        <v>202205</v>
      </c>
      <c r="B97" s="13">
        <v>5540246192571</v>
      </c>
      <c r="C97" s="8">
        <v>1003</v>
      </c>
      <c r="D97" s="8">
        <v>2620.2096000000001</v>
      </c>
      <c r="E97" s="25">
        <f t="shared" si="1"/>
        <v>2.6123724825523431</v>
      </c>
      <c r="F97" s="8">
        <v>209</v>
      </c>
      <c r="G97" s="17" t="str">
        <f>VLOOKUP(B97, 'Catégorie des articles'!A:E, 4, FALSE)</f>
        <v>MIX LEGUMES</v>
      </c>
      <c r="H97" s="14">
        <f>IF(Tableau5[[#This Row],[Stock Moyen (UVC)]]&gt;0,1,0)</f>
        <v>1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>
      <c r="A98" s="17">
        <v>202205</v>
      </c>
      <c r="B98" s="15">
        <v>5540246192594</v>
      </c>
      <c r="C98" s="11">
        <v>706</v>
      </c>
      <c r="D98" s="11">
        <v>4662.1440000000002</v>
      </c>
      <c r="E98" s="25">
        <f t="shared" si="1"/>
        <v>6.6036033994334282</v>
      </c>
      <c r="F98" s="11">
        <v>195</v>
      </c>
      <c r="G98" s="17" t="str">
        <f>VLOOKUP(B98, 'Catégorie des articles'!A:E, 4, FALSE)</f>
        <v>MIX LEGUMES</v>
      </c>
      <c r="H98" s="14">
        <f>IF(Tableau5[[#This Row],[Stock Moyen (UVC)]]&gt;0,1,0)</f>
        <v>1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>
      <c r="A99" s="17">
        <v>202205</v>
      </c>
      <c r="B99" s="13">
        <v>5540246192824</v>
      </c>
      <c r="C99" s="8">
        <v>919</v>
      </c>
      <c r="D99" s="8">
        <v>4947.3936000000003</v>
      </c>
      <c r="E99" s="25">
        <f t="shared" si="1"/>
        <v>5.3834533188248104</v>
      </c>
      <c r="F99" s="8">
        <v>669</v>
      </c>
      <c r="G99" s="17" t="str">
        <f>VLOOKUP(B99, 'Catégorie des articles'!A:E, 4, FALSE)</f>
        <v>MIX LEGUMES</v>
      </c>
      <c r="H99" s="14">
        <f>IF(Tableau5[[#This Row],[Stock Moyen (UVC)]]&gt;0,1,0)</f>
        <v>1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>
      <c r="A100" s="17">
        <v>202205</v>
      </c>
      <c r="B100" s="13">
        <v>5540246192831</v>
      </c>
      <c r="C100" s="8">
        <v>780</v>
      </c>
      <c r="D100" s="8">
        <v>6909.2352000000001</v>
      </c>
      <c r="E100" s="25">
        <f t="shared" si="1"/>
        <v>8.8579938461538461</v>
      </c>
      <c r="F100" s="8">
        <v>455</v>
      </c>
      <c r="G100" s="17" t="str">
        <f>VLOOKUP(B100, 'Catégorie des articles'!A:E, 4, FALSE)</f>
        <v>MIX LEGUMES</v>
      </c>
      <c r="H100" s="14">
        <f>IF(Tableau5[[#This Row],[Stock Moyen (UVC)]]&gt;0,1,0)</f>
        <v>1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>
      <c r="A101" s="17">
        <v>202205</v>
      </c>
      <c r="B101" s="15">
        <v>5540246192836</v>
      </c>
      <c r="C101" s="11">
        <v>84</v>
      </c>
      <c r="D101" s="11">
        <v>11558.2464</v>
      </c>
      <c r="E101" s="25">
        <f t="shared" si="1"/>
        <v>137.59817142857142</v>
      </c>
      <c r="F101" s="11">
        <v>0</v>
      </c>
      <c r="G101" s="17" t="str">
        <f>VLOOKUP(B101, 'Catégorie des articles'!A:E, 4, FALSE)</f>
        <v>EMBALLAGES</v>
      </c>
      <c r="H101" s="14">
        <f>IF(Tableau5[[#This Row],[Stock Moyen (UVC)]]&gt;0,1,0)</f>
        <v>1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>
      <c r="A102" s="17">
        <v>202205</v>
      </c>
      <c r="B102" s="13">
        <v>5540246192907</v>
      </c>
      <c r="C102" s="8">
        <v>2200</v>
      </c>
      <c r="D102" s="8">
        <v>61737.552000000003</v>
      </c>
      <c r="E102" s="25">
        <f t="shared" si="1"/>
        <v>28.062523636363636</v>
      </c>
      <c r="F102" s="8">
        <v>2005</v>
      </c>
      <c r="G102" s="17" t="str">
        <f>VLOOKUP(B102, 'Catégorie des articles'!A:E, 4, FALSE)</f>
        <v>VOLAILLE</v>
      </c>
      <c r="H102" s="14">
        <f>IF(Tableau5[[#This Row],[Stock Moyen (UVC)]]&gt;0,1,0)</f>
        <v>1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>
      <c r="A103" s="17">
        <v>202205</v>
      </c>
      <c r="B103" s="13">
        <v>5540246193249</v>
      </c>
      <c r="C103" s="8">
        <v>1244</v>
      </c>
      <c r="D103" s="8">
        <v>54530.495999999999</v>
      </c>
      <c r="E103" s="25">
        <f t="shared" si="1"/>
        <v>43.8348038585209</v>
      </c>
      <c r="F103" s="8">
        <v>956</v>
      </c>
      <c r="G103" s="17" t="str">
        <f>VLOOKUP(B103, 'Catégorie des articles'!A:E, 4, FALSE)</f>
        <v>EMBALLAGES</v>
      </c>
      <c r="H103" s="14">
        <f>IF(Tableau5[[#This Row],[Stock Moyen (UVC)]]&gt;0,1,0)</f>
        <v>1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>
      <c r="A104" s="17">
        <v>202205</v>
      </c>
      <c r="B104" s="13">
        <v>5540246193316</v>
      </c>
      <c r="C104" s="8">
        <v>358</v>
      </c>
      <c r="D104" s="8">
        <v>10817.452800000001</v>
      </c>
      <c r="E104" s="25">
        <f t="shared" si="1"/>
        <v>30.216348603351957</v>
      </c>
      <c r="F104" s="8">
        <v>98</v>
      </c>
      <c r="G104" s="17" t="str">
        <f>VLOOKUP(B104, 'Catégorie des articles'!A:E, 4, FALSE)</f>
        <v>BOULANGERIE</v>
      </c>
      <c r="H104" s="14">
        <f>IF(Tableau5[[#This Row],[Stock Moyen (UVC)]]&gt;0,1,0)</f>
        <v>1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>
      <c r="A105" s="17">
        <v>202205</v>
      </c>
      <c r="B105" s="13">
        <v>5540246193409</v>
      </c>
      <c r="C105" s="8">
        <v>116</v>
      </c>
      <c r="D105" s="8">
        <v>5961.6</v>
      </c>
      <c r="E105" s="25">
        <f t="shared" si="1"/>
        <v>51.393103448275866</v>
      </c>
      <c r="F105" s="8">
        <v>21</v>
      </c>
      <c r="G105" s="17" t="str">
        <f>VLOOKUP(B105, 'Catégorie des articles'!A:E, 4, FALSE)</f>
        <v>BOULANGERIE</v>
      </c>
      <c r="H105" s="14">
        <f>IF(Tableau5[[#This Row],[Stock Moyen (UVC)]]&gt;0,1,0)</f>
        <v>1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>
      <c r="A106" s="17">
        <v>202205</v>
      </c>
      <c r="B106" s="13">
        <v>5540246193505</v>
      </c>
      <c r="C106" s="8">
        <v>0</v>
      </c>
      <c r="D106" s="8">
        <v>0</v>
      </c>
      <c r="E106" s="25" t="str">
        <f t="shared" si="1"/>
        <v/>
      </c>
      <c r="F106" s="8">
        <v>52432</v>
      </c>
      <c r="G106" s="17" t="str">
        <f>VLOOKUP(B106, 'Catégorie des articles'!A:E, 4, FALSE)</f>
        <v>BOULANGERIE</v>
      </c>
      <c r="H106" s="14">
        <f>IF(Tableau5[[#This Row],[Stock Moyen (UVC)]]&gt;0,1,0)</f>
        <v>0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>
      <c r="A107" s="17">
        <v>202205</v>
      </c>
      <c r="B107" s="15">
        <v>5540246193566</v>
      </c>
      <c r="C107" s="11">
        <v>14292</v>
      </c>
      <c r="D107" s="11">
        <v>127733.76000000001</v>
      </c>
      <c r="E107" s="25">
        <f t="shared" si="1"/>
        <v>8.9374307304785905</v>
      </c>
      <c r="F107" s="11">
        <v>4443</v>
      </c>
      <c r="G107" s="17" t="str">
        <f>VLOOKUP(B107, 'Catégorie des articles'!A:E, 4, FALSE)</f>
        <v>VOLAILLE</v>
      </c>
      <c r="H107" s="14">
        <f>IF(Tableau5[[#This Row],[Stock Moyen (UVC)]]&gt;0,1,0)</f>
        <v>1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>
      <c r="A108" s="17">
        <v>202205</v>
      </c>
      <c r="B108" s="15">
        <v>5540246193999</v>
      </c>
      <c r="C108" s="11">
        <v>0</v>
      </c>
      <c r="D108" s="11">
        <v>0</v>
      </c>
      <c r="E108" s="25" t="str">
        <f t="shared" si="1"/>
        <v/>
      </c>
      <c r="F108" s="11">
        <v>0</v>
      </c>
      <c r="G108" s="17" t="str">
        <f>VLOOKUP(B108, 'Catégorie des articles'!A:E, 4, FALSE)</f>
        <v>MIX LEGUMES</v>
      </c>
      <c r="H108" s="14">
        <f>IF(Tableau5[[#This Row],[Stock Moyen (UVC)]]&gt;0,1,0)</f>
        <v>0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>
      <c r="A109" s="17">
        <v>202206</v>
      </c>
      <c r="B109" s="15">
        <v>5540246170256</v>
      </c>
      <c r="C109" s="11">
        <v>2759</v>
      </c>
      <c r="D109" s="11">
        <v>18542.692800000001</v>
      </c>
      <c r="E109" s="25">
        <f t="shared" si="1"/>
        <v>6.7208020297209137</v>
      </c>
      <c r="F109" s="11">
        <v>10721</v>
      </c>
      <c r="G109" s="17" t="str">
        <f>VLOOKUP(B109, 'Catégorie des articles'!A:E, 4, FALSE)</f>
        <v>BOULANGERIE</v>
      </c>
      <c r="H109" s="14">
        <f>IF(Tableau5[[#This Row],[Stock Moyen (UVC)]]&gt;0,1,0)</f>
        <v>1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>
      <c r="A110" s="17">
        <v>202206</v>
      </c>
      <c r="B110" s="15">
        <v>5540246171759</v>
      </c>
      <c r="C110" s="11">
        <v>2887</v>
      </c>
      <c r="D110" s="11">
        <v>15853.536000000002</v>
      </c>
      <c r="E110" s="25">
        <f t="shared" si="1"/>
        <v>5.4913529615517849</v>
      </c>
      <c r="F110" s="11">
        <v>5151</v>
      </c>
      <c r="G110" s="17" t="str">
        <f>VLOOKUP(B110, 'Catégorie des articles'!A:E, 4, FALSE)</f>
        <v>MIX LEGUMES</v>
      </c>
      <c r="H110" s="14">
        <f>IF(Tableau5[[#This Row],[Stock Moyen (UVC)]]&gt;0,1,0)</f>
        <v>1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>
      <c r="A111" s="17">
        <v>202206</v>
      </c>
      <c r="B111" s="15">
        <v>5540246171796</v>
      </c>
      <c r="C111" s="11">
        <v>1351</v>
      </c>
      <c r="D111" s="11">
        <v>10243.022400000002</v>
      </c>
      <c r="E111" s="25">
        <f t="shared" si="1"/>
        <v>7.5818078460399718</v>
      </c>
      <c r="F111" s="11">
        <v>1351</v>
      </c>
      <c r="G111" s="17" t="str">
        <f>VLOOKUP(B111, 'Catégorie des articles'!A:E, 4, FALSE)</f>
        <v>CREMERIE</v>
      </c>
      <c r="H111" s="14">
        <f>IF(Tableau5[[#This Row],[Stock Moyen (UVC)]]&gt;0,1,0)</f>
        <v>1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>
      <c r="A112" s="17">
        <v>202206</v>
      </c>
      <c r="B112" s="15">
        <v>5540246171888</v>
      </c>
      <c r="C112" s="11">
        <v>1457</v>
      </c>
      <c r="D112" s="11">
        <v>24552.288</v>
      </c>
      <c r="E112" s="25">
        <f t="shared" si="1"/>
        <v>16.851261496225121</v>
      </c>
      <c r="F112" s="11">
        <v>2733</v>
      </c>
      <c r="G112" s="17" t="str">
        <f>VLOOKUP(B112, 'Catégorie des articles'!A:E, 4, FALSE)</f>
        <v>BOULANGERIE</v>
      </c>
      <c r="H112" s="14">
        <f>IF(Tableau5[[#This Row],[Stock Moyen (UVC)]]&gt;0,1,0)</f>
        <v>1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>
      <c r="A113" s="17">
        <v>202206</v>
      </c>
      <c r="B113" s="13">
        <v>5540246171933</v>
      </c>
      <c r="C113" s="8">
        <v>1114</v>
      </c>
      <c r="D113" s="8">
        <v>717.46560000000011</v>
      </c>
      <c r="E113" s="25">
        <f t="shared" si="1"/>
        <v>0.64404452423698388</v>
      </c>
      <c r="F113" s="8">
        <v>9403</v>
      </c>
      <c r="G113" s="17" t="str">
        <f>VLOOKUP(B113, 'Catégorie des articles'!A:E, 4, FALSE)</f>
        <v>CREMERIE</v>
      </c>
      <c r="H113" s="14">
        <f>IF(Tableau5[[#This Row],[Stock Moyen (UVC)]]&gt;0,1,0)</f>
        <v>1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75" customHeight="1">
      <c r="A114" s="17">
        <v>202206</v>
      </c>
      <c r="B114" s="13">
        <v>5540246172539</v>
      </c>
      <c r="C114" s="8">
        <v>56</v>
      </c>
      <c r="D114" s="8">
        <v>1158.7104000000002</v>
      </c>
      <c r="E114" s="25">
        <f t="shared" si="1"/>
        <v>20.691257142857147</v>
      </c>
      <c r="F114" s="8">
        <v>116</v>
      </c>
      <c r="G114" s="17" t="str">
        <f>VLOOKUP(B114, 'Catégorie des articles'!A:E, 4, FALSE)</f>
        <v>CREMERIE</v>
      </c>
      <c r="H114" s="14">
        <f>IF(Tableau5[[#This Row],[Stock Moyen (UVC)]]&gt;0,1,0)</f>
        <v>1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>
      <c r="A115" s="17">
        <v>202206</v>
      </c>
      <c r="B115" s="15">
        <v>5540246172669</v>
      </c>
      <c r="C115" s="11">
        <v>738</v>
      </c>
      <c r="D115" s="11">
        <v>10039.420800000002</v>
      </c>
      <c r="E115" s="25">
        <f t="shared" si="1"/>
        <v>13.603551219512198</v>
      </c>
      <c r="F115" s="11">
        <v>989</v>
      </c>
      <c r="G115" s="17" t="str">
        <f>VLOOKUP(B115, 'Catégorie des articles'!A:E, 4, FALSE)</f>
        <v>CREMERIE</v>
      </c>
      <c r="H115" s="14">
        <f>IF(Tableau5[[#This Row],[Stock Moyen (UVC)]]&gt;0,1,0)</f>
        <v>1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>
      <c r="A116" s="17">
        <v>202206</v>
      </c>
      <c r="B116" s="15">
        <v>5540246172978</v>
      </c>
      <c r="C116" s="11">
        <v>0</v>
      </c>
      <c r="D116" s="11">
        <v>0</v>
      </c>
      <c r="E116" s="25" t="str">
        <f t="shared" si="1"/>
        <v/>
      </c>
      <c r="F116" s="11">
        <v>13531</v>
      </c>
      <c r="G116" s="17" t="str">
        <f>VLOOKUP(B116, 'Catégorie des articles'!A:E, 4, FALSE)</f>
        <v>CREMERIE</v>
      </c>
      <c r="H116" s="14">
        <f>IF(Tableau5[[#This Row],[Stock Moyen (UVC)]]&gt;0,1,0)</f>
        <v>0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>
      <c r="A117" s="17">
        <v>202206</v>
      </c>
      <c r="B117" s="13">
        <v>5540246173472</v>
      </c>
      <c r="C117" s="8">
        <v>321</v>
      </c>
      <c r="D117" s="8">
        <v>7392.3840000000009</v>
      </c>
      <c r="E117" s="25">
        <f t="shared" si="1"/>
        <v>23.029233644859815</v>
      </c>
      <c r="F117" s="8">
        <v>808</v>
      </c>
      <c r="G117" s="17" t="str">
        <f>VLOOKUP(B117, 'Catégorie des articles'!A:E, 4, FALSE)</f>
        <v>CREMERIE</v>
      </c>
      <c r="H117" s="14">
        <f>IF(Tableau5[[#This Row],[Stock Moyen (UVC)]]&gt;0,1,0)</f>
        <v>1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>
      <c r="A118" s="17">
        <v>202206</v>
      </c>
      <c r="B118" s="13">
        <v>5540246173685</v>
      </c>
      <c r="C118" s="8">
        <v>738</v>
      </c>
      <c r="D118" s="8">
        <v>18628.185600000001</v>
      </c>
      <c r="E118" s="25">
        <f t="shared" si="1"/>
        <v>25.241443902439027</v>
      </c>
      <c r="F118" s="8">
        <v>372</v>
      </c>
      <c r="G118" s="17" t="str">
        <f>VLOOKUP(B118, 'Catégorie des articles'!A:E, 4, FALSE)</f>
        <v>EMBALLAGES</v>
      </c>
      <c r="H118" s="14">
        <f>IF(Tableau5[[#This Row],[Stock Moyen (UVC)]]&gt;0,1,0)</f>
        <v>1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>
      <c r="A119" s="17">
        <v>202206</v>
      </c>
      <c r="B119" s="15">
        <v>5540246173686</v>
      </c>
      <c r="C119" s="11">
        <v>560</v>
      </c>
      <c r="D119" s="11">
        <v>14117.587200000002</v>
      </c>
      <c r="E119" s="25">
        <f t="shared" si="1"/>
        <v>25.209977142857145</v>
      </c>
      <c r="F119" s="11">
        <v>430</v>
      </c>
      <c r="G119" s="17" t="str">
        <f>VLOOKUP(B119, 'Catégorie des articles'!A:E, 4, FALSE)</f>
        <v>EMBALLAGES</v>
      </c>
      <c r="H119" s="14">
        <f>IF(Tableau5[[#This Row],[Stock Moyen (UVC)]]&gt;0,1,0)</f>
        <v>1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>
      <c r="A120" s="17">
        <v>202206</v>
      </c>
      <c r="B120" s="15">
        <v>5540246173906</v>
      </c>
      <c r="C120" s="11">
        <v>669</v>
      </c>
      <c r="D120" s="11">
        <v>12416.7168</v>
      </c>
      <c r="E120" s="25">
        <f t="shared" si="1"/>
        <v>18.560114798206278</v>
      </c>
      <c r="F120" s="11">
        <v>2413</v>
      </c>
      <c r="G120" s="17" t="str">
        <f>VLOOKUP(B120, 'Catégorie des articles'!A:E, 4, FALSE)</f>
        <v>VOLAILLE</v>
      </c>
      <c r="H120" s="14">
        <f>IF(Tableau5[[#This Row],[Stock Moyen (UVC)]]&gt;0,1,0)</f>
        <v>1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>
      <c r="A121" s="17">
        <v>202206</v>
      </c>
      <c r="B121" s="15">
        <v>5540246174095</v>
      </c>
      <c r="C121" s="11">
        <v>56</v>
      </c>
      <c r="D121" s="11">
        <v>1737.6768000000002</v>
      </c>
      <c r="E121" s="25">
        <f t="shared" si="1"/>
        <v>31.02994285714286</v>
      </c>
      <c r="F121" s="11">
        <v>174</v>
      </c>
      <c r="G121" s="17" t="str">
        <f>VLOOKUP(B121, 'Catégorie des articles'!A:E, 4, FALSE)</f>
        <v>CREMERIE</v>
      </c>
      <c r="H121" s="14">
        <f>IF(Tableau5[[#This Row],[Stock Moyen (UVC)]]&gt;0,1,0)</f>
        <v>1</v>
      </c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>
      <c r="A122" s="17">
        <v>202206</v>
      </c>
      <c r="B122" s="13">
        <v>5540246174174</v>
      </c>
      <c r="C122" s="8">
        <v>154</v>
      </c>
      <c r="D122" s="8">
        <v>2037.1824000000001</v>
      </c>
      <c r="E122" s="25">
        <f t="shared" si="1"/>
        <v>13.228457142857144</v>
      </c>
      <c r="F122" s="8">
        <v>766</v>
      </c>
      <c r="G122" s="17" t="str">
        <f>VLOOKUP(B122, 'Catégorie des articles'!A:E, 4, FALSE)</f>
        <v>CREMERIE</v>
      </c>
      <c r="H122" s="14">
        <f>IF(Tableau5[[#This Row],[Stock Moyen (UVC)]]&gt;0,1,0)</f>
        <v>1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>
      <c r="A123" s="17">
        <v>202206</v>
      </c>
      <c r="B123" s="15">
        <v>5540246175047</v>
      </c>
      <c r="C123" s="11">
        <v>404</v>
      </c>
      <c r="D123" s="11">
        <v>4277.0591999999997</v>
      </c>
      <c r="E123" s="25">
        <f t="shared" si="1"/>
        <v>10.586780198019801</v>
      </c>
      <c r="F123" s="11">
        <v>543</v>
      </c>
      <c r="G123" s="17" t="str">
        <f>VLOOKUP(B123, 'Catégorie des articles'!A:E, 4, FALSE)</f>
        <v>CREMERIE</v>
      </c>
      <c r="H123" s="14">
        <f>IF(Tableau5[[#This Row],[Stock Moyen (UVC)]]&gt;0,1,0)</f>
        <v>1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>
      <c r="A124" s="17">
        <v>202206</v>
      </c>
      <c r="B124" s="13">
        <v>5540246175049</v>
      </c>
      <c r="C124" s="8">
        <v>613</v>
      </c>
      <c r="D124" s="8">
        <v>6375.2832000000008</v>
      </c>
      <c r="E124" s="25">
        <f t="shared" si="1"/>
        <v>10.400135725938011</v>
      </c>
      <c r="F124" s="8">
        <v>2757</v>
      </c>
      <c r="G124" s="17" t="str">
        <f>VLOOKUP(B124, 'Catégorie des articles'!A:E, 4, FALSE)</f>
        <v>CREMERIE</v>
      </c>
      <c r="H124" s="14">
        <f>IF(Tableau5[[#This Row],[Stock Moyen (UVC)]]&gt;0,1,0)</f>
        <v>1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>
      <c r="A125" s="17">
        <v>202206</v>
      </c>
      <c r="B125" s="15">
        <v>5540246175050</v>
      </c>
      <c r="C125" s="11">
        <v>571</v>
      </c>
      <c r="D125" s="11">
        <v>6610.1184000000003</v>
      </c>
      <c r="E125" s="25">
        <f t="shared" si="1"/>
        <v>11.576389492119089</v>
      </c>
      <c r="F125" s="11">
        <v>2993</v>
      </c>
      <c r="G125" s="17" t="str">
        <f>VLOOKUP(B125, 'Catégorie des articles'!A:E, 4, FALSE)</f>
        <v>CREMERIE</v>
      </c>
      <c r="H125" s="14">
        <f>IF(Tableau5[[#This Row],[Stock Moyen (UVC)]]&gt;0,1,0)</f>
        <v>1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>
      <c r="A126" s="17">
        <v>202206</v>
      </c>
      <c r="B126" s="13">
        <v>5540246175372</v>
      </c>
      <c r="C126" s="8">
        <v>3272</v>
      </c>
      <c r="D126" s="8">
        <v>12791.52</v>
      </c>
      <c r="E126" s="25">
        <f t="shared" si="1"/>
        <v>3.909388753056235</v>
      </c>
      <c r="F126" s="8">
        <v>383</v>
      </c>
      <c r="G126" s="17" t="str">
        <f>VLOOKUP(B126, 'Catégorie des articles'!A:E, 4, FALSE)</f>
        <v>BOULANGERIE</v>
      </c>
      <c r="H126" s="14">
        <f>IF(Tableau5[[#This Row],[Stock Moyen (UVC)]]&gt;0,1,0)</f>
        <v>1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>
      <c r="A127" s="17">
        <v>202206</v>
      </c>
      <c r="B127" s="15">
        <v>5540246175461</v>
      </c>
      <c r="C127" s="11">
        <v>6014</v>
      </c>
      <c r="D127" s="11">
        <v>55427.328000000001</v>
      </c>
      <c r="E127" s="25">
        <f t="shared" si="1"/>
        <v>9.2163831060858001</v>
      </c>
      <c r="F127" s="11">
        <v>0</v>
      </c>
      <c r="G127" s="17" t="str">
        <f>VLOOKUP(B127, 'Catégorie des articles'!A:E, 4, FALSE)</f>
        <v>MIX LEGUMES</v>
      </c>
      <c r="H127" s="14">
        <f>IF(Tableau5[[#This Row],[Stock Moyen (UVC)]]&gt;0,1,0)</f>
        <v>1</v>
      </c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>
      <c r="A128" s="17">
        <v>202206</v>
      </c>
      <c r="B128" s="15">
        <v>5540246176294</v>
      </c>
      <c r="C128" s="11">
        <v>2636</v>
      </c>
      <c r="D128" s="11">
        <v>2429.2224000000006</v>
      </c>
      <c r="E128" s="25">
        <f t="shared" si="1"/>
        <v>0.92155629742033407</v>
      </c>
      <c r="F128" s="11">
        <v>27618</v>
      </c>
      <c r="G128" s="17" t="str">
        <f>VLOOKUP(B128, 'Catégorie des articles'!A:E, 4, FALSE)</f>
        <v>CREMERIE</v>
      </c>
      <c r="H128" s="14">
        <f>IF(Tableau5[[#This Row],[Stock Moyen (UVC)]]&gt;0,1,0)</f>
        <v>1</v>
      </c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>
      <c r="A129" s="17">
        <v>202206</v>
      </c>
      <c r="B129" s="13">
        <v>5540246176295</v>
      </c>
      <c r="C129" s="8">
        <v>3564</v>
      </c>
      <c r="D129" s="8">
        <v>3284.5824000000002</v>
      </c>
      <c r="E129" s="25">
        <f t="shared" si="1"/>
        <v>0.92160000000000009</v>
      </c>
      <c r="F129" s="8">
        <v>127805</v>
      </c>
      <c r="G129" s="17" t="str">
        <f>VLOOKUP(B129, 'Catégorie des articles'!A:E, 4, FALSE)</f>
        <v>CREMERIE</v>
      </c>
      <c r="H129" s="14">
        <f>IF(Tableau5[[#This Row],[Stock Moyen (UVC)]]&gt;0,1,0)</f>
        <v>1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>
      <c r="A130" s="17">
        <v>202206</v>
      </c>
      <c r="B130" s="13">
        <v>5540246176699</v>
      </c>
      <c r="C130" s="8">
        <v>-836</v>
      </c>
      <c r="D130" s="8">
        <v>-373.24800000000005</v>
      </c>
      <c r="E130" s="25">
        <f t="shared" si="1"/>
        <v>0.44646889952153118</v>
      </c>
      <c r="F130" s="8">
        <v>47816</v>
      </c>
      <c r="G130" s="17" t="str">
        <f>VLOOKUP(B130, 'Catégorie des articles'!A:E, 4, FALSE)</f>
        <v>CREMERIE</v>
      </c>
      <c r="H130" s="14">
        <f>IF(Tableau5[[#This Row],[Stock Moyen (UVC)]]&gt;0,1,0)</f>
        <v>0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>
      <c r="A131" s="17">
        <v>202206</v>
      </c>
      <c r="B131" s="15">
        <v>5540246177132</v>
      </c>
      <c r="C131" s="11">
        <v>9512</v>
      </c>
      <c r="D131" s="11">
        <v>34892.639999999999</v>
      </c>
      <c r="E131" s="25">
        <f t="shared" ref="E131:E194" si="2">IF(C131=0,"",D131/C131)</f>
        <v>3.6682758620689655</v>
      </c>
      <c r="F131" s="11">
        <v>66816</v>
      </c>
      <c r="G131" s="17" t="str">
        <f>VLOOKUP(B131, 'Catégorie des articles'!A:E, 4, FALSE)</f>
        <v>MIX LEGUMES</v>
      </c>
      <c r="H131" s="14">
        <f>IF(Tableau5[[#This Row],[Stock Moyen (UVC)]]&gt;0,1,0)</f>
        <v>1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>
      <c r="A132" s="17">
        <v>202206</v>
      </c>
      <c r="B132" s="13">
        <v>5540246177133</v>
      </c>
      <c r="C132" s="8">
        <v>14825</v>
      </c>
      <c r="D132" s="8">
        <v>53829.36</v>
      </c>
      <c r="E132" s="25">
        <f t="shared" si="2"/>
        <v>3.6309854974704892</v>
      </c>
      <c r="F132" s="8">
        <v>29279</v>
      </c>
      <c r="G132" s="17" t="str">
        <f>VLOOKUP(B132, 'Catégorie des articles'!A:E, 4, FALSE)</f>
        <v>MIX LEGUMES</v>
      </c>
      <c r="H132" s="14">
        <f>IF(Tableau5[[#This Row],[Stock Moyen (UVC)]]&gt;0,1,0)</f>
        <v>1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>
      <c r="A133" s="17">
        <v>202206</v>
      </c>
      <c r="B133" s="13">
        <v>5540246177376</v>
      </c>
      <c r="C133" s="8">
        <v>1235</v>
      </c>
      <c r="D133" s="8">
        <v>48722.688000000002</v>
      </c>
      <c r="E133" s="25">
        <f t="shared" si="2"/>
        <v>39.451569230769231</v>
      </c>
      <c r="F133" s="8">
        <v>1005</v>
      </c>
      <c r="G133" s="17" t="str">
        <f>VLOOKUP(B133, 'Catégorie des articles'!A:E, 4, FALSE)</f>
        <v>BOULANGERIE</v>
      </c>
      <c r="H133" s="14">
        <f>IF(Tableau5[[#This Row],[Stock Moyen (UVC)]]&gt;0,1,0)</f>
        <v>1</v>
      </c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>
      <c r="A134" s="17">
        <v>202206</v>
      </c>
      <c r="B134" s="15">
        <v>5540246180522</v>
      </c>
      <c r="C134" s="11">
        <v>1126</v>
      </c>
      <c r="D134" s="11">
        <v>19694.88</v>
      </c>
      <c r="E134" s="25">
        <f t="shared" si="2"/>
        <v>17.491012433392541</v>
      </c>
      <c r="F134" s="11">
        <v>1747</v>
      </c>
      <c r="G134" s="17" t="str">
        <f>VLOOKUP(B134, 'Catégorie des articles'!A:E, 4, FALSE)</f>
        <v>BOULANGERIE</v>
      </c>
      <c r="H134" s="14">
        <f>IF(Tableau5[[#This Row],[Stock Moyen (UVC)]]&gt;0,1,0)</f>
        <v>1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>
      <c r="A135" s="17">
        <v>202206</v>
      </c>
      <c r="B135" s="13">
        <v>5540246181016</v>
      </c>
      <c r="C135" s="8">
        <v>8018</v>
      </c>
      <c r="D135" s="8">
        <v>65407.996800000001</v>
      </c>
      <c r="E135" s="25">
        <f t="shared" si="2"/>
        <v>8.1576448989773009</v>
      </c>
      <c r="F135" s="8">
        <v>20129</v>
      </c>
      <c r="G135" s="17" t="str">
        <f>VLOOKUP(B135, 'Catégorie des articles'!A:E, 4, FALSE)</f>
        <v>VOLAILLE</v>
      </c>
      <c r="H135" s="14">
        <f>IF(Tableau5[[#This Row],[Stock Moyen (UVC)]]&gt;0,1,0)</f>
        <v>1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>
      <c r="A136" s="17">
        <v>202206</v>
      </c>
      <c r="B136" s="15">
        <v>5540246181061</v>
      </c>
      <c r="C136" s="11">
        <v>37689</v>
      </c>
      <c r="D136" s="11">
        <v>45826.516800000005</v>
      </c>
      <c r="E136" s="25">
        <f t="shared" si="2"/>
        <v>1.2159122502586963</v>
      </c>
      <c r="F136" s="11">
        <v>84147</v>
      </c>
      <c r="G136" s="17" t="str">
        <f>VLOOKUP(B136, 'Catégorie des articles'!A:E, 4, FALSE)</f>
        <v>VOLAILLE</v>
      </c>
      <c r="H136" s="14">
        <f>IF(Tableau5[[#This Row],[Stock Moyen (UVC)]]&gt;0,1,0)</f>
        <v>1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>
      <c r="A137" s="17">
        <v>202206</v>
      </c>
      <c r="B137" s="15">
        <v>5540246182684</v>
      </c>
      <c r="C137" s="11">
        <v>260</v>
      </c>
      <c r="D137" s="11">
        <v>13039.488000000001</v>
      </c>
      <c r="E137" s="25">
        <f t="shared" si="2"/>
        <v>50.151876923076927</v>
      </c>
      <c r="F137" s="11">
        <v>434</v>
      </c>
      <c r="G137" s="17" t="str">
        <f>VLOOKUP(B137, 'Catégorie des articles'!A:E, 4, FALSE)</f>
        <v>BOULANGERIE</v>
      </c>
      <c r="H137" s="14">
        <f>IF(Tableau5[[#This Row],[Stock Moyen (UVC)]]&gt;0,1,0)</f>
        <v>1</v>
      </c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>
      <c r="A138" s="17">
        <v>202206</v>
      </c>
      <c r="B138" s="15">
        <v>5540246183130</v>
      </c>
      <c r="C138" s="11">
        <v>6369</v>
      </c>
      <c r="D138" s="11">
        <v>26966.001600000003</v>
      </c>
      <c r="E138" s="25">
        <f t="shared" si="2"/>
        <v>4.2339459255770144</v>
      </c>
      <c r="F138" s="11">
        <v>8018</v>
      </c>
      <c r="G138" s="17" t="str">
        <f>VLOOKUP(B138, 'Catégorie des articles'!A:E, 4, FALSE)</f>
        <v>MIX LEGUMES</v>
      </c>
      <c r="H138" s="14">
        <f>IF(Tableau5[[#This Row],[Stock Moyen (UVC)]]&gt;0,1,0)</f>
        <v>1</v>
      </c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>
      <c r="A139" s="17">
        <v>202206</v>
      </c>
      <c r="B139" s="13">
        <v>5540246183455</v>
      </c>
      <c r="C139" s="8">
        <v>348</v>
      </c>
      <c r="D139" s="8">
        <v>2734.5600000000004</v>
      </c>
      <c r="E139" s="25">
        <f t="shared" si="2"/>
        <v>7.8579310344827595</v>
      </c>
      <c r="F139" s="8">
        <v>673</v>
      </c>
      <c r="G139" s="17" t="str">
        <f>VLOOKUP(B139, 'Catégorie des articles'!A:E, 4, FALSE)</f>
        <v>MIX LEGUMES</v>
      </c>
      <c r="H139" s="14">
        <f>IF(Tableau5[[#This Row],[Stock Moyen (UVC)]]&gt;0,1,0)</f>
        <v>1</v>
      </c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>
      <c r="A140" s="17">
        <v>202206</v>
      </c>
      <c r="B140" s="13">
        <v>5540246183537</v>
      </c>
      <c r="C140" s="8">
        <v>6329</v>
      </c>
      <c r="D140" s="8">
        <v>8897.6448</v>
      </c>
      <c r="E140" s="25">
        <f t="shared" si="2"/>
        <v>1.4058531837573076</v>
      </c>
      <c r="F140" s="8">
        <v>4566</v>
      </c>
      <c r="G140" s="17" t="str">
        <f>VLOOKUP(B140, 'Catégorie des articles'!A:E, 4, FALSE)</f>
        <v>MIX LEGUMES</v>
      </c>
      <c r="H140" s="14">
        <f>IF(Tableau5[[#This Row],[Stock Moyen (UVC)]]&gt;0,1,0)</f>
        <v>1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>
      <c r="A141" s="17">
        <v>202206</v>
      </c>
      <c r="B141" s="15">
        <v>5540246183538</v>
      </c>
      <c r="C141" s="11">
        <v>2766</v>
      </c>
      <c r="D141" s="11">
        <v>3630.3552000000004</v>
      </c>
      <c r="E141" s="25">
        <f t="shared" si="2"/>
        <v>1.3124928416485901</v>
      </c>
      <c r="F141" s="11">
        <v>3137</v>
      </c>
      <c r="G141" s="17" t="str">
        <f>VLOOKUP(B141, 'Catégorie des articles'!A:E, 4, FALSE)</f>
        <v>MIX LEGUMES</v>
      </c>
      <c r="H141" s="14">
        <f>IF(Tableau5[[#This Row],[Stock Moyen (UVC)]]&gt;0,1,0)</f>
        <v>1</v>
      </c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>
      <c r="A142" s="17">
        <v>202206</v>
      </c>
      <c r="B142" s="13">
        <v>5540246183541</v>
      </c>
      <c r="C142" s="8">
        <v>1253</v>
      </c>
      <c r="D142" s="8">
        <v>11290.752</v>
      </c>
      <c r="E142" s="25">
        <f t="shared" si="2"/>
        <v>9.0109752593774939</v>
      </c>
      <c r="F142" s="8">
        <v>1346</v>
      </c>
      <c r="G142" s="17" t="str">
        <f>VLOOKUP(B142, 'Catégorie des articles'!A:E, 4, FALSE)</f>
        <v>MIX LEGUMES</v>
      </c>
      <c r="H142" s="14">
        <f>IF(Tableau5[[#This Row],[Stock Moyen (UVC)]]&gt;0,1,0)</f>
        <v>1</v>
      </c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>
      <c r="A143" s="17">
        <v>202206</v>
      </c>
      <c r="B143" s="15">
        <v>5540246183542</v>
      </c>
      <c r="C143" s="11">
        <v>0</v>
      </c>
      <c r="D143" s="11">
        <v>0</v>
      </c>
      <c r="E143" s="25" t="str">
        <f t="shared" si="2"/>
        <v/>
      </c>
      <c r="F143" s="11">
        <v>0</v>
      </c>
      <c r="G143" s="17" t="str">
        <f>VLOOKUP(B143, 'Catégorie des articles'!A:E, 4, FALSE)</f>
        <v>MIX LEGUMES</v>
      </c>
      <c r="H143" s="14">
        <f>IF(Tableau5[[#This Row],[Stock Moyen (UVC)]]&gt;0,1,0)</f>
        <v>0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>
      <c r="A144" s="17">
        <v>202206</v>
      </c>
      <c r="B144" s="15">
        <v>5540246183547</v>
      </c>
      <c r="C144" s="11">
        <v>4234</v>
      </c>
      <c r="D144" s="11">
        <v>43519.68</v>
      </c>
      <c r="E144" s="25">
        <f t="shared" si="2"/>
        <v>10.278620689655172</v>
      </c>
      <c r="F144" s="11">
        <v>19546</v>
      </c>
      <c r="G144" s="17" t="str">
        <f>VLOOKUP(B144, 'Catégorie des articles'!A:E, 4, FALSE)</f>
        <v>VOLAILLE</v>
      </c>
      <c r="H144" s="14">
        <f>IF(Tableau5[[#This Row],[Stock Moyen (UVC)]]&gt;0,1,0)</f>
        <v>1</v>
      </c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>
      <c r="A145" s="17">
        <v>202206</v>
      </c>
      <c r="B145" s="15">
        <v>5540246183552</v>
      </c>
      <c r="C145" s="11">
        <v>708</v>
      </c>
      <c r="D145" s="11">
        <v>1304.424</v>
      </c>
      <c r="E145" s="25">
        <f t="shared" si="2"/>
        <v>1.8424067796610168</v>
      </c>
      <c r="F145" s="11">
        <v>168</v>
      </c>
      <c r="G145" s="17" t="str">
        <f>VLOOKUP(B145, 'Catégorie des articles'!A:E, 4, FALSE)</f>
        <v>MIX LEGUMES</v>
      </c>
      <c r="H145" s="14">
        <f>IF(Tableau5[[#This Row],[Stock Moyen (UVC)]]&gt;0,1,0)</f>
        <v>1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>
      <c r="A146" s="17">
        <v>202206</v>
      </c>
      <c r="B146" s="13">
        <v>5540246183554</v>
      </c>
      <c r="C146" s="8">
        <v>1601</v>
      </c>
      <c r="D146" s="8">
        <v>12030.508800000001</v>
      </c>
      <c r="E146" s="25">
        <f t="shared" si="2"/>
        <v>7.5143715178013748</v>
      </c>
      <c r="F146" s="8">
        <v>56</v>
      </c>
      <c r="G146" s="17" t="str">
        <f>VLOOKUP(B146, 'Catégorie des articles'!A:E, 4, FALSE)</f>
        <v>MIX LEGUMES</v>
      </c>
      <c r="H146" s="14">
        <f>IF(Tableau5[[#This Row],[Stock Moyen (UVC)]]&gt;0,1,0)</f>
        <v>1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>
      <c r="A147" s="17">
        <v>202206</v>
      </c>
      <c r="B147" s="15">
        <v>5540246183555</v>
      </c>
      <c r="C147" s="11">
        <v>2840</v>
      </c>
      <c r="D147" s="11">
        <v>3796.5456000000004</v>
      </c>
      <c r="E147" s="25">
        <f t="shared" si="2"/>
        <v>1.3368118309859156</v>
      </c>
      <c r="F147" s="11">
        <v>947</v>
      </c>
      <c r="G147" s="17" t="str">
        <f>VLOOKUP(B147, 'Catégorie des articles'!A:E, 4, FALSE)</f>
        <v>MIX LEGUMES</v>
      </c>
      <c r="H147" s="14">
        <f>IF(Tableau5[[#This Row],[Stock Moyen (UVC)]]&gt;0,1,0)</f>
        <v>1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>
      <c r="A148" s="17">
        <v>202206</v>
      </c>
      <c r="B148" s="13">
        <v>5540246183556</v>
      </c>
      <c r="C148" s="8">
        <v>2436</v>
      </c>
      <c r="D148" s="8">
        <v>18280.080000000002</v>
      </c>
      <c r="E148" s="25">
        <f t="shared" si="2"/>
        <v>7.5041379310344833</v>
      </c>
      <c r="F148" s="8">
        <v>1518</v>
      </c>
      <c r="G148" s="17" t="str">
        <f>VLOOKUP(B148, 'Catégorie des articles'!A:E, 4, FALSE)</f>
        <v>MIX LEGUMES</v>
      </c>
      <c r="H148" s="14">
        <f>IF(Tableau5[[#This Row],[Stock Moyen (UVC)]]&gt;0,1,0)</f>
        <v>1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>
      <c r="A149" s="17">
        <v>202206</v>
      </c>
      <c r="B149" s="15">
        <v>5540246183558</v>
      </c>
      <c r="C149" s="11">
        <v>2251</v>
      </c>
      <c r="D149" s="11">
        <v>12403.584000000001</v>
      </c>
      <c r="E149" s="25">
        <f t="shared" si="2"/>
        <v>5.5102549977787652</v>
      </c>
      <c r="F149" s="11">
        <v>4780</v>
      </c>
      <c r="G149" s="17" t="str">
        <f>VLOOKUP(B149, 'Catégorie des articles'!A:E, 4, FALSE)</f>
        <v>MIX LEGUMES</v>
      </c>
      <c r="H149" s="14">
        <f>IF(Tableau5[[#This Row],[Stock Moyen (UVC)]]&gt;0,1,0)</f>
        <v>1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>
      <c r="A150" s="17">
        <v>202206</v>
      </c>
      <c r="B150" s="13">
        <v>5540246183560</v>
      </c>
      <c r="C150" s="8">
        <v>418</v>
      </c>
      <c r="D150" s="8">
        <v>10186.560000000001</v>
      </c>
      <c r="E150" s="25">
        <f t="shared" si="2"/>
        <v>24.369760765550243</v>
      </c>
      <c r="F150" s="8">
        <v>335</v>
      </c>
      <c r="G150" s="17" t="str">
        <f>VLOOKUP(B150, 'Catégorie des articles'!A:E, 4, FALSE)</f>
        <v>MIX LEGUMES</v>
      </c>
      <c r="H150" s="14">
        <f>IF(Tableau5[[#This Row],[Stock Moyen (UVC)]]&gt;0,1,0)</f>
        <v>1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>
      <c r="A151" s="17">
        <v>202206</v>
      </c>
      <c r="B151" s="15">
        <v>5540246183562</v>
      </c>
      <c r="C151" s="11">
        <v>604</v>
      </c>
      <c r="D151" s="11">
        <v>1943.1360000000002</v>
      </c>
      <c r="E151" s="25">
        <f t="shared" si="2"/>
        <v>3.2171125827814571</v>
      </c>
      <c r="F151" s="11">
        <v>5893</v>
      </c>
      <c r="G151" s="17" t="str">
        <f>VLOOKUP(B151, 'Catégorie des articles'!A:E, 4, FALSE)</f>
        <v>MIX LEGUMES</v>
      </c>
      <c r="H151" s="14">
        <f>IF(Tableau5[[#This Row],[Stock Moyen (UVC)]]&gt;0,1,0)</f>
        <v>1</v>
      </c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75" customHeight="1">
      <c r="A152" s="17">
        <v>202206</v>
      </c>
      <c r="B152" s="15">
        <v>5540246183587</v>
      </c>
      <c r="C152" s="11">
        <v>717</v>
      </c>
      <c r="D152" s="11">
        <v>15096.153600000001</v>
      </c>
      <c r="E152" s="25">
        <f t="shared" si="2"/>
        <v>21.054607531380753</v>
      </c>
      <c r="F152" s="11">
        <v>703</v>
      </c>
      <c r="G152" s="17" t="str">
        <f>VLOOKUP(B152, 'Catégorie des articles'!A:E, 4, FALSE)</f>
        <v>MIX LEGUMES</v>
      </c>
      <c r="H152" s="14">
        <f>IF(Tableau5[[#This Row],[Stock Moyen (UVC)]]&gt;0,1,0)</f>
        <v>1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75" customHeight="1">
      <c r="A153" s="17">
        <v>202206</v>
      </c>
      <c r="B153" s="13">
        <v>5540246183589</v>
      </c>
      <c r="C153" s="8">
        <v>1601</v>
      </c>
      <c r="D153" s="8">
        <v>21104.064000000002</v>
      </c>
      <c r="E153" s="25">
        <f t="shared" si="2"/>
        <v>13.181801374141163</v>
      </c>
      <c r="F153" s="8">
        <v>2228</v>
      </c>
      <c r="G153" s="17" t="str">
        <f>VLOOKUP(B153, 'Catégorie des articles'!A:E, 4, FALSE)</f>
        <v>MIX LEGUMES</v>
      </c>
      <c r="H153" s="14">
        <f>IF(Tableau5[[#This Row],[Stock Moyen (UVC)]]&gt;0,1,0)</f>
        <v>1</v>
      </c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75" customHeight="1">
      <c r="A154" s="17">
        <v>202206</v>
      </c>
      <c r="B154" s="15">
        <v>5540246183590</v>
      </c>
      <c r="C154" s="11">
        <v>2499</v>
      </c>
      <c r="D154" s="11">
        <v>34662.167999999998</v>
      </c>
      <c r="E154" s="25">
        <f t="shared" si="2"/>
        <v>13.870415366146458</v>
      </c>
      <c r="F154" s="11">
        <v>181</v>
      </c>
      <c r="G154" s="17" t="str">
        <f>VLOOKUP(B154, 'Catégorie des articles'!A:E, 4, FALSE)</f>
        <v>MIX LEGUMES</v>
      </c>
      <c r="H154" s="14">
        <f>IF(Tableau5[[#This Row],[Stock Moyen (UVC)]]&gt;0,1,0)</f>
        <v>1</v>
      </c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75" customHeight="1">
      <c r="A155" s="17">
        <v>202206</v>
      </c>
      <c r="B155" s="15">
        <v>5540246183844</v>
      </c>
      <c r="C155" s="11">
        <v>216</v>
      </c>
      <c r="D155" s="11">
        <v>6227.2800000000007</v>
      </c>
      <c r="E155" s="25">
        <f t="shared" si="2"/>
        <v>28.830000000000002</v>
      </c>
      <c r="F155" s="11">
        <v>316</v>
      </c>
      <c r="G155" s="17" t="str">
        <f>VLOOKUP(B155, 'Catégorie des articles'!A:E, 4, FALSE)</f>
        <v>BOULANGERIE</v>
      </c>
      <c r="H155" s="14">
        <f>IF(Tableau5[[#This Row],[Stock Moyen (UVC)]]&gt;0,1,0)</f>
        <v>1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75" customHeight="1">
      <c r="A156" s="17">
        <v>202206</v>
      </c>
      <c r="B156" s="15">
        <v>5540246184036</v>
      </c>
      <c r="C156" s="11">
        <v>214</v>
      </c>
      <c r="D156" s="11">
        <v>3656.4480000000003</v>
      </c>
      <c r="E156" s="25">
        <f t="shared" si="2"/>
        <v>17.086205607476636</v>
      </c>
      <c r="F156" s="11">
        <v>230</v>
      </c>
      <c r="G156" s="17" t="str">
        <f>VLOOKUP(B156, 'Catégorie des articles'!A:E, 4, FALSE)</f>
        <v>BOULANGERIE</v>
      </c>
      <c r="H156" s="14">
        <f>IF(Tableau5[[#This Row],[Stock Moyen (UVC)]]&gt;0,1,0)</f>
        <v>1</v>
      </c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75" customHeight="1">
      <c r="A157" s="17">
        <v>202206</v>
      </c>
      <c r="B157" s="15">
        <v>5540246184617</v>
      </c>
      <c r="C157" s="11">
        <v>61211</v>
      </c>
      <c r="D157" s="11">
        <v>86623.948800000013</v>
      </c>
      <c r="E157" s="25">
        <f t="shared" si="2"/>
        <v>1.4151696394438911</v>
      </c>
      <c r="F157" s="11">
        <v>49036</v>
      </c>
      <c r="G157" s="17" t="str">
        <f>VLOOKUP(B157, 'Catégorie des articles'!A:E, 4, FALSE)</f>
        <v>MIX LEGUMES</v>
      </c>
      <c r="H157" s="14">
        <f>IF(Tableau5[[#This Row],[Stock Moyen (UVC)]]&gt;0,1,0)</f>
        <v>1</v>
      </c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75" customHeight="1">
      <c r="A158" s="17">
        <v>202206</v>
      </c>
      <c r="B158" s="13">
        <v>5540246185278</v>
      </c>
      <c r="C158" s="8">
        <v>30311</v>
      </c>
      <c r="D158" s="8">
        <v>29913.624</v>
      </c>
      <c r="E158" s="25">
        <f t="shared" si="2"/>
        <v>0.98689003991950119</v>
      </c>
      <c r="F158" s="8">
        <v>53316</v>
      </c>
      <c r="G158" s="17" t="str">
        <f>VLOOKUP(B158, 'Catégorie des articles'!A:E, 4, FALSE)</f>
        <v>VOLAILLE</v>
      </c>
      <c r="H158" s="14">
        <f>IF(Tableau5[[#This Row],[Stock Moyen (UVC)]]&gt;0,1,0)</f>
        <v>1</v>
      </c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75" customHeight="1">
      <c r="A159" s="17">
        <v>202206</v>
      </c>
      <c r="B159" s="15">
        <v>5540246185429</v>
      </c>
      <c r="C159" s="11">
        <v>126</v>
      </c>
      <c r="D159" s="11">
        <v>662.51520000000005</v>
      </c>
      <c r="E159" s="25">
        <f t="shared" si="2"/>
        <v>5.258057142857143</v>
      </c>
      <c r="F159" s="11">
        <v>613</v>
      </c>
      <c r="G159" s="17" t="str">
        <f>VLOOKUP(B159, 'Catégorie des articles'!A:E, 4, FALSE)</f>
        <v>CREMERIE</v>
      </c>
      <c r="H159" s="14">
        <f>IF(Tableau5[[#This Row],[Stock Moyen (UVC)]]&gt;0,1,0)</f>
        <v>1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75" customHeight="1">
      <c r="A160" s="17">
        <v>202206</v>
      </c>
      <c r="B160" s="15">
        <v>5540246185562</v>
      </c>
      <c r="C160" s="11">
        <v>293</v>
      </c>
      <c r="D160" s="11">
        <v>849.13920000000007</v>
      </c>
      <c r="E160" s="25">
        <f t="shared" si="2"/>
        <v>2.8980860068259386</v>
      </c>
      <c r="F160" s="11">
        <v>321</v>
      </c>
      <c r="G160" s="17" t="str">
        <f>VLOOKUP(B160, 'Catégorie des articles'!A:E, 4, FALSE)</f>
        <v>CREMERIE</v>
      </c>
      <c r="H160" s="14">
        <f>IF(Tableau5[[#This Row],[Stock Moyen (UVC)]]&gt;0,1,0)</f>
        <v>1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75" customHeight="1">
      <c r="A161" s="17">
        <v>202206</v>
      </c>
      <c r="B161" s="13">
        <v>5540246185627</v>
      </c>
      <c r="C161" s="8">
        <v>5</v>
      </c>
      <c r="D161" s="8">
        <v>2685.3120000000004</v>
      </c>
      <c r="E161" s="25">
        <f t="shared" si="2"/>
        <v>537.06240000000003</v>
      </c>
      <c r="F161" s="8">
        <v>0</v>
      </c>
      <c r="G161" s="17" t="str">
        <f>VLOOKUP(B161, 'Catégorie des articles'!A:E, 4, FALSE)</f>
        <v>EMBALLAGES</v>
      </c>
      <c r="H161" s="14">
        <f>IF(Tableau5[[#This Row],[Stock Moyen (UVC)]]&gt;0,1,0)</f>
        <v>1</v>
      </c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75" customHeight="1">
      <c r="A162" s="17">
        <v>202206</v>
      </c>
      <c r="B162" s="13">
        <v>5540246186010</v>
      </c>
      <c r="C162" s="8">
        <v>49</v>
      </c>
      <c r="D162" s="8">
        <v>7176.8591999999999</v>
      </c>
      <c r="E162" s="25">
        <f t="shared" si="2"/>
        <v>146.46651428571428</v>
      </c>
      <c r="F162" s="8">
        <v>12</v>
      </c>
      <c r="G162" s="17" t="str">
        <f>VLOOKUP(B162, 'Catégorie des articles'!A:E, 4, FALSE)</f>
        <v>EMBALLAGES</v>
      </c>
      <c r="H162" s="14">
        <f>IF(Tableau5[[#This Row],[Stock Moyen (UVC)]]&gt;0,1,0)</f>
        <v>1</v>
      </c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75" customHeight="1">
      <c r="A163" s="17">
        <v>202206</v>
      </c>
      <c r="B163" s="15">
        <v>5540246186011</v>
      </c>
      <c r="C163" s="11">
        <v>114</v>
      </c>
      <c r="D163" s="11">
        <v>6473.1744000000008</v>
      </c>
      <c r="E163" s="25">
        <f t="shared" si="2"/>
        <v>56.782231578947375</v>
      </c>
      <c r="F163" s="11">
        <v>10</v>
      </c>
      <c r="G163" s="17" t="str">
        <f>VLOOKUP(B163, 'Catégorie des articles'!A:E, 4, FALSE)</f>
        <v>EMBALLAGES</v>
      </c>
      <c r="H163" s="14">
        <f>IF(Tableau5[[#This Row],[Stock Moyen (UVC)]]&gt;0,1,0)</f>
        <v>1</v>
      </c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75" customHeight="1">
      <c r="A164" s="17">
        <v>202206</v>
      </c>
      <c r="B164" s="13">
        <v>5540246186017</v>
      </c>
      <c r="C164" s="8">
        <v>21</v>
      </c>
      <c r="D164" s="8">
        <v>2210.7168000000001</v>
      </c>
      <c r="E164" s="25">
        <f t="shared" si="2"/>
        <v>105.27222857142858</v>
      </c>
      <c r="F164" s="8">
        <v>7</v>
      </c>
      <c r="G164" s="17" t="str">
        <f>VLOOKUP(B164, 'Catégorie des articles'!A:E, 4, FALSE)</f>
        <v>EMBALLAGES</v>
      </c>
      <c r="H164" s="14">
        <f>IF(Tableau5[[#This Row],[Stock Moyen (UVC)]]&gt;0,1,0)</f>
        <v>1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75" customHeight="1">
      <c r="A165" s="17">
        <v>202206</v>
      </c>
      <c r="B165" s="13">
        <v>5540246186325</v>
      </c>
      <c r="C165" s="8">
        <v>362</v>
      </c>
      <c r="D165" s="8">
        <v>889.57439999999997</v>
      </c>
      <c r="E165" s="25">
        <f t="shared" si="2"/>
        <v>2.4573878453038671</v>
      </c>
      <c r="F165" s="8">
        <v>794</v>
      </c>
      <c r="G165" s="17" t="str">
        <f>VLOOKUP(B165, 'Catégorie des articles'!A:E, 4, FALSE)</f>
        <v>CREMERIE</v>
      </c>
      <c r="H165" s="14">
        <f>IF(Tableau5[[#This Row],[Stock Moyen (UVC)]]&gt;0,1,0)</f>
        <v>1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75" customHeight="1">
      <c r="A166" s="17">
        <v>202206</v>
      </c>
      <c r="B166" s="13">
        <v>5540246186351</v>
      </c>
      <c r="C166" s="8">
        <v>1386</v>
      </c>
      <c r="D166" s="8">
        <v>82090.843200000003</v>
      </c>
      <c r="E166" s="25">
        <f t="shared" si="2"/>
        <v>59.228602597402599</v>
      </c>
      <c r="F166" s="8">
        <v>773</v>
      </c>
      <c r="G166" s="17" t="str">
        <f>VLOOKUP(B166, 'Catégorie des articles'!A:E, 4, FALSE)</f>
        <v>MIX LEGUMES</v>
      </c>
      <c r="H166" s="14">
        <f>IF(Tableau5[[#This Row],[Stock Moyen (UVC)]]&gt;0,1,0)</f>
        <v>1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75" customHeight="1">
      <c r="A167" s="17">
        <v>202206</v>
      </c>
      <c r="B167" s="15">
        <v>5540246186352</v>
      </c>
      <c r="C167" s="11">
        <v>1195</v>
      </c>
      <c r="D167" s="11">
        <v>12570.12</v>
      </c>
      <c r="E167" s="25">
        <f t="shared" si="2"/>
        <v>10.518928870292887</v>
      </c>
      <c r="F167" s="11">
        <v>4675</v>
      </c>
      <c r="G167" s="17" t="str">
        <f>VLOOKUP(B167, 'Catégorie des articles'!A:E, 4, FALSE)</f>
        <v>MIX LEGUMES</v>
      </c>
      <c r="H167" s="14">
        <f>IF(Tableau5[[#This Row],[Stock Moyen (UVC)]]&gt;0,1,0)</f>
        <v>1</v>
      </c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75" customHeight="1">
      <c r="A168" s="17">
        <v>202206</v>
      </c>
      <c r="B168" s="15">
        <v>5540246187882</v>
      </c>
      <c r="C168" s="11">
        <v>89</v>
      </c>
      <c r="D168" s="11">
        <v>3382.0416</v>
      </c>
      <c r="E168" s="25">
        <f t="shared" si="2"/>
        <v>38.000467415730334</v>
      </c>
      <c r="F168" s="11">
        <v>19</v>
      </c>
      <c r="G168" s="17" t="str">
        <f>VLOOKUP(B168, 'Catégorie des articles'!A:E, 4, FALSE)</f>
        <v>EMBALLAGES</v>
      </c>
      <c r="H168" s="14">
        <f>IF(Tableau5[[#This Row],[Stock Moyen (UVC)]]&gt;0,1,0)</f>
        <v>1</v>
      </c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75" customHeight="1">
      <c r="A169" s="17">
        <v>202206</v>
      </c>
      <c r="B169" s="13">
        <v>5540246187940</v>
      </c>
      <c r="C169" s="8">
        <v>409</v>
      </c>
      <c r="D169" s="8">
        <v>3497.4720000000002</v>
      </c>
      <c r="E169" s="25">
        <f t="shared" si="2"/>
        <v>8.5512762836185825</v>
      </c>
      <c r="F169" s="8">
        <v>0</v>
      </c>
      <c r="G169" s="17" t="str">
        <f>VLOOKUP(B169, 'Catégorie des articles'!A:E, 4, FALSE)</f>
        <v>MIX LEGUMES</v>
      </c>
      <c r="H169" s="14">
        <f>IF(Tableau5[[#This Row],[Stock Moyen (UVC)]]&gt;0,1,0)</f>
        <v>1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75" customHeight="1">
      <c r="A170" s="17">
        <v>202206</v>
      </c>
      <c r="B170" s="15">
        <v>5540246187987</v>
      </c>
      <c r="C170" s="11">
        <v>2729</v>
      </c>
      <c r="D170" s="11">
        <v>1341.1872000000001</v>
      </c>
      <c r="E170" s="25">
        <f t="shared" si="2"/>
        <v>0.49145738365701724</v>
      </c>
      <c r="F170" s="11">
        <v>59355</v>
      </c>
      <c r="G170" s="17" t="str">
        <f>VLOOKUP(B170, 'Catégorie des articles'!A:E, 4, FALSE)</f>
        <v>CREMERIE</v>
      </c>
      <c r="H170" s="14">
        <f>IF(Tableau5[[#This Row],[Stock Moyen (UVC)]]&gt;0,1,0)</f>
        <v>1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>
      <c r="A171" s="17">
        <v>202206</v>
      </c>
      <c r="B171" s="13">
        <v>5540246187995</v>
      </c>
      <c r="C171" s="8">
        <v>1933</v>
      </c>
      <c r="D171" s="8">
        <v>169528.16159999999</v>
      </c>
      <c r="E171" s="25">
        <f t="shared" si="2"/>
        <v>87.702101189860315</v>
      </c>
      <c r="F171" s="8">
        <v>996</v>
      </c>
      <c r="G171" s="17" t="str">
        <f>VLOOKUP(B171, 'Catégorie des articles'!A:E, 4, FALSE)</f>
        <v>EMBALLAGES</v>
      </c>
      <c r="H171" s="14">
        <f>IF(Tableau5[[#This Row],[Stock Moyen (UVC)]]&gt;0,1,0)</f>
        <v>1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75" customHeight="1">
      <c r="A172" s="17">
        <v>202206</v>
      </c>
      <c r="B172" s="15">
        <v>5540246187996</v>
      </c>
      <c r="C172" s="11">
        <v>348</v>
      </c>
      <c r="D172" s="11">
        <v>16089.840000000002</v>
      </c>
      <c r="E172" s="25">
        <f t="shared" si="2"/>
        <v>46.235172413793109</v>
      </c>
      <c r="F172" s="11">
        <v>14</v>
      </c>
      <c r="G172" s="17" t="str">
        <f>VLOOKUP(B172, 'Catégorie des articles'!A:E, 4, FALSE)</f>
        <v>EMBALLAGES</v>
      </c>
      <c r="H172" s="14">
        <f>IF(Tableau5[[#This Row],[Stock Moyen (UVC)]]&gt;0,1,0)</f>
        <v>1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>
      <c r="A173" s="17">
        <v>202206</v>
      </c>
      <c r="B173" s="13">
        <v>5540246187997</v>
      </c>
      <c r="C173" s="8">
        <v>337</v>
      </c>
      <c r="D173" s="8">
        <v>16806.312000000002</v>
      </c>
      <c r="E173" s="25">
        <f t="shared" si="2"/>
        <v>49.870362017804162</v>
      </c>
      <c r="F173" s="8">
        <v>84</v>
      </c>
      <c r="G173" s="17" t="str">
        <f>VLOOKUP(B173, 'Catégorie des articles'!A:E, 4, FALSE)</f>
        <v>EMBALLAGES</v>
      </c>
      <c r="H173" s="14">
        <f>IF(Tableau5[[#This Row],[Stock Moyen (UVC)]]&gt;0,1,0)</f>
        <v>1</v>
      </c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>
      <c r="A174" s="17">
        <v>202206</v>
      </c>
      <c r="B174" s="15">
        <v>5540246187998</v>
      </c>
      <c r="C174" s="11">
        <v>1031</v>
      </c>
      <c r="D174" s="11">
        <v>52958.188800000004</v>
      </c>
      <c r="E174" s="25">
        <f t="shared" si="2"/>
        <v>51.365847526673136</v>
      </c>
      <c r="F174" s="11">
        <v>555</v>
      </c>
      <c r="G174" s="17" t="str">
        <f>VLOOKUP(B174, 'Catégorie des articles'!A:E, 4, FALSE)</f>
        <v>EMBALLAGES</v>
      </c>
      <c r="H174" s="14">
        <f>IF(Tableau5[[#This Row],[Stock Moyen (UVC)]]&gt;0,1,0)</f>
        <v>1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>
      <c r="A175" s="17">
        <v>202206</v>
      </c>
      <c r="B175" s="13">
        <v>5540246188047</v>
      </c>
      <c r="C175" s="8">
        <v>358</v>
      </c>
      <c r="D175" s="8">
        <v>43522.617600000005</v>
      </c>
      <c r="E175" s="25">
        <f t="shared" si="2"/>
        <v>121.57155754189945</v>
      </c>
      <c r="F175" s="8">
        <v>45</v>
      </c>
      <c r="G175" s="17" t="str">
        <f>VLOOKUP(B175, 'Catégorie des articles'!A:E, 4, FALSE)</f>
        <v>EMBALLAGES</v>
      </c>
      <c r="H175" s="14">
        <f>IF(Tableau5[[#This Row],[Stock Moyen (UVC)]]&gt;0,1,0)</f>
        <v>1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>
      <c r="A176" s="17">
        <v>202206</v>
      </c>
      <c r="B176" s="15">
        <v>5540246188175</v>
      </c>
      <c r="C176" s="11">
        <v>103</v>
      </c>
      <c r="D176" s="11">
        <v>2913.9264000000003</v>
      </c>
      <c r="E176" s="25">
        <f t="shared" si="2"/>
        <v>28.290547572815537</v>
      </c>
      <c r="F176" s="11">
        <v>455</v>
      </c>
      <c r="G176" s="17" t="str">
        <f>VLOOKUP(B176, 'Catégorie des articles'!A:E, 4, FALSE)</f>
        <v>CREMERIE</v>
      </c>
      <c r="H176" s="14">
        <f>IF(Tableau5[[#This Row],[Stock Moyen (UVC)]]&gt;0,1,0)</f>
        <v>1</v>
      </c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>
      <c r="A177" s="17">
        <v>202206</v>
      </c>
      <c r="B177" s="13">
        <v>5540246188200</v>
      </c>
      <c r="C177" s="8">
        <v>780</v>
      </c>
      <c r="D177" s="8">
        <v>1437.0047999999999</v>
      </c>
      <c r="E177" s="25">
        <f t="shared" si="2"/>
        <v>1.842313846153846</v>
      </c>
      <c r="F177" s="8">
        <v>15289</v>
      </c>
      <c r="G177" s="17" t="str">
        <f>VLOOKUP(B177, 'Catégorie des articles'!A:E, 4, FALSE)</f>
        <v>CREMERIE</v>
      </c>
      <c r="H177" s="14">
        <f>IF(Tableau5[[#This Row],[Stock Moyen (UVC)]]&gt;0,1,0)</f>
        <v>1</v>
      </c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>
      <c r="A178" s="17">
        <v>202206</v>
      </c>
      <c r="B178" s="13">
        <v>5540246188224</v>
      </c>
      <c r="C178" s="8">
        <v>14616</v>
      </c>
      <c r="D178" s="8">
        <v>17146.080000000002</v>
      </c>
      <c r="E178" s="25">
        <f t="shared" si="2"/>
        <v>1.1731034482758622</v>
      </c>
      <c r="F178" s="8">
        <v>19720</v>
      </c>
      <c r="G178" s="17" t="str">
        <f>VLOOKUP(B178, 'Catégorie des articles'!A:E, 4, FALSE)</f>
        <v>VOLAILLE</v>
      </c>
      <c r="H178" s="14">
        <f>IF(Tableau5[[#This Row],[Stock Moyen (UVC)]]&gt;0,1,0)</f>
        <v>1</v>
      </c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>
      <c r="A179" s="17">
        <v>202206</v>
      </c>
      <c r="B179" s="15">
        <v>5540246188512</v>
      </c>
      <c r="C179" s="11">
        <v>151</v>
      </c>
      <c r="D179" s="11">
        <v>20672.496000000003</v>
      </c>
      <c r="E179" s="25">
        <f t="shared" si="2"/>
        <v>136.90394701986756</v>
      </c>
      <c r="F179" s="11">
        <v>33</v>
      </c>
      <c r="G179" s="17" t="str">
        <f>VLOOKUP(B179, 'Catégorie des articles'!A:E, 4, FALSE)</f>
        <v>EMBALLAGES</v>
      </c>
      <c r="H179" s="14">
        <f>IF(Tableau5[[#This Row],[Stock Moyen (UVC)]]&gt;0,1,0)</f>
        <v>1</v>
      </c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>
      <c r="A180" s="17">
        <v>202206</v>
      </c>
      <c r="B180" s="13">
        <v>5540246188583</v>
      </c>
      <c r="C180" s="8">
        <v>4483</v>
      </c>
      <c r="D180" s="8">
        <v>16049.836800000001</v>
      </c>
      <c r="E180" s="25">
        <f t="shared" si="2"/>
        <v>3.5801554316306046</v>
      </c>
      <c r="F180" s="8">
        <v>11220</v>
      </c>
      <c r="G180" s="17" t="str">
        <f>VLOOKUP(B180, 'Catégorie des articles'!A:E, 4, FALSE)</f>
        <v>BOULANGERIE</v>
      </c>
      <c r="H180" s="14">
        <f>IF(Tableau5[[#This Row],[Stock Moyen (UVC)]]&gt;0,1,0)</f>
        <v>1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>
      <c r="A181" s="17">
        <v>202206</v>
      </c>
      <c r="B181" s="13">
        <v>5540246188647</v>
      </c>
      <c r="C181" s="8">
        <v>1798</v>
      </c>
      <c r="D181" s="8">
        <v>26616.600000000002</v>
      </c>
      <c r="E181" s="25">
        <f t="shared" si="2"/>
        <v>14.80344827586207</v>
      </c>
      <c r="F181" s="8">
        <v>0</v>
      </c>
      <c r="G181" s="17" t="str">
        <f>VLOOKUP(B181, 'Catégorie des articles'!A:E, 4, FALSE)</f>
        <v>MIX LEGUMES</v>
      </c>
      <c r="H181" s="14">
        <f>IF(Tableau5[[#This Row],[Stock Moyen (UVC)]]&gt;0,1,0)</f>
        <v>1</v>
      </c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>
      <c r="A182" s="17">
        <v>202206</v>
      </c>
      <c r="B182" s="13">
        <v>5540246190092</v>
      </c>
      <c r="C182" s="8">
        <v>49</v>
      </c>
      <c r="D182" s="8">
        <v>6742.3104000000003</v>
      </c>
      <c r="E182" s="25">
        <f t="shared" si="2"/>
        <v>137.59817142857145</v>
      </c>
      <c r="F182" s="8">
        <v>49</v>
      </c>
      <c r="G182" s="17" t="str">
        <f>VLOOKUP(B182, 'Catégorie des articles'!A:E, 4, FALSE)</f>
        <v>EMBALLAGES</v>
      </c>
      <c r="H182" s="14">
        <f>IF(Tableau5[[#This Row],[Stock Moyen (UVC)]]&gt;0,1,0)</f>
        <v>1</v>
      </c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>
      <c r="A183" s="17">
        <v>202206</v>
      </c>
      <c r="B183" s="15">
        <v>5540246190097</v>
      </c>
      <c r="C183" s="11">
        <v>3104</v>
      </c>
      <c r="D183" s="11">
        <v>77433.753599999996</v>
      </c>
      <c r="E183" s="25">
        <f t="shared" si="2"/>
        <v>24.946441237113401</v>
      </c>
      <c r="F183" s="11">
        <v>12982</v>
      </c>
      <c r="G183" s="17" t="str">
        <f>VLOOKUP(B183, 'Catégorie des articles'!A:E, 4, FALSE)</f>
        <v>VOLAILLE</v>
      </c>
      <c r="H183" s="14">
        <f>IF(Tableau5[[#This Row],[Stock Moyen (UVC)]]&gt;0,1,0)</f>
        <v>1</v>
      </c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>
      <c r="A184" s="17">
        <v>202206</v>
      </c>
      <c r="B184" s="13">
        <v>5540246190727</v>
      </c>
      <c r="C184" s="8">
        <v>2332</v>
      </c>
      <c r="D184" s="8">
        <v>26349.192000000003</v>
      </c>
      <c r="E184" s="25">
        <f t="shared" si="2"/>
        <v>11.298967409948544</v>
      </c>
      <c r="F184" s="8">
        <v>696</v>
      </c>
      <c r="G184" s="17" t="str">
        <f>VLOOKUP(B184, 'Catégorie des articles'!A:E, 4, FALSE)</f>
        <v>BOULANGERIE</v>
      </c>
      <c r="H184" s="14">
        <f>IF(Tableau5[[#This Row],[Stock Moyen (UVC)]]&gt;0,1,0)</f>
        <v>1</v>
      </c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>
      <c r="A185" s="17">
        <v>202206</v>
      </c>
      <c r="B185" s="15">
        <v>5540246190743</v>
      </c>
      <c r="C185" s="11">
        <v>279</v>
      </c>
      <c r="D185" s="11">
        <v>2363.9040000000005</v>
      </c>
      <c r="E185" s="25">
        <f t="shared" si="2"/>
        <v>8.4727741935483891</v>
      </c>
      <c r="F185" s="11">
        <v>669</v>
      </c>
      <c r="G185" s="17" t="str">
        <f>VLOOKUP(B185, 'Catégorie des articles'!A:E, 4, FALSE)</f>
        <v>CREMERIE</v>
      </c>
      <c r="H185" s="14">
        <f>IF(Tableau5[[#This Row],[Stock Moyen (UVC)]]&gt;0,1,0)</f>
        <v>1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>
      <c r="A186" s="17">
        <v>202206</v>
      </c>
      <c r="B186" s="13">
        <v>5540246190831</v>
      </c>
      <c r="C186" s="8">
        <v>1300</v>
      </c>
      <c r="D186" s="8">
        <v>9775.9872000000014</v>
      </c>
      <c r="E186" s="25">
        <f t="shared" si="2"/>
        <v>7.5199901538461553</v>
      </c>
      <c r="F186" s="8">
        <v>0</v>
      </c>
      <c r="G186" s="17" t="str">
        <f>VLOOKUP(B186, 'Catégorie des articles'!A:E, 4, FALSE)</f>
        <v>MIX LEGUMES</v>
      </c>
      <c r="H186" s="14">
        <f>IF(Tableau5[[#This Row],[Stock Moyen (UVC)]]&gt;0,1,0)</f>
        <v>1</v>
      </c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>
      <c r="A187" s="17">
        <v>202206</v>
      </c>
      <c r="B187" s="15">
        <v>5540246190835</v>
      </c>
      <c r="C187" s="11">
        <v>156</v>
      </c>
      <c r="D187" s="11">
        <v>32857.228800000004</v>
      </c>
      <c r="E187" s="25">
        <f t="shared" si="2"/>
        <v>210.62326153846158</v>
      </c>
      <c r="F187" s="11">
        <v>21</v>
      </c>
      <c r="G187" s="17" t="str">
        <f>VLOOKUP(B187, 'Catégorie des articles'!A:E, 4, FALSE)</f>
        <v>BOULANGERIE</v>
      </c>
      <c r="H187" s="14">
        <f>IF(Tableau5[[#This Row],[Stock Moyen (UVC)]]&gt;0,1,0)</f>
        <v>1</v>
      </c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>
      <c r="A188" s="17">
        <v>202206</v>
      </c>
      <c r="B188" s="15">
        <v>5540246191380</v>
      </c>
      <c r="C188" s="11">
        <v>418</v>
      </c>
      <c r="D188" s="11">
        <v>1975.104</v>
      </c>
      <c r="E188" s="25">
        <f t="shared" si="2"/>
        <v>4.7251291866028708</v>
      </c>
      <c r="F188" s="11">
        <v>0</v>
      </c>
      <c r="G188" s="17" t="str">
        <f>VLOOKUP(B188, 'Catégorie des articles'!A:E, 4, FALSE)</f>
        <v>CREMERIE</v>
      </c>
      <c r="H188" s="14">
        <f>IF(Tableau5[[#This Row],[Stock Moyen (UVC)]]&gt;0,1,0)</f>
        <v>1</v>
      </c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>
      <c r="A189" s="17">
        <v>202206</v>
      </c>
      <c r="B189" s="13">
        <v>5540246191394</v>
      </c>
      <c r="C189" s="8">
        <v>2436</v>
      </c>
      <c r="D189" s="8">
        <v>13009.248000000001</v>
      </c>
      <c r="E189" s="25">
        <f t="shared" si="2"/>
        <v>5.3404137931034485</v>
      </c>
      <c r="F189" s="8">
        <v>0</v>
      </c>
      <c r="G189" s="17" t="str">
        <f>VLOOKUP(B189, 'Catégorie des articles'!A:E, 4, FALSE)</f>
        <v>CREMERIE</v>
      </c>
      <c r="H189" s="14">
        <f>IF(Tableau5[[#This Row],[Stock Moyen (UVC)]]&gt;0,1,0)</f>
        <v>1</v>
      </c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>
      <c r="A190" s="17">
        <v>202206</v>
      </c>
      <c r="B190" s="13">
        <v>5540246191596</v>
      </c>
      <c r="C190" s="8">
        <v>79</v>
      </c>
      <c r="D190" s="8">
        <v>4403.4624000000003</v>
      </c>
      <c r="E190" s="25">
        <f t="shared" si="2"/>
        <v>55.740030379746841</v>
      </c>
      <c r="F190" s="8">
        <v>179</v>
      </c>
      <c r="G190" s="17" t="str">
        <f>VLOOKUP(B190, 'Catégorie des articles'!A:E, 4, FALSE)</f>
        <v>BOULANGERIE</v>
      </c>
      <c r="H190" s="14">
        <f>IF(Tableau5[[#This Row],[Stock Moyen (UVC)]]&gt;0,1,0)</f>
        <v>1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>
      <c r="A191" s="17">
        <v>202206</v>
      </c>
      <c r="B191" s="13">
        <v>5540246191718</v>
      </c>
      <c r="C191" s="8">
        <v>748</v>
      </c>
      <c r="D191" s="8">
        <v>2214.5184000000004</v>
      </c>
      <c r="E191" s="25">
        <f t="shared" si="2"/>
        <v>2.960586096256685</v>
      </c>
      <c r="F191" s="8">
        <v>325</v>
      </c>
      <c r="G191" s="17" t="str">
        <f>VLOOKUP(B191, 'Catégorie des articles'!A:E, 4, FALSE)</f>
        <v>MIX LEGUMES</v>
      </c>
      <c r="H191" s="14">
        <f>IF(Tableau5[[#This Row],[Stock Moyen (UVC)]]&gt;0,1,0)</f>
        <v>1</v>
      </c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>
      <c r="A192" s="17">
        <v>202206</v>
      </c>
      <c r="B192" s="13">
        <v>5540246191736</v>
      </c>
      <c r="C192" s="8">
        <v>288</v>
      </c>
      <c r="D192" s="8">
        <v>9304.7616000000016</v>
      </c>
      <c r="E192" s="25">
        <f t="shared" si="2"/>
        <v>32.308200000000006</v>
      </c>
      <c r="F192" s="8">
        <v>70</v>
      </c>
      <c r="G192" s="17" t="str">
        <f>VLOOKUP(B192, 'Catégorie des articles'!A:E, 4, FALSE)</f>
        <v>CREMERIE</v>
      </c>
      <c r="H192" s="14">
        <f>IF(Tableau5[[#This Row],[Stock Moyen (UVC)]]&gt;0,1,0)</f>
        <v>1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>
      <c r="A193" s="17">
        <v>202206</v>
      </c>
      <c r="B193" s="13">
        <v>5540246192102</v>
      </c>
      <c r="C193" s="8">
        <v>5086</v>
      </c>
      <c r="D193" s="8">
        <v>5568.0480000000007</v>
      </c>
      <c r="E193" s="25">
        <f t="shared" si="2"/>
        <v>1.0947793944160442</v>
      </c>
      <c r="F193" s="8">
        <v>9125</v>
      </c>
      <c r="G193" s="17" t="str">
        <f>VLOOKUP(B193, 'Catégorie des articles'!A:E, 4, FALSE)</f>
        <v>CREMERIE</v>
      </c>
      <c r="H193" s="14">
        <f>IF(Tableau5[[#This Row],[Stock Moyen (UVC)]]&gt;0,1,0)</f>
        <v>1</v>
      </c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>
      <c r="A194" s="17">
        <v>202206</v>
      </c>
      <c r="B194" s="13">
        <v>5540246192209</v>
      </c>
      <c r="C194" s="8">
        <v>3286</v>
      </c>
      <c r="D194" s="8">
        <v>16516.224000000002</v>
      </c>
      <c r="E194" s="25">
        <f t="shared" si="2"/>
        <v>5.0262398052343285</v>
      </c>
      <c r="F194" s="8">
        <v>3202</v>
      </c>
      <c r="G194" s="17" t="str">
        <f>VLOOKUP(B194, 'Catégorie des articles'!A:E, 4, FALSE)</f>
        <v>MIX LEGUMES</v>
      </c>
      <c r="H194" s="14">
        <f>IF(Tableau5[[#This Row],[Stock Moyen (UVC)]]&gt;0,1,0)</f>
        <v>1</v>
      </c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>
      <c r="A195" s="17">
        <v>202206</v>
      </c>
      <c r="B195" s="15">
        <v>5540246192264</v>
      </c>
      <c r="C195" s="11">
        <v>1058</v>
      </c>
      <c r="D195" s="11">
        <v>15365.376000000002</v>
      </c>
      <c r="E195" s="25">
        <f t="shared" ref="E195:E258" si="3">IF(C195=0,"",D195/C195)</f>
        <v>14.523039697542535</v>
      </c>
      <c r="F195" s="11">
        <v>1838</v>
      </c>
      <c r="G195" s="17" t="str">
        <f>VLOOKUP(B195, 'Catégorie des articles'!A:E, 4, FALSE)</f>
        <v>CREMERIE</v>
      </c>
      <c r="H195" s="14">
        <f>IF(Tableau5[[#This Row],[Stock Moyen (UVC)]]&gt;0,1,0)</f>
        <v>1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>
      <c r="A196" s="17">
        <v>202206</v>
      </c>
      <c r="B196" s="13">
        <v>5540246192265</v>
      </c>
      <c r="C196" s="8">
        <v>0</v>
      </c>
      <c r="D196" s="8">
        <v>0</v>
      </c>
      <c r="E196" s="25" t="str">
        <f t="shared" si="3"/>
        <v/>
      </c>
      <c r="F196" s="8">
        <v>1207</v>
      </c>
      <c r="G196" s="17" t="str">
        <f>VLOOKUP(B196, 'Catégorie des articles'!A:E, 4, FALSE)</f>
        <v>CREMERIE</v>
      </c>
      <c r="H196" s="14">
        <f>IF(Tableau5[[#This Row],[Stock Moyen (UVC)]]&gt;0,1,0)</f>
        <v>0</v>
      </c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>
      <c r="A197" s="17">
        <v>202206</v>
      </c>
      <c r="B197" s="15">
        <v>5540246192462</v>
      </c>
      <c r="C197" s="11">
        <v>1337</v>
      </c>
      <c r="D197" s="11">
        <v>9176.9328000000005</v>
      </c>
      <c r="E197" s="25">
        <f t="shared" si="3"/>
        <v>6.863824083769634</v>
      </c>
      <c r="F197" s="11">
        <v>650</v>
      </c>
      <c r="G197" s="17" t="str">
        <f>VLOOKUP(B197, 'Catégorie des articles'!A:E, 4, FALSE)</f>
        <v>MIX LEGUMES</v>
      </c>
      <c r="H197" s="14">
        <f>IF(Tableau5[[#This Row],[Stock Moyen (UVC)]]&gt;0,1,0)</f>
        <v>1</v>
      </c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>
      <c r="A198" s="17">
        <v>202206</v>
      </c>
      <c r="B198" s="13">
        <v>5540246192505</v>
      </c>
      <c r="C198" s="8">
        <v>18375</v>
      </c>
      <c r="D198" s="8">
        <v>26002.944</v>
      </c>
      <c r="E198" s="25">
        <f t="shared" si="3"/>
        <v>1.4151262040816326</v>
      </c>
      <c r="F198" s="8">
        <v>2079</v>
      </c>
      <c r="G198" s="17" t="str">
        <f>VLOOKUP(B198, 'Catégorie des articles'!A:E, 4, FALSE)</f>
        <v>MIX LEGUMES</v>
      </c>
      <c r="H198" s="14">
        <f>IF(Tableau5[[#This Row],[Stock Moyen (UVC)]]&gt;0,1,0)</f>
        <v>1</v>
      </c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>
      <c r="A199" s="17">
        <v>202206</v>
      </c>
      <c r="B199" s="13">
        <v>5540246192518</v>
      </c>
      <c r="C199" s="8">
        <v>6933</v>
      </c>
      <c r="D199" s="8">
        <v>45798.134400000003</v>
      </c>
      <c r="E199" s="25">
        <f t="shared" si="3"/>
        <v>6.6058177412375603</v>
      </c>
      <c r="F199" s="8">
        <v>11025</v>
      </c>
      <c r="G199" s="17" t="str">
        <f>VLOOKUP(B199, 'Catégorie des articles'!A:E, 4, FALSE)</f>
        <v>MIX LEGUMES</v>
      </c>
      <c r="H199" s="14">
        <f>IF(Tableau5[[#This Row],[Stock Moyen (UVC)]]&gt;0,1,0)</f>
        <v>1</v>
      </c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>
      <c r="A200" s="17">
        <v>202206</v>
      </c>
      <c r="B200" s="13">
        <v>5540246192571</v>
      </c>
      <c r="C200" s="8">
        <v>794</v>
      </c>
      <c r="D200" s="8">
        <v>2074.3344000000002</v>
      </c>
      <c r="E200" s="25">
        <f t="shared" si="3"/>
        <v>2.6125118387909323</v>
      </c>
      <c r="F200" s="8">
        <v>376</v>
      </c>
      <c r="G200" s="17" t="str">
        <f>VLOOKUP(B200, 'Catégorie des articles'!A:E, 4, FALSE)</f>
        <v>MIX LEGUMES</v>
      </c>
      <c r="H200" s="14">
        <f>IF(Tableau5[[#This Row],[Stock Moyen (UVC)]]&gt;0,1,0)</f>
        <v>1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>
      <c r="A201" s="17">
        <v>202206</v>
      </c>
      <c r="B201" s="15">
        <v>5540246192594</v>
      </c>
      <c r="C201" s="11">
        <v>808</v>
      </c>
      <c r="D201" s="11">
        <v>5336.9280000000008</v>
      </c>
      <c r="E201" s="25">
        <f t="shared" si="3"/>
        <v>6.6051089108910901</v>
      </c>
      <c r="F201" s="11">
        <v>195</v>
      </c>
      <c r="G201" s="17" t="str">
        <f>VLOOKUP(B201, 'Catégorie des articles'!A:E, 4, FALSE)</f>
        <v>MIX LEGUMES</v>
      </c>
      <c r="H201" s="14">
        <f>IF(Tableau5[[#This Row],[Stock Moyen (UVC)]]&gt;0,1,0)</f>
        <v>1</v>
      </c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75" customHeight="1">
      <c r="A202" s="17">
        <v>202206</v>
      </c>
      <c r="B202" s="15">
        <v>5540246192824</v>
      </c>
      <c r="C202" s="11">
        <v>251</v>
      </c>
      <c r="D202" s="11">
        <v>1349.3088</v>
      </c>
      <c r="E202" s="25">
        <f t="shared" si="3"/>
        <v>5.3757322709163349</v>
      </c>
      <c r="F202" s="11">
        <v>251</v>
      </c>
      <c r="G202" s="17" t="str">
        <f>VLOOKUP(B202, 'Catégorie des articles'!A:E, 4, FALSE)</f>
        <v>MIX LEGUMES</v>
      </c>
      <c r="H202" s="14">
        <f>IF(Tableau5[[#This Row],[Stock Moyen (UVC)]]&gt;0,1,0)</f>
        <v>1</v>
      </c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75" customHeight="1">
      <c r="A203" s="17">
        <v>202206</v>
      </c>
      <c r="B203" s="15">
        <v>5540246192831</v>
      </c>
      <c r="C203" s="11">
        <v>845</v>
      </c>
      <c r="D203" s="11">
        <v>7485.0048000000006</v>
      </c>
      <c r="E203" s="25">
        <f t="shared" si="3"/>
        <v>8.8579938461538461</v>
      </c>
      <c r="F203" s="11">
        <v>520</v>
      </c>
      <c r="G203" s="17" t="str">
        <f>VLOOKUP(B203, 'Catégorie des articles'!A:E, 4, FALSE)</f>
        <v>MIX LEGUMES</v>
      </c>
      <c r="H203" s="14">
        <f>IF(Tableau5[[#This Row],[Stock Moyen (UVC)]]&gt;0,1,0)</f>
        <v>1</v>
      </c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75" customHeight="1">
      <c r="A204" s="17">
        <v>202206</v>
      </c>
      <c r="B204" s="13">
        <v>5540246192836</v>
      </c>
      <c r="C204" s="8">
        <v>84</v>
      </c>
      <c r="D204" s="8">
        <v>11558.2464</v>
      </c>
      <c r="E204" s="25">
        <f t="shared" si="3"/>
        <v>137.59817142857142</v>
      </c>
      <c r="F204" s="8">
        <v>0</v>
      </c>
      <c r="G204" s="17" t="str">
        <f>VLOOKUP(B204, 'Catégorie des articles'!A:E, 4, FALSE)</f>
        <v>EMBALLAGES</v>
      </c>
      <c r="H204" s="14">
        <f>IF(Tableau5[[#This Row],[Stock Moyen (UVC)]]&gt;0,1,0)</f>
        <v>1</v>
      </c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75" customHeight="1">
      <c r="A205" s="17">
        <v>202206</v>
      </c>
      <c r="B205" s="13">
        <v>5540246192907</v>
      </c>
      <c r="C205" s="8">
        <v>2423</v>
      </c>
      <c r="D205" s="8">
        <v>67989.456000000006</v>
      </c>
      <c r="E205" s="25">
        <f t="shared" si="3"/>
        <v>28.060031366075115</v>
      </c>
      <c r="F205" s="8">
        <v>1912</v>
      </c>
      <c r="G205" s="17" t="str">
        <f>VLOOKUP(B205, 'Catégorie des articles'!A:E, 4, FALSE)</f>
        <v>VOLAILLE</v>
      </c>
      <c r="H205" s="14">
        <f>IF(Tableau5[[#This Row],[Stock Moyen (UVC)]]&gt;0,1,0)</f>
        <v>1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75" customHeight="1">
      <c r="A206" s="17">
        <v>202206</v>
      </c>
      <c r="B206" s="15">
        <v>5540246193249</v>
      </c>
      <c r="C206" s="11">
        <v>235</v>
      </c>
      <c r="D206" s="11">
        <v>10275.336000000001</v>
      </c>
      <c r="E206" s="25">
        <f t="shared" si="3"/>
        <v>43.724834042553198</v>
      </c>
      <c r="F206" s="11">
        <v>235</v>
      </c>
      <c r="G206" s="17" t="str">
        <f>VLOOKUP(B206, 'Catégorie des articles'!A:E, 4, FALSE)</f>
        <v>EMBALLAGES</v>
      </c>
      <c r="H206" s="14">
        <f>IF(Tableau5[[#This Row],[Stock Moyen (UVC)]]&gt;0,1,0)</f>
        <v>1</v>
      </c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75" customHeight="1">
      <c r="A207" s="17">
        <v>202206</v>
      </c>
      <c r="B207" s="15">
        <v>5540246193316</v>
      </c>
      <c r="C207" s="11">
        <v>260</v>
      </c>
      <c r="D207" s="11">
        <v>7867.2384000000002</v>
      </c>
      <c r="E207" s="25">
        <f t="shared" si="3"/>
        <v>30.258609230769231</v>
      </c>
      <c r="F207" s="11">
        <v>256</v>
      </c>
      <c r="G207" s="17" t="str">
        <f>VLOOKUP(B207, 'Catégorie des articles'!A:E, 4, FALSE)</f>
        <v>BOULANGERIE</v>
      </c>
      <c r="H207" s="14">
        <f>IF(Tableau5[[#This Row],[Stock Moyen (UVC)]]&gt;0,1,0)</f>
        <v>1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75" customHeight="1">
      <c r="A208" s="17">
        <v>202206</v>
      </c>
      <c r="B208" s="13">
        <v>5540246193409</v>
      </c>
      <c r="C208" s="8">
        <v>96</v>
      </c>
      <c r="D208" s="8">
        <v>4888.5119999999997</v>
      </c>
      <c r="E208" s="25">
        <f t="shared" si="3"/>
        <v>50.921999999999997</v>
      </c>
      <c r="F208" s="8">
        <v>38</v>
      </c>
      <c r="G208" s="17" t="str">
        <f>VLOOKUP(B208, 'Catégorie des articles'!A:E, 4, FALSE)</f>
        <v>BOULANGERIE</v>
      </c>
      <c r="H208" s="14">
        <f>IF(Tableau5[[#This Row],[Stock Moyen (UVC)]]&gt;0,1,0)</f>
        <v>1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75" customHeight="1">
      <c r="A209" s="17">
        <v>202206</v>
      </c>
      <c r="B209" s="15">
        <v>5540246193505</v>
      </c>
      <c r="C209" s="11">
        <v>15869</v>
      </c>
      <c r="D209" s="11">
        <v>12765.081600000001</v>
      </c>
      <c r="E209" s="25">
        <f t="shared" si="3"/>
        <v>0.80440365492469601</v>
      </c>
      <c r="F209" s="11">
        <v>67188</v>
      </c>
      <c r="G209" s="17" t="str">
        <f>VLOOKUP(B209, 'Catégorie des articles'!A:E, 4, FALSE)</f>
        <v>BOULANGERIE</v>
      </c>
      <c r="H209" s="14">
        <f>IF(Tableau5[[#This Row],[Stock Moyen (UVC)]]&gt;0,1,0)</f>
        <v>1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75" customHeight="1">
      <c r="A210" s="17">
        <v>202206</v>
      </c>
      <c r="B210" s="13">
        <v>5540246193566</v>
      </c>
      <c r="C210" s="8">
        <v>9849</v>
      </c>
      <c r="D210" s="8">
        <v>88024.320000000007</v>
      </c>
      <c r="E210" s="25">
        <f t="shared" si="3"/>
        <v>8.9373865367042349</v>
      </c>
      <c r="F210" s="8">
        <v>9756</v>
      </c>
      <c r="G210" s="17" t="str">
        <f>VLOOKUP(B210, 'Catégorie des articles'!A:E, 4, FALSE)</f>
        <v>VOLAILLE</v>
      </c>
      <c r="H210" s="14">
        <f>IF(Tableau5[[#This Row],[Stock Moyen (UVC)]]&gt;0,1,0)</f>
        <v>1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75" customHeight="1">
      <c r="A211" s="17">
        <v>202206</v>
      </c>
      <c r="B211" s="13">
        <v>5540246193878</v>
      </c>
      <c r="C211" s="8">
        <v>0</v>
      </c>
      <c r="D211" s="8">
        <v>0</v>
      </c>
      <c r="E211" s="25" t="str">
        <f t="shared" si="3"/>
        <v/>
      </c>
      <c r="F211" s="8">
        <v>0</v>
      </c>
      <c r="G211" s="17" t="str">
        <f>VLOOKUP(B211, 'Catégorie des articles'!A:E, 4, FALSE)</f>
        <v>VOLAILLE</v>
      </c>
      <c r="H211" s="14">
        <f>IF(Tableau5[[#This Row],[Stock Moyen (UVC)]]&gt;0,1,0)</f>
        <v>0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75" customHeight="1">
      <c r="A212" s="17">
        <v>202206</v>
      </c>
      <c r="B212" s="13">
        <v>5540246193999</v>
      </c>
      <c r="C212" s="8">
        <v>9338</v>
      </c>
      <c r="D212" s="8">
        <v>46652.025600000001</v>
      </c>
      <c r="E212" s="25">
        <f t="shared" si="3"/>
        <v>4.9959333476119081</v>
      </c>
      <c r="F212" s="8">
        <v>8236</v>
      </c>
      <c r="G212" s="17" t="str">
        <f>VLOOKUP(B212, 'Catégorie des articles'!A:E, 4, FALSE)</f>
        <v>MIX LEGUMES</v>
      </c>
      <c r="H212" s="14">
        <f>IF(Tableau5[[#This Row],[Stock Moyen (UVC)]]&gt;0,1,0)</f>
        <v>1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75" customHeight="1">
      <c r="A213" s="17">
        <v>202207</v>
      </c>
      <c r="B213" s="13">
        <v>5540246170256</v>
      </c>
      <c r="C213" s="8">
        <v>808</v>
      </c>
      <c r="D213" s="8">
        <v>5427.1296000000002</v>
      </c>
      <c r="E213" s="25">
        <f t="shared" si="3"/>
        <v>6.7167445544554454</v>
      </c>
      <c r="F213" s="8">
        <v>5214</v>
      </c>
      <c r="G213" s="17" t="str">
        <f>VLOOKUP(B213, 'Catégorie des articles'!A:E, 4, FALSE)</f>
        <v>BOULANGERIE</v>
      </c>
      <c r="H213" s="14">
        <f>IF(Tableau5[[#This Row],[Stock Moyen (UVC)]]&gt;0,1,0)</f>
        <v>1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75" customHeight="1">
      <c r="A214" s="17">
        <v>202207</v>
      </c>
      <c r="B214" s="13">
        <v>5540246171759</v>
      </c>
      <c r="C214" s="8">
        <v>4251</v>
      </c>
      <c r="D214" s="8">
        <v>23347.008000000002</v>
      </c>
      <c r="E214" s="25">
        <f t="shared" si="3"/>
        <v>5.4921213832039522</v>
      </c>
      <c r="F214" s="8">
        <v>2812</v>
      </c>
      <c r="G214" s="17" t="str">
        <f>VLOOKUP(B214, 'Catégorie des articles'!A:E, 4, FALSE)</f>
        <v>MIX LEGUMES</v>
      </c>
      <c r="H214" s="14">
        <f>IF(Tableau5[[#This Row],[Stock Moyen (UVC)]]&gt;0,1,0)</f>
        <v>1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75" customHeight="1">
      <c r="A215" s="17">
        <v>202207</v>
      </c>
      <c r="B215" s="15">
        <v>5540246171888</v>
      </c>
      <c r="C215" s="11">
        <v>1216</v>
      </c>
      <c r="D215" s="11">
        <v>20486.304</v>
      </c>
      <c r="E215" s="25">
        <f t="shared" si="3"/>
        <v>16.84728947368421</v>
      </c>
      <c r="F215" s="11">
        <v>1200</v>
      </c>
      <c r="G215" s="17" t="str">
        <f>VLOOKUP(B215, 'Catégorie des articles'!A:E, 4, FALSE)</f>
        <v>BOULANGERIE</v>
      </c>
      <c r="H215" s="14">
        <f>IF(Tableau5[[#This Row],[Stock Moyen (UVC)]]&gt;0,1,0)</f>
        <v>1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75" customHeight="1">
      <c r="A216" s="17">
        <v>202207</v>
      </c>
      <c r="B216" s="13">
        <v>5540246171933</v>
      </c>
      <c r="C216" s="8">
        <v>446</v>
      </c>
      <c r="D216" s="8">
        <v>286.97760000000005</v>
      </c>
      <c r="E216" s="25">
        <f t="shared" si="3"/>
        <v>0.64344753363228713</v>
      </c>
      <c r="F216" s="8">
        <v>5513</v>
      </c>
      <c r="G216" s="17" t="str">
        <f>VLOOKUP(B216, 'Catégorie des articles'!A:E, 4, FALSE)</f>
        <v>CREMERIE</v>
      </c>
      <c r="H216" s="14">
        <f>IF(Tableau5[[#This Row],[Stock Moyen (UVC)]]&gt;0,1,0)</f>
        <v>1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75" customHeight="1">
      <c r="A217" s="17">
        <v>202207</v>
      </c>
      <c r="B217" s="13">
        <v>5540246172539</v>
      </c>
      <c r="C217" s="8">
        <v>40</v>
      </c>
      <c r="D217" s="8">
        <v>820.75680000000011</v>
      </c>
      <c r="E217" s="25">
        <f t="shared" si="3"/>
        <v>20.518920000000001</v>
      </c>
      <c r="F217" s="8">
        <v>33</v>
      </c>
      <c r="G217" s="17" t="str">
        <f>VLOOKUP(B217, 'Catégorie des articles'!A:E, 4, FALSE)</f>
        <v>CREMERIE</v>
      </c>
      <c r="H217" s="14">
        <f>IF(Tableau5[[#This Row],[Stock Moyen (UVC)]]&gt;0,1,0)</f>
        <v>1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75" customHeight="1">
      <c r="A218" s="17">
        <v>202207</v>
      </c>
      <c r="B218" s="15">
        <v>5540246172669</v>
      </c>
      <c r="C218" s="11">
        <v>168</v>
      </c>
      <c r="D218" s="11">
        <v>2273.0976000000001</v>
      </c>
      <c r="E218" s="25">
        <f t="shared" si="3"/>
        <v>13.530342857142857</v>
      </c>
      <c r="F218" s="11">
        <v>808</v>
      </c>
      <c r="G218" s="17" t="str">
        <f>VLOOKUP(B218, 'Catégorie des articles'!A:E, 4, FALSE)</f>
        <v>CREMERIE</v>
      </c>
      <c r="H218" s="14">
        <f>IF(Tableau5[[#This Row],[Stock Moyen (UVC)]]&gt;0,1,0)</f>
        <v>1</v>
      </c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>
      <c r="A219" s="17">
        <v>202207</v>
      </c>
      <c r="B219" s="13">
        <v>5540246172978</v>
      </c>
      <c r="C219" s="8">
        <v>84</v>
      </c>
      <c r="D219" s="8">
        <v>67.348799999999997</v>
      </c>
      <c r="E219" s="25">
        <f t="shared" si="3"/>
        <v>0.80177142857142858</v>
      </c>
      <c r="F219" s="8">
        <v>11693</v>
      </c>
      <c r="G219" s="17" t="str">
        <f>VLOOKUP(B219, 'Catégorie des articles'!A:E, 4, FALSE)</f>
        <v>CREMERIE</v>
      </c>
      <c r="H219" s="14">
        <f>IF(Tableau5[[#This Row],[Stock Moyen (UVC)]]&gt;0,1,0)</f>
        <v>1</v>
      </c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>
      <c r="A220" s="17">
        <v>202207</v>
      </c>
      <c r="B220" s="15">
        <v>5540246173472</v>
      </c>
      <c r="C220" s="11">
        <v>432</v>
      </c>
      <c r="D220" s="11">
        <v>9963.648000000001</v>
      </c>
      <c r="E220" s="25">
        <f t="shared" si="3"/>
        <v>23.064000000000004</v>
      </c>
      <c r="F220" s="11">
        <v>432</v>
      </c>
      <c r="G220" s="17" t="str">
        <f>VLOOKUP(B220, 'Catégorie des articles'!A:E, 4, FALSE)</f>
        <v>CREMERIE</v>
      </c>
      <c r="H220" s="14">
        <f>IF(Tableau5[[#This Row],[Stock Moyen (UVC)]]&gt;0,1,0)</f>
        <v>1</v>
      </c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>
      <c r="A221" s="17">
        <v>202207</v>
      </c>
      <c r="B221" s="15">
        <v>5540246173685</v>
      </c>
      <c r="C221" s="11">
        <v>365</v>
      </c>
      <c r="D221" s="11">
        <v>9196.9344000000001</v>
      </c>
      <c r="E221" s="25">
        <f t="shared" si="3"/>
        <v>25.197080547945205</v>
      </c>
      <c r="F221" s="11">
        <v>177</v>
      </c>
      <c r="G221" s="17" t="str">
        <f>VLOOKUP(B221, 'Catégorie des articles'!A:E, 4, FALSE)</f>
        <v>EMBALLAGES</v>
      </c>
      <c r="H221" s="14">
        <f>IF(Tableau5[[#This Row],[Stock Moyen (UVC)]]&gt;0,1,0)</f>
        <v>1</v>
      </c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>
      <c r="A222" s="17">
        <v>202207</v>
      </c>
      <c r="B222" s="13">
        <v>5540246173686</v>
      </c>
      <c r="C222" s="8">
        <v>404</v>
      </c>
      <c r="D222" s="8">
        <v>10192.7808</v>
      </c>
      <c r="E222" s="25">
        <f t="shared" si="3"/>
        <v>25.229655445544555</v>
      </c>
      <c r="F222" s="8">
        <v>207</v>
      </c>
      <c r="G222" s="17" t="str">
        <f>VLOOKUP(B222, 'Catégorie des articles'!A:E, 4, FALSE)</f>
        <v>EMBALLAGES</v>
      </c>
      <c r="H222" s="14">
        <f>IF(Tableau5[[#This Row],[Stock Moyen (UVC)]]&gt;0,1,0)</f>
        <v>1</v>
      </c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>
      <c r="A223" s="17">
        <v>202207</v>
      </c>
      <c r="B223" s="13">
        <v>5540246173906</v>
      </c>
      <c r="C223" s="8">
        <v>1453</v>
      </c>
      <c r="D223" s="8">
        <v>26989.113600000001</v>
      </c>
      <c r="E223" s="25">
        <f t="shared" si="3"/>
        <v>18.574751273227804</v>
      </c>
      <c r="F223" s="8">
        <v>706</v>
      </c>
      <c r="G223" s="17" t="str">
        <f>VLOOKUP(B223, 'Catégorie des articles'!A:E, 4, FALSE)</f>
        <v>VOLAILLE</v>
      </c>
      <c r="H223" s="14">
        <f>IF(Tableau5[[#This Row],[Stock Moyen (UVC)]]&gt;0,1,0)</f>
        <v>1</v>
      </c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>
      <c r="A224" s="17">
        <v>202207</v>
      </c>
      <c r="B224" s="13">
        <v>5540246174095</v>
      </c>
      <c r="C224" s="8">
        <v>21</v>
      </c>
      <c r="D224" s="8">
        <v>651.62880000000007</v>
      </c>
      <c r="E224" s="25">
        <f t="shared" si="3"/>
        <v>31.02994285714286</v>
      </c>
      <c r="F224" s="8">
        <v>84</v>
      </c>
      <c r="G224" s="17" t="str">
        <f>VLOOKUP(B224, 'Catégorie des articles'!A:E, 4, FALSE)</f>
        <v>CREMERIE</v>
      </c>
      <c r="H224" s="14">
        <f>IF(Tableau5[[#This Row],[Stock Moyen (UVC)]]&gt;0,1,0)</f>
        <v>1</v>
      </c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>
      <c r="A225" s="17">
        <v>202207</v>
      </c>
      <c r="B225" s="15">
        <v>5540246174174</v>
      </c>
      <c r="C225" s="11">
        <v>38</v>
      </c>
      <c r="D225" s="11">
        <v>493.86239999999998</v>
      </c>
      <c r="E225" s="25">
        <f t="shared" si="3"/>
        <v>12.99637894736842</v>
      </c>
      <c r="F225" s="11">
        <v>708</v>
      </c>
      <c r="G225" s="17" t="str">
        <f>VLOOKUP(B225, 'Catégorie des articles'!A:E, 4, FALSE)</f>
        <v>CREMERIE</v>
      </c>
      <c r="H225" s="14">
        <f>IF(Tableau5[[#This Row],[Stock Moyen (UVC)]]&gt;0,1,0)</f>
        <v>1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>
      <c r="A226" s="17">
        <v>202207</v>
      </c>
      <c r="B226" s="13">
        <v>5540246175047</v>
      </c>
      <c r="C226" s="8">
        <v>0</v>
      </c>
      <c r="D226" s="8">
        <v>0</v>
      </c>
      <c r="E226" s="25" t="str">
        <f t="shared" si="3"/>
        <v/>
      </c>
      <c r="F226" s="8">
        <v>724</v>
      </c>
      <c r="G226" s="17" t="str">
        <f>VLOOKUP(B226, 'Catégorie des articles'!A:E, 4, FALSE)</f>
        <v>CREMERIE</v>
      </c>
      <c r="H226" s="14">
        <f>IF(Tableau5[[#This Row],[Stock Moyen (UVC)]]&gt;0,1,0)</f>
        <v>0</v>
      </c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>
      <c r="A227" s="17">
        <v>202207</v>
      </c>
      <c r="B227" s="15">
        <v>5540246175049</v>
      </c>
      <c r="C227" s="11">
        <v>98</v>
      </c>
      <c r="D227" s="11">
        <v>1014.2496000000001</v>
      </c>
      <c r="E227" s="25">
        <f t="shared" si="3"/>
        <v>10.349485714285715</v>
      </c>
      <c r="F227" s="11">
        <v>1963</v>
      </c>
      <c r="G227" s="17" t="str">
        <f>VLOOKUP(B227, 'Catégorie des articles'!A:E, 4, FALSE)</f>
        <v>CREMERIE</v>
      </c>
      <c r="H227" s="14">
        <f>IF(Tableau5[[#This Row],[Stock Moyen (UVC)]]&gt;0,1,0)</f>
        <v>1</v>
      </c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>
      <c r="A228" s="17">
        <v>202207</v>
      </c>
      <c r="B228" s="13">
        <v>5540246175050</v>
      </c>
      <c r="C228" s="8">
        <v>348</v>
      </c>
      <c r="D228" s="8">
        <v>4030.5600000000004</v>
      </c>
      <c r="E228" s="25">
        <f t="shared" si="3"/>
        <v>11.582068965517243</v>
      </c>
      <c r="F228" s="8">
        <v>1880</v>
      </c>
      <c r="G228" s="17" t="str">
        <f>VLOOKUP(B228, 'Catégorie des articles'!A:E, 4, FALSE)</f>
        <v>CREMERIE</v>
      </c>
      <c r="H228" s="14">
        <f>IF(Tableau5[[#This Row],[Stock Moyen (UVC)]]&gt;0,1,0)</f>
        <v>1</v>
      </c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>
      <c r="A229" s="17">
        <v>202207</v>
      </c>
      <c r="B229" s="15">
        <v>5540246175372</v>
      </c>
      <c r="C229" s="11">
        <v>2889</v>
      </c>
      <c r="D229" s="11">
        <v>11294.640000000001</v>
      </c>
      <c r="E229" s="25">
        <f t="shared" si="3"/>
        <v>3.9095327102803741</v>
      </c>
      <c r="F229" s="11">
        <v>174</v>
      </c>
      <c r="G229" s="17" t="str">
        <f>VLOOKUP(B229, 'Catégorie des articles'!A:E, 4, FALSE)</f>
        <v>BOULANGERIE</v>
      </c>
      <c r="H229" s="14">
        <f>IF(Tableau5[[#This Row],[Stock Moyen (UVC)]]&gt;0,1,0)</f>
        <v>1</v>
      </c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>
      <c r="A230" s="17">
        <v>202207</v>
      </c>
      <c r="B230" s="13">
        <v>5540246175461</v>
      </c>
      <c r="C230" s="8">
        <v>6014</v>
      </c>
      <c r="D230" s="8">
        <v>55427.328000000001</v>
      </c>
      <c r="E230" s="25">
        <f t="shared" si="3"/>
        <v>9.2163831060858001</v>
      </c>
      <c r="F230" s="8">
        <v>502</v>
      </c>
      <c r="G230" s="17" t="str">
        <f>VLOOKUP(B230, 'Catégorie des articles'!A:E, 4, FALSE)</f>
        <v>MIX LEGUMES</v>
      </c>
      <c r="H230" s="14">
        <f>IF(Tableau5[[#This Row],[Stock Moyen (UVC)]]&gt;0,1,0)</f>
        <v>1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>
      <c r="A231" s="17">
        <v>202207</v>
      </c>
      <c r="B231" s="13">
        <v>5540246176294</v>
      </c>
      <c r="C231" s="8">
        <v>75</v>
      </c>
      <c r="D231" s="8">
        <v>68.42880000000001</v>
      </c>
      <c r="E231" s="25">
        <f t="shared" si="3"/>
        <v>0.91238400000000008</v>
      </c>
      <c r="F231" s="8">
        <v>9615</v>
      </c>
      <c r="G231" s="17" t="str">
        <f>VLOOKUP(B231, 'Catégorie des articles'!A:E, 4, FALSE)</f>
        <v>CREMERIE</v>
      </c>
      <c r="H231" s="14">
        <f>IF(Tableau5[[#This Row],[Stock Moyen (UVC)]]&gt;0,1,0)</f>
        <v>1</v>
      </c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>
      <c r="A232" s="17">
        <v>202207</v>
      </c>
      <c r="B232" s="15">
        <v>5540246176295</v>
      </c>
      <c r="C232" s="11">
        <v>3675</v>
      </c>
      <c r="D232" s="11">
        <v>3387.2256000000002</v>
      </c>
      <c r="E232" s="25">
        <f t="shared" si="3"/>
        <v>0.92169404081632655</v>
      </c>
      <c r="F232" s="11">
        <v>44359</v>
      </c>
      <c r="G232" s="17" t="str">
        <f>VLOOKUP(B232, 'Catégorie des articles'!A:E, 4, FALSE)</f>
        <v>CREMERIE</v>
      </c>
      <c r="H232" s="14">
        <f>IF(Tableau5[[#This Row],[Stock Moyen (UVC)]]&gt;0,1,0)</f>
        <v>1</v>
      </c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>
      <c r="A233" s="17">
        <v>202207</v>
      </c>
      <c r="B233" s="15">
        <v>5540246176699</v>
      </c>
      <c r="C233" s="11">
        <v>0</v>
      </c>
      <c r="D233" s="11">
        <v>0</v>
      </c>
      <c r="E233" s="25" t="str">
        <f t="shared" si="3"/>
        <v/>
      </c>
      <c r="F233" s="11">
        <v>35288</v>
      </c>
      <c r="G233" s="17" t="str">
        <f>VLOOKUP(B233, 'Catégorie des articles'!A:E, 4, FALSE)</f>
        <v>CREMERIE</v>
      </c>
      <c r="H233" s="14">
        <f>IF(Tableau5[[#This Row],[Stock Moyen (UVC)]]&gt;0,1,0)</f>
        <v>0</v>
      </c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>
      <c r="A234" s="17">
        <v>202207</v>
      </c>
      <c r="B234" s="13">
        <v>5540246177132</v>
      </c>
      <c r="C234" s="8">
        <v>9976</v>
      </c>
      <c r="D234" s="8">
        <v>36594.720000000001</v>
      </c>
      <c r="E234" s="25">
        <f t="shared" si="3"/>
        <v>3.6682758620689655</v>
      </c>
      <c r="F234" s="8">
        <v>17168</v>
      </c>
      <c r="G234" s="17" t="str">
        <f>VLOOKUP(B234, 'Catégorie des articles'!A:E, 4, FALSE)</f>
        <v>MIX LEGUMES</v>
      </c>
      <c r="H234" s="14">
        <f>IF(Tableau5[[#This Row],[Stock Moyen (UVC)]]&gt;0,1,0)</f>
        <v>1</v>
      </c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>
      <c r="A235" s="17">
        <v>202207</v>
      </c>
      <c r="B235" s="15">
        <v>5540246177133</v>
      </c>
      <c r="C235" s="11">
        <v>12273</v>
      </c>
      <c r="D235" s="11">
        <v>44562.960000000006</v>
      </c>
      <c r="E235" s="25">
        <f t="shared" si="3"/>
        <v>3.6309753116597414</v>
      </c>
      <c r="F235" s="11">
        <v>13433</v>
      </c>
      <c r="G235" s="17" t="str">
        <f>VLOOKUP(B235, 'Catégorie des articles'!A:E, 4, FALSE)</f>
        <v>MIX LEGUMES</v>
      </c>
      <c r="H235" s="14">
        <f>IF(Tableau5[[#This Row],[Stock Moyen (UVC)]]&gt;0,1,0)</f>
        <v>1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>
      <c r="A236" s="17">
        <v>202207</v>
      </c>
      <c r="B236" s="15">
        <v>5540246177376</v>
      </c>
      <c r="C236" s="11">
        <v>230</v>
      </c>
      <c r="D236" s="11">
        <v>9066.8160000000007</v>
      </c>
      <c r="E236" s="25">
        <f t="shared" si="3"/>
        <v>39.420939130434789</v>
      </c>
      <c r="F236" s="11">
        <v>683</v>
      </c>
      <c r="G236" s="17" t="str">
        <f>VLOOKUP(B236, 'Catégorie des articles'!A:E, 4, FALSE)</f>
        <v>BOULANGERIE</v>
      </c>
      <c r="H236" s="14">
        <f>IF(Tableau5[[#This Row],[Stock Moyen (UVC)]]&gt;0,1,0)</f>
        <v>1</v>
      </c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75" customHeight="1">
      <c r="A237" s="17">
        <v>202207</v>
      </c>
      <c r="B237" s="15">
        <v>5540246180522</v>
      </c>
      <c r="C237" s="11">
        <v>548</v>
      </c>
      <c r="D237" s="11">
        <v>9583.4880000000012</v>
      </c>
      <c r="E237" s="25">
        <f t="shared" si="3"/>
        <v>17.488116788321172</v>
      </c>
      <c r="F237" s="11">
        <v>1193</v>
      </c>
      <c r="G237" s="17" t="str">
        <f>VLOOKUP(B237, 'Catégorie des articles'!A:E, 4, FALSE)</f>
        <v>BOULANGERIE</v>
      </c>
      <c r="H237" s="14">
        <f>IF(Tableau5[[#This Row],[Stock Moyen (UVC)]]&gt;0,1,0)</f>
        <v>1</v>
      </c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75" customHeight="1">
      <c r="A238" s="17">
        <v>202207</v>
      </c>
      <c r="B238" s="15">
        <v>5540246181016</v>
      </c>
      <c r="C238" s="11">
        <v>15507</v>
      </c>
      <c r="D238" s="11">
        <v>126731.86560000002</v>
      </c>
      <c r="E238" s="25">
        <f t="shared" si="3"/>
        <v>8.1725585606500299</v>
      </c>
      <c r="F238" s="11">
        <v>9772</v>
      </c>
      <c r="G238" s="17" t="str">
        <f>VLOOKUP(B238, 'Catégorie des articles'!A:E, 4, FALSE)</f>
        <v>VOLAILLE</v>
      </c>
      <c r="H238" s="14">
        <f>IF(Tableau5[[#This Row],[Stock Moyen (UVC)]]&gt;0,1,0)</f>
        <v>1</v>
      </c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75" customHeight="1">
      <c r="A239" s="17">
        <v>202207</v>
      </c>
      <c r="B239" s="13">
        <v>5540246181061</v>
      </c>
      <c r="C239" s="8">
        <v>32469</v>
      </c>
      <c r="D239" s="8">
        <v>39479.356800000001</v>
      </c>
      <c r="E239" s="25">
        <f t="shared" si="3"/>
        <v>1.2159092303427885</v>
      </c>
      <c r="F239" s="8">
        <v>46354</v>
      </c>
      <c r="G239" s="17" t="str">
        <f>VLOOKUP(B239, 'Catégorie des articles'!A:E, 4, FALSE)</f>
        <v>VOLAILLE</v>
      </c>
      <c r="H239" s="14">
        <f>IF(Tableau5[[#This Row],[Stock Moyen (UVC)]]&gt;0,1,0)</f>
        <v>1</v>
      </c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75" customHeight="1">
      <c r="A240" s="17">
        <v>202207</v>
      </c>
      <c r="B240" s="13">
        <v>5540246182684</v>
      </c>
      <c r="C240" s="8">
        <v>140</v>
      </c>
      <c r="D240" s="8">
        <v>6985.4400000000005</v>
      </c>
      <c r="E240" s="25">
        <f t="shared" si="3"/>
        <v>49.896000000000001</v>
      </c>
      <c r="F240" s="8">
        <v>161</v>
      </c>
      <c r="G240" s="17" t="str">
        <f>VLOOKUP(B240, 'Catégorie des articles'!A:E, 4, FALSE)</f>
        <v>BOULANGERIE</v>
      </c>
      <c r="H240" s="14">
        <f>IF(Tableau5[[#This Row],[Stock Moyen (UVC)]]&gt;0,1,0)</f>
        <v>1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75" customHeight="1">
      <c r="A241" s="17">
        <v>202207</v>
      </c>
      <c r="B241" s="13">
        <v>5540246183130</v>
      </c>
      <c r="C241" s="8">
        <v>5241</v>
      </c>
      <c r="D241" s="8">
        <v>22191.710400000004</v>
      </c>
      <c r="E241" s="25">
        <f t="shared" si="3"/>
        <v>4.2342511734401835</v>
      </c>
      <c r="F241" s="8">
        <v>5367</v>
      </c>
      <c r="G241" s="17" t="str">
        <f>VLOOKUP(B241, 'Catégorie des articles'!A:E, 4, FALSE)</f>
        <v>MIX LEGUMES</v>
      </c>
      <c r="H241" s="14">
        <f>IF(Tableau5[[#This Row],[Stock Moyen (UVC)]]&gt;0,1,0)</f>
        <v>1</v>
      </c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75" customHeight="1">
      <c r="A242" s="17">
        <v>202207</v>
      </c>
      <c r="B242" s="15">
        <v>5540246183455</v>
      </c>
      <c r="C242" s="11">
        <v>1764</v>
      </c>
      <c r="D242" s="11">
        <v>13855.103999999999</v>
      </c>
      <c r="E242" s="25">
        <f t="shared" si="3"/>
        <v>7.8543673469387754</v>
      </c>
      <c r="F242" s="11">
        <v>279</v>
      </c>
      <c r="G242" s="17" t="str">
        <f>VLOOKUP(B242, 'Catégorie des articles'!A:E, 4, FALSE)</f>
        <v>MIX LEGUMES</v>
      </c>
      <c r="H242" s="14">
        <f>IF(Tableau5[[#This Row],[Stock Moyen (UVC)]]&gt;0,1,0)</f>
        <v>1</v>
      </c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75" customHeight="1">
      <c r="A243" s="17">
        <v>202207</v>
      </c>
      <c r="B243" s="15">
        <v>5540246183537</v>
      </c>
      <c r="C243" s="11">
        <v>1782</v>
      </c>
      <c r="D243" s="11">
        <v>2504.9088000000002</v>
      </c>
      <c r="E243" s="25">
        <f t="shared" si="3"/>
        <v>1.4056727272727274</v>
      </c>
      <c r="F243" s="11">
        <v>2822</v>
      </c>
      <c r="G243" s="17" t="str">
        <f>VLOOKUP(B243, 'Catégorie des articles'!A:E, 4, FALSE)</f>
        <v>MIX LEGUMES</v>
      </c>
      <c r="H243" s="14">
        <f>IF(Tableau5[[#This Row],[Stock Moyen (UVC)]]&gt;0,1,0)</f>
        <v>1</v>
      </c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75" customHeight="1">
      <c r="A244" s="17">
        <v>202207</v>
      </c>
      <c r="B244" s="13">
        <v>5540246183538</v>
      </c>
      <c r="C244" s="8">
        <v>3286</v>
      </c>
      <c r="D244" s="8">
        <v>4312.5695999999998</v>
      </c>
      <c r="E244" s="25">
        <f t="shared" si="3"/>
        <v>1.3124070602556299</v>
      </c>
      <c r="F244" s="8">
        <v>2413</v>
      </c>
      <c r="G244" s="17" t="str">
        <f>VLOOKUP(B244, 'Catégorie des articles'!A:E, 4, FALSE)</f>
        <v>MIX LEGUMES</v>
      </c>
      <c r="H244" s="14">
        <f>IF(Tableau5[[#This Row],[Stock Moyen (UVC)]]&gt;0,1,0)</f>
        <v>1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75" customHeight="1">
      <c r="A245" s="17">
        <v>202207</v>
      </c>
      <c r="B245" s="15">
        <v>5540246183541</v>
      </c>
      <c r="C245" s="11">
        <v>1996</v>
      </c>
      <c r="D245" s="11">
        <v>17981.567999999999</v>
      </c>
      <c r="E245" s="25">
        <f t="shared" si="3"/>
        <v>9.0088016032064129</v>
      </c>
      <c r="F245" s="11">
        <v>511</v>
      </c>
      <c r="G245" s="17" t="str">
        <f>VLOOKUP(B245, 'Catégorie des articles'!A:E, 4, FALSE)</f>
        <v>MIX LEGUMES</v>
      </c>
      <c r="H245" s="14">
        <f>IF(Tableau5[[#This Row],[Stock Moyen (UVC)]]&gt;0,1,0)</f>
        <v>1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75" customHeight="1">
      <c r="A246" s="17">
        <v>202207</v>
      </c>
      <c r="B246" s="13">
        <v>5540246183542</v>
      </c>
      <c r="C246" s="8">
        <v>1253</v>
      </c>
      <c r="D246" s="8">
        <v>3522.5280000000002</v>
      </c>
      <c r="E246" s="25">
        <f t="shared" si="3"/>
        <v>2.8112753391859537</v>
      </c>
      <c r="F246" s="8">
        <v>0</v>
      </c>
      <c r="G246" s="17" t="str">
        <f>VLOOKUP(B246, 'Catégorie des articles'!A:E, 4, FALSE)</f>
        <v>MIX LEGUMES</v>
      </c>
      <c r="H246" s="14">
        <f>IF(Tableau5[[#This Row],[Stock Moyen (UVC)]]&gt;0,1,0)</f>
        <v>1</v>
      </c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75" customHeight="1">
      <c r="A247" s="17">
        <v>202207</v>
      </c>
      <c r="B247" s="13">
        <v>5540246183547</v>
      </c>
      <c r="C247" s="8">
        <v>12505</v>
      </c>
      <c r="D247" s="8">
        <v>128532.09600000001</v>
      </c>
      <c r="E247" s="25">
        <f t="shared" si="3"/>
        <v>10.278456297481007</v>
      </c>
      <c r="F247" s="8">
        <v>7390</v>
      </c>
      <c r="G247" s="17" t="str">
        <f>VLOOKUP(B247, 'Catégorie des articles'!A:E, 4, FALSE)</f>
        <v>VOLAILLE</v>
      </c>
      <c r="H247" s="14">
        <f>IF(Tableau5[[#This Row],[Stock Moyen (UVC)]]&gt;0,1,0)</f>
        <v>1</v>
      </c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75" customHeight="1">
      <c r="A248" s="17">
        <v>202207</v>
      </c>
      <c r="B248" s="13">
        <v>5540246183552</v>
      </c>
      <c r="C248" s="8">
        <v>541</v>
      </c>
      <c r="D248" s="8">
        <v>996.49440000000004</v>
      </c>
      <c r="E248" s="25">
        <f t="shared" si="3"/>
        <v>1.8419489833641405</v>
      </c>
      <c r="F248" s="8">
        <v>297</v>
      </c>
      <c r="G248" s="17" t="str">
        <f>VLOOKUP(B248, 'Catégorie des articles'!A:E, 4, FALSE)</f>
        <v>MIX LEGUMES</v>
      </c>
      <c r="H248" s="14">
        <f>IF(Tableau5[[#This Row],[Stock Moyen (UVC)]]&gt;0,1,0)</f>
        <v>1</v>
      </c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75" customHeight="1">
      <c r="A249" s="17">
        <v>202207</v>
      </c>
      <c r="B249" s="15">
        <v>5540246183554</v>
      </c>
      <c r="C249" s="11">
        <v>1546</v>
      </c>
      <c r="D249" s="11">
        <v>11612.073600000002</v>
      </c>
      <c r="E249" s="25">
        <f t="shared" si="3"/>
        <v>7.511043725743856</v>
      </c>
      <c r="F249" s="11">
        <v>0</v>
      </c>
      <c r="G249" s="17" t="str">
        <f>VLOOKUP(B249, 'Catégorie des articles'!A:E, 4, FALSE)</f>
        <v>MIX LEGUMES</v>
      </c>
      <c r="H249" s="14">
        <f>IF(Tableau5[[#This Row],[Stock Moyen (UVC)]]&gt;0,1,0)</f>
        <v>1</v>
      </c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2.75" customHeight="1">
      <c r="A250" s="17">
        <v>202207</v>
      </c>
      <c r="B250" s="13">
        <v>5540246183555</v>
      </c>
      <c r="C250" s="8">
        <v>1894</v>
      </c>
      <c r="D250" s="8">
        <v>2531.0448000000001</v>
      </c>
      <c r="E250" s="25">
        <f t="shared" si="3"/>
        <v>1.3363488912354806</v>
      </c>
      <c r="F250" s="8">
        <v>743</v>
      </c>
      <c r="G250" s="17" t="str">
        <f>VLOOKUP(B250, 'Catégorie des articles'!A:E, 4, FALSE)</f>
        <v>MIX LEGUMES</v>
      </c>
      <c r="H250" s="14">
        <f>IF(Tableau5[[#This Row],[Stock Moyen (UVC)]]&gt;0,1,0)</f>
        <v>1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2.75" customHeight="1">
      <c r="A251" s="17">
        <v>202207</v>
      </c>
      <c r="B251" s="15">
        <v>5540246183556</v>
      </c>
      <c r="C251" s="11">
        <v>919</v>
      </c>
      <c r="D251" s="11">
        <v>6894.2016000000012</v>
      </c>
      <c r="E251" s="25">
        <f t="shared" si="3"/>
        <v>7.5018515778019603</v>
      </c>
      <c r="F251" s="11">
        <v>919</v>
      </c>
      <c r="G251" s="17" t="str">
        <f>VLOOKUP(B251, 'Catégorie des articles'!A:E, 4, FALSE)</f>
        <v>MIX LEGUMES</v>
      </c>
      <c r="H251" s="14">
        <f>IF(Tableau5[[#This Row],[Stock Moyen (UVC)]]&gt;0,1,0)</f>
        <v>1</v>
      </c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2.75" customHeight="1">
      <c r="A252" s="17">
        <v>202207</v>
      </c>
      <c r="B252" s="13">
        <v>5540246183558</v>
      </c>
      <c r="C252" s="8">
        <v>5267</v>
      </c>
      <c r="D252" s="8">
        <v>29026.944</v>
      </c>
      <c r="E252" s="25">
        <f t="shared" si="3"/>
        <v>5.5110962597303965</v>
      </c>
      <c r="F252" s="8">
        <v>3364</v>
      </c>
      <c r="G252" s="17" t="str">
        <f>VLOOKUP(B252, 'Catégorie des articles'!A:E, 4, FALSE)</f>
        <v>MIX LEGUMES</v>
      </c>
      <c r="H252" s="14">
        <f>IF(Tableau5[[#This Row],[Stock Moyen (UVC)]]&gt;0,1,0)</f>
        <v>1</v>
      </c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2.75" customHeight="1">
      <c r="A253" s="17">
        <v>202207</v>
      </c>
      <c r="B253" s="15">
        <v>5540246183560</v>
      </c>
      <c r="C253" s="11">
        <v>307</v>
      </c>
      <c r="D253" s="11">
        <v>7470.1440000000011</v>
      </c>
      <c r="E253" s="25">
        <f t="shared" si="3"/>
        <v>24.332716612377855</v>
      </c>
      <c r="F253" s="11">
        <v>93</v>
      </c>
      <c r="G253" s="17" t="str">
        <f>VLOOKUP(B253, 'Catégorie des articles'!A:E, 4, FALSE)</f>
        <v>MIX LEGUMES</v>
      </c>
      <c r="H253" s="14">
        <f>IF(Tableau5[[#This Row],[Stock Moyen (UVC)]]&gt;0,1,0)</f>
        <v>1</v>
      </c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2.75" customHeight="1">
      <c r="A254" s="17">
        <v>202207</v>
      </c>
      <c r="B254" s="13">
        <v>5540246183562</v>
      </c>
      <c r="C254" s="8">
        <v>10023</v>
      </c>
      <c r="D254" s="8">
        <v>32285.952000000005</v>
      </c>
      <c r="E254" s="25">
        <f t="shared" si="3"/>
        <v>3.2211864711164329</v>
      </c>
      <c r="F254" s="8">
        <v>4084</v>
      </c>
      <c r="G254" s="17" t="str">
        <f>VLOOKUP(B254, 'Catégorie des articles'!A:E, 4, FALSE)</f>
        <v>MIX LEGUMES</v>
      </c>
      <c r="H254" s="14">
        <f>IF(Tableau5[[#This Row],[Stock Moyen (UVC)]]&gt;0,1,0)</f>
        <v>1</v>
      </c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2.75" customHeight="1">
      <c r="A255" s="17">
        <v>202207</v>
      </c>
      <c r="B255" s="13">
        <v>5540246183587</v>
      </c>
      <c r="C255" s="8">
        <v>516</v>
      </c>
      <c r="D255" s="8">
        <v>10846.742400000001</v>
      </c>
      <c r="E255" s="25">
        <f t="shared" si="3"/>
        <v>21.020818604651165</v>
      </c>
      <c r="F255" s="8">
        <v>578</v>
      </c>
      <c r="G255" s="17" t="str">
        <f>VLOOKUP(B255, 'Catégorie des articles'!A:E, 4, FALSE)</f>
        <v>MIX LEGUMES</v>
      </c>
      <c r="H255" s="14">
        <f>IF(Tableau5[[#This Row],[Stock Moyen (UVC)]]&gt;0,1,0)</f>
        <v>1</v>
      </c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2.75" customHeight="1">
      <c r="A256" s="17">
        <v>202207</v>
      </c>
      <c r="B256" s="15">
        <v>5540246183589</v>
      </c>
      <c r="C256" s="11">
        <v>2622</v>
      </c>
      <c r="D256" s="11">
        <v>34561.728000000003</v>
      </c>
      <c r="E256" s="25">
        <f t="shared" si="3"/>
        <v>13.181437070938216</v>
      </c>
      <c r="F256" s="11">
        <v>1056</v>
      </c>
      <c r="G256" s="17" t="str">
        <f>VLOOKUP(B256, 'Catégorie des articles'!A:E, 4, FALSE)</f>
        <v>MIX LEGUMES</v>
      </c>
      <c r="H256" s="14">
        <f>IF(Tableau5[[#This Row],[Stock Moyen (UVC)]]&gt;0,1,0)</f>
        <v>1</v>
      </c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2.75" customHeight="1">
      <c r="A257" s="17">
        <v>202207</v>
      </c>
      <c r="B257" s="13">
        <v>5540246183590</v>
      </c>
      <c r="C257" s="8">
        <v>2318</v>
      </c>
      <c r="D257" s="8">
        <v>32151.816000000003</v>
      </c>
      <c r="E257" s="25">
        <f t="shared" si="3"/>
        <v>13.870498705780847</v>
      </c>
      <c r="F257" s="8">
        <v>0</v>
      </c>
      <c r="G257" s="17" t="str">
        <f>VLOOKUP(B257, 'Catégorie des articles'!A:E, 4, FALSE)</f>
        <v>MIX LEGUMES</v>
      </c>
      <c r="H257" s="14">
        <f>IF(Tableau5[[#This Row],[Stock Moyen (UVC)]]&gt;0,1,0)</f>
        <v>1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2.75" customHeight="1">
      <c r="A258" s="17">
        <v>202207</v>
      </c>
      <c r="B258" s="13">
        <v>5540246183844</v>
      </c>
      <c r="C258" s="8">
        <v>226</v>
      </c>
      <c r="D258" s="8">
        <v>6495.1200000000008</v>
      </c>
      <c r="E258" s="25">
        <f t="shared" si="3"/>
        <v>28.739469026548676</v>
      </c>
      <c r="F258" s="8">
        <v>181</v>
      </c>
      <c r="G258" s="17" t="str">
        <f>VLOOKUP(B258, 'Catégorie des articles'!A:E, 4, FALSE)</f>
        <v>BOULANGERIE</v>
      </c>
      <c r="H258" s="14">
        <f>IF(Tableau5[[#This Row],[Stock Moyen (UVC)]]&gt;0,1,0)</f>
        <v>1</v>
      </c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.75" customHeight="1">
      <c r="A259" s="17">
        <v>202207</v>
      </c>
      <c r="B259" s="13">
        <v>5540246184036</v>
      </c>
      <c r="C259" s="8">
        <v>244</v>
      </c>
      <c r="D259" s="8">
        <v>4173.12</v>
      </c>
      <c r="E259" s="25">
        <f t="shared" ref="E259:E322" si="4">IF(C259=0,"",D259/C259)</f>
        <v>17.102950819672131</v>
      </c>
      <c r="F259" s="8">
        <v>119</v>
      </c>
      <c r="G259" s="17" t="str">
        <f>VLOOKUP(B259, 'Catégorie des articles'!A:E, 4, FALSE)</f>
        <v>BOULANGERIE</v>
      </c>
      <c r="H259" s="14">
        <f>IF(Tableau5[[#This Row],[Stock Moyen (UVC)]]&gt;0,1,0)</f>
        <v>1</v>
      </c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2.75" customHeight="1">
      <c r="A260" s="17">
        <v>202207</v>
      </c>
      <c r="B260" s="13">
        <v>5540246184617</v>
      </c>
      <c r="C260" s="8">
        <v>12528</v>
      </c>
      <c r="D260" s="8">
        <v>17729.280000000002</v>
      </c>
      <c r="E260" s="25">
        <f t="shared" si="4"/>
        <v>1.4151724137931037</v>
      </c>
      <c r="F260" s="8">
        <v>12621</v>
      </c>
      <c r="G260" s="17" t="str">
        <f>VLOOKUP(B260, 'Catégorie des articles'!A:E, 4, FALSE)</f>
        <v>MIX LEGUMES</v>
      </c>
      <c r="H260" s="14">
        <f>IF(Tableau5[[#This Row],[Stock Moyen (UVC)]]&gt;0,1,0)</f>
        <v>1</v>
      </c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2.75" customHeight="1">
      <c r="A261" s="17">
        <v>202207</v>
      </c>
      <c r="B261" s="13">
        <v>5540246185278</v>
      </c>
      <c r="C261" s="8">
        <v>6840</v>
      </c>
      <c r="D261" s="8">
        <v>6749.7408000000005</v>
      </c>
      <c r="E261" s="25">
        <f t="shared" si="4"/>
        <v>0.98680421052631584</v>
      </c>
      <c r="F261" s="8">
        <v>24094</v>
      </c>
      <c r="G261" s="17" t="str">
        <f>VLOOKUP(B261, 'Catégorie des articles'!A:E, 4, FALSE)</f>
        <v>VOLAILLE</v>
      </c>
      <c r="H261" s="14">
        <f>IF(Tableau5[[#This Row],[Stock Moyen (UVC)]]&gt;0,1,0)</f>
        <v>1</v>
      </c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2.75" customHeight="1">
      <c r="A262" s="17">
        <v>202207</v>
      </c>
      <c r="B262" s="15">
        <v>5540246185429</v>
      </c>
      <c r="C262" s="11">
        <v>70</v>
      </c>
      <c r="D262" s="11">
        <v>368.06400000000002</v>
      </c>
      <c r="E262" s="25">
        <f t="shared" si="4"/>
        <v>5.258057142857143</v>
      </c>
      <c r="F262" s="11">
        <v>397</v>
      </c>
      <c r="G262" s="17" t="str">
        <f>VLOOKUP(B262, 'Catégorie des articles'!A:E, 4, FALSE)</f>
        <v>CREMERIE</v>
      </c>
      <c r="H262" s="14">
        <f>IF(Tableau5[[#This Row],[Stock Moyen (UVC)]]&gt;0,1,0)</f>
        <v>1</v>
      </c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2.75" customHeight="1">
      <c r="A263" s="17">
        <v>202207</v>
      </c>
      <c r="B263" s="15">
        <v>5540246185562</v>
      </c>
      <c r="C263" s="11">
        <v>251</v>
      </c>
      <c r="D263" s="11">
        <v>727.83360000000005</v>
      </c>
      <c r="E263" s="25">
        <f t="shared" si="4"/>
        <v>2.8997354581673309</v>
      </c>
      <c r="F263" s="11">
        <v>126</v>
      </c>
      <c r="G263" s="17" t="str">
        <f>VLOOKUP(B263, 'Catégorie des articles'!A:E, 4, FALSE)</f>
        <v>CREMERIE</v>
      </c>
      <c r="H263" s="14">
        <f>IF(Tableau5[[#This Row],[Stock Moyen (UVC)]]&gt;0,1,0)</f>
        <v>1</v>
      </c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2.75" customHeight="1">
      <c r="A264" s="17">
        <v>202207</v>
      </c>
      <c r="B264" s="13">
        <v>5540246185627</v>
      </c>
      <c r="C264" s="8">
        <v>5</v>
      </c>
      <c r="D264" s="8">
        <v>2685.3120000000004</v>
      </c>
      <c r="E264" s="25">
        <f t="shared" si="4"/>
        <v>537.06240000000003</v>
      </c>
      <c r="F264" s="8">
        <v>0</v>
      </c>
      <c r="G264" s="17" t="str">
        <f>VLOOKUP(B264, 'Catégorie des articles'!A:E, 4, FALSE)</f>
        <v>EMBALLAGES</v>
      </c>
      <c r="H264" s="14">
        <f>IF(Tableau5[[#This Row],[Stock Moyen (UVC)]]&gt;0,1,0)</f>
        <v>1</v>
      </c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2.75" customHeight="1">
      <c r="A265" s="17">
        <v>202207</v>
      </c>
      <c r="B265" s="13">
        <v>5540246186010</v>
      </c>
      <c r="C265" s="8">
        <v>121</v>
      </c>
      <c r="D265" s="8">
        <v>17771.270400000001</v>
      </c>
      <c r="E265" s="25">
        <f t="shared" si="4"/>
        <v>146.87000330578513</v>
      </c>
      <c r="F265" s="8">
        <v>3</v>
      </c>
      <c r="G265" s="17" t="str">
        <f>VLOOKUP(B265, 'Catégorie des articles'!A:E, 4, FALSE)</f>
        <v>EMBALLAGES</v>
      </c>
      <c r="H265" s="14">
        <f>IF(Tableau5[[#This Row],[Stock Moyen (UVC)]]&gt;0,1,0)</f>
        <v>1</v>
      </c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.75" customHeight="1">
      <c r="A266" s="17">
        <v>202207</v>
      </c>
      <c r="B266" s="15">
        <v>5540246186011</v>
      </c>
      <c r="C266" s="11">
        <v>110</v>
      </c>
      <c r="D266" s="11">
        <v>6208.9632000000001</v>
      </c>
      <c r="E266" s="25">
        <f t="shared" si="4"/>
        <v>56.445120000000003</v>
      </c>
      <c r="F266" s="11">
        <v>3</v>
      </c>
      <c r="G266" s="17" t="str">
        <f>VLOOKUP(B266, 'Catégorie des articles'!A:E, 4, FALSE)</f>
        <v>EMBALLAGES</v>
      </c>
      <c r="H266" s="14">
        <f>IF(Tableau5[[#This Row],[Stock Moyen (UVC)]]&gt;0,1,0)</f>
        <v>1</v>
      </c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2.75" customHeight="1">
      <c r="A267" s="17">
        <v>202207</v>
      </c>
      <c r="B267" s="13">
        <v>5540246186017</v>
      </c>
      <c r="C267" s="8">
        <v>77</v>
      </c>
      <c r="D267" s="8">
        <v>8105.9616000000015</v>
      </c>
      <c r="E267" s="25">
        <f t="shared" si="4"/>
        <v>105.27222857142858</v>
      </c>
      <c r="F267" s="8">
        <v>3</v>
      </c>
      <c r="G267" s="17" t="str">
        <f>VLOOKUP(B267, 'Catégorie des articles'!A:E, 4, FALSE)</f>
        <v>EMBALLAGES</v>
      </c>
      <c r="H267" s="14">
        <f>IF(Tableau5[[#This Row],[Stock Moyen (UVC)]]&gt;0,1,0)</f>
        <v>1</v>
      </c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75" customHeight="1">
      <c r="A268" s="17">
        <v>202207</v>
      </c>
      <c r="B268" s="15">
        <v>5540246186325</v>
      </c>
      <c r="C268" s="11">
        <v>279</v>
      </c>
      <c r="D268" s="11">
        <v>684.28800000000012</v>
      </c>
      <c r="E268" s="25">
        <f t="shared" si="4"/>
        <v>2.4526451612903228</v>
      </c>
      <c r="F268" s="11">
        <v>307</v>
      </c>
      <c r="G268" s="17" t="str">
        <f>VLOOKUP(B268, 'Catégorie des articles'!A:E, 4, FALSE)</f>
        <v>CREMERIE</v>
      </c>
      <c r="H268" s="14">
        <f>IF(Tableau5[[#This Row],[Stock Moyen (UVC)]]&gt;0,1,0)</f>
        <v>1</v>
      </c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2.75" customHeight="1">
      <c r="A269" s="17">
        <v>202207</v>
      </c>
      <c r="B269" s="15">
        <v>5540246186351</v>
      </c>
      <c r="C269" s="11">
        <v>1740</v>
      </c>
      <c r="D269" s="11">
        <v>103129.20000000001</v>
      </c>
      <c r="E269" s="25">
        <f t="shared" si="4"/>
        <v>59.269655172413799</v>
      </c>
      <c r="F269" s="11">
        <v>223</v>
      </c>
      <c r="G269" s="17" t="str">
        <f>VLOOKUP(B269, 'Catégorie des articles'!A:E, 4, FALSE)</f>
        <v>MIX LEGUMES</v>
      </c>
      <c r="H269" s="14">
        <f>IF(Tableau5[[#This Row],[Stock Moyen (UVC)]]&gt;0,1,0)</f>
        <v>1</v>
      </c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2.75" customHeight="1">
      <c r="A270" s="17">
        <v>202207</v>
      </c>
      <c r="B270" s="13">
        <v>5540246186352</v>
      </c>
      <c r="C270" s="8">
        <v>9675</v>
      </c>
      <c r="D270" s="8">
        <v>101781.36</v>
      </c>
      <c r="E270" s="25">
        <f t="shared" si="4"/>
        <v>10.520037209302325</v>
      </c>
      <c r="F270" s="8">
        <v>1474</v>
      </c>
      <c r="G270" s="17" t="str">
        <f>VLOOKUP(B270, 'Catégorie des articles'!A:E, 4, FALSE)</f>
        <v>MIX LEGUMES</v>
      </c>
      <c r="H270" s="14">
        <f>IF(Tableau5[[#This Row],[Stock Moyen (UVC)]]&gt;0,1,0)</f>
        <v>1</v>
      </c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2.75" customHeight="1">
      <c r="A271" s="17">
        <v>202207</v>
      </c>
      <c r="B271" s="13">
        <v>5540246187882</v>
      </c>
      <c r="C271" s="8">
        <v>70</v>
      </c>
      <c r="D271" s="8">
        <v>2670.0191999999997</v>
      </c>
      <c r="E271" s="25">
        <f t="shared" si="4"/>
        <v>38.143131428571422</v>
      </c>
      <c r="F271" s="8">
        <v>3</v>
      </c>
      <c r="G271" s="17" t="str">
        <f>VLOOKUP(B271, 'Catégorie des articles'!A:E, 4, FALSE)</f>
        <v>EMBALLAGES</v>
      </c>
      <c r="H271" s="14">
        <f>IF(Tableau5[[#This Row],[Stock Moyen (UVC)]]&gt;0,1,0)</f>
        <v>1</v>
      </c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2.75" customHeight="1">
      <c r="A272" s="17">
        <v>202207</v>
      </c>
      <c r="B272" s="15">
        <v>5540246187987</v>
      </c>
      <c r="C272" s="11">
        <v>0</v>
      </c>
      <c r="D272" s="11">
        <v>0</v>
      </c>
      <c r="E272" s="25" t="str">
        <f t="shared" si="4"/>
        <v/>
      </c>
      <c r="F272" s="11">
        <v>21215</v>
      </c>
      <c r="G272" s="17" t="str">
        <f>VLOOKUP(B272, 'Catégorie des articles'!A:E, 4, FALSE)</f>
        <v>CREMERIE</v>
      </c>
      <c r="H272" s="14">
        <f>IF(Tableau5[[#This Row],[Stock Moyen (UVC)]]&gt;0,1,0)</f>
        <v>0</v>
      </c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2.75" customHeight="1">
      <c r="A273" s="17">
        <v>202207</v>
      </c>
      <c r="B273" s="13">
        <v>5540246187995</v>
      </c>
      <c r="C273" s="8">
        <v>1866</v>
      </c>
      <c r="D273" s="8">
        <v>163626.22080000001</v>
      </c>
      <c r="E273" s="25">
        <f t="shared" si="4"/>
        <v>87.688221221864964</v>
      </c>
      <c r="F273" s="8">
        <v>418</v>
      </c>
      <c r="G273" s="17" t="str">
        <f>VLOOKUP(B273, 'Catégorie des articles'!A:E, 4, FALSE)</f>
        <v>EMBALLAGES</v>
      </c>
      <c r="H273" s="14">
        <f>IF(Tableau5[[#This Row],[Stock Moyen (UVC)]]&gt;0,1,0)</f>
        <v>1</v>
      </c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2.75" customHeight="1">
      <c r="A274" s="17">
        <v>202207</v>
      </c>
      <c r="B274" s="15">
        <v>5540246187996</v>
      </c>
      <c r="C274" s="11">
        <v>335</v>
      </c>
      <c r="D274" s="11">
        <v>15446.246400000002</v>
      </c>
      <c r="E274" s="25">
        <f t="shared" si="4"/>
        <v>46.10819820895523</v>
      </c>
      <c r="F274" s="11">
        <v>7</v>
      </c>
      <c r="G274" s="17" t="str">
        <f>VLOOKUP(B274, 'Catégorie des articles'!A:E, 4, FALSE)</f>
        <v>EMBALLAGES</v>
      </c>
      <c r="H274" s="14">
        <f>IF(Tableau5[[#This Row],[Stock Moyen (UVC)]]&gt;0,1,0)</f>
        <v>1</v>
      </c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2.75" customHeight="1">
      <c r="A275" s="17">
        <v>202207</v>
      </c>
      <c r="B275" s="13">
        <v>5540246187997</v>
      </c>
      <c r="C275" s="8">
        <v>253</v>
      </c>
      <c r="D275" s="8">
        <v>12633.7104</v>
      </c>
      <c r="E275" s="25">
        <f t="shared" si="4"/>
        <v>49.935614229249012</v>
      </c>
      <c r="F275" s="8">
        <v>38</v>
      </c>
      <c r="G275" s="17" t="str">
        <f>VLOOKUP(B275, 'Catégorie des articles'!A:E, 4, FALSE)</f>
        <v>EMBALLAGES</v>
      </c>
      <c r="H275" s="14">
        <f>IF(Tableau5[[#This Row],[Stock Moyen (UVC)]]&gt;0,1,0)</f>
        <v>1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2.75" customHeight="1">
      <c r="A276" s="17">
        <v>202207</v>
      </c>
      <c r="B276" s="15">
        <v>5540246187998</v>
      </c>
      <c r="C276" s="11">
        <v>474</v>
      </c>
      <c r="D276" s="11">
        <v>24332.140800000001</v>
      </c>
      <c r="E276" s="25">
        <f t="shared" si="4"/>
        <v>51.333630379746836</v>
      </c>
      <c r="F276" s="11">
        <v>223</v>
      </c>
      <c r="G276" s="17" t="str">
        <f>VLOOKUP(B276, 'Catégorie des articles'!A:E, 4, FALSE)</f>
        <v>EMBALLAGES</v>
      </c>
      <c r="H276" s="14">
        <f>IF(Tableau5[[#This Row],[Stock Moyen (UVC)]]&gt;0,1,0)</f>
        <v>1</v>
      </c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2.75" customHeight="1">
      <c r="A277" s="17">
        <v>202207</v>
      </c>
      <c r="B277" s="13">
        <v>5540246188047</v>
      </c>
      <c r="C277" s="8">
        <v>314</v>
      </c>
      <c r="D277" s="8">
        <v>38152.944000000003</v>
      </c>
      <c r="E277" s="25">
        <f t="shared" si="4"/>
        <v>121.50619108280256</v>
      </c>
      <c r="F277" s="8">
        <v>21</v>
      </c>
      <c r="G277" s="17" t="str">
        <f>VLOOKUP(B277, 'Catégorie des articles'!A:E, 4, FALSE)</f>
        <v>EMBALLAGES</v>
      </c>
      <c r="H277" s="14">
        <f>IF(Tableau5[[#This Row],[Stock Moyen (UVC)]]&gt;0,1,0)</f>
        <v>1</v>
      </c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2.75" customHeight="1">
      <c r="A278" s="17">
        <v>202207</v>
      </c>
      <c r="B278" s="13">
        <v>5540246188175</v>
      </c>
      <c r="C278" s="8">
        <v>84</v>
      </c>
      <c r="D278" s="8">
        <v>2384.1215999999999</v>
      </c>
      <c r="E278" s="25">
        <f t="shared" si="4"/>
        <v>28.382400000000001</v>
      </c>
      <c r="F278" s="8">
        <v>353</v>
      </c>
      <c r="G278" s="17" t="str">
        <f>VLOOKUP(B278, 'Catégorie des articles'!A:E, 4, FALSE)</f>
        <v>CREMERIE</v>
      </c>
      <c r="H278" s="14">
        <f>IF(Tableau5[[#This Row],[Stock Moyen (UVC)]]&gt;0,1,0)</f>
        <v>1</v>
      </c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2.75" customHeight="1">
      <c r="A279" s="17">
        <v>202207</v>
      </c>
      <c r="B279" s="15">
        <v>5540246188200</v>
      </c>
      <c r="C279" s="11">
        <v>0</v>
      </c>
      <c r="D279" s="11">
        <v>0</v>
      </c>
      <c r="E279" s="25" t="str">
        <f t="shared" si="4"/>
        <v/>
      </c>
      <c r="F279" s="11">
        <v>10505</v>
      </c>
      <c r="G279" s="17" t="str">
        <f>VLOOKUP(B279, 'Catégorie des articles'!A:E, 4, FALSE)</f>
        <v>CREMERIE</v>
      </c>
      <c r="H279" s="14">
        <f>IF(Tableau5[[#This Row],[Stock Moyen (UVC)]]&gt;0,1,0)</f>
        <v>0</v>
      </c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2.75" customHeight="1">
      <c r="A280" s="17">
        <v>202207</v>
      </c>
      <c r="B280" s="15">
        <v>5540246188224</v>
      </c>
      <c r="C280" s="11">
        <v>19024</v>
      </c>
      <c r="D280" s="11">
        <v>22317.120000000003</v>
      </c>
      <c r="E280" s="25">
        <f t="shared" si="4"/>
        <v>1.1731034482758622</v>
      </c>
      <c r="F280" s="11">
        <v>3944</v>
      </c>
      <c r="G280" s="17" t="str">
        <f>VLOOKUP(B280, 'Catégorie des articles'!A:E, 4, FALSE)</f>
        <v>VOLAILLE</v>
      </c>
      <c r="H280" s="14">
        <f>IF(Tableau5[[#This Row],[Stock Moyen (UVC)]]&gt;0,1,0)</f>
        <v>1</v>
      </c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2.75" customHeight="1">
      <c r="A281" s="17">
        <v>202207</v>
      </c>
      <c r="B281" s="13">
        <v>5540246188512</v>
      </c>
      <c r="C281" s="8">
        <v>351</v>
      </c>
      <c r="D281" s="8">
        <v>48023.798400000007</v>
      </c>
      <c r="E281" s="25">
        <f t="shared" si="4"/>
        <v>136.81993846153847</v>
      </c>
      <c r="F281" s="8">
        <v>5</v>
      </c>
      <c r="G281" s="17" t="str">
        <f>VLOOKUP(B281, 'Catégorie des articles'!A:E, 4, FALSE)</f>
        <v>EMBALLAGES</v>
      </c>
      <c r="H281" s="14">
        <f>IF(Tableau5[[#This Row],[Stock Moyen (UVC)]]&gt;0,1,0)</f>
        <v>1</v>
      </c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2.75" customHeight="1">
      <c r="A282" s="17">
        <v>202207</v>
      </c>
      <c r="B282" s="15">
        <v>5540246188583</v>
      </c>
      <c r="C282" s="11">
        <v>5513</v>
      </c>
      <c r="D282" s="11">
        <v>19738.296000000002</v>
      </c>
      <c r="E282" s="25">
        <f t="shared" si="4"/>
        <v>3.5803185198621446</v>
      </c>
      <c r="F282" s="11">
        <v>7517</v>
      </c>
      <c r="G282" s="17" t="str">
        <f>VLOOKUP(B282, 'Catégorie des articles'!A:E, 4, FALSE)</f>
        <v>BOULANGERIE</v>
      </c>
      <c r="H282" s="14">
        <f>IF(Tableau5[[#This Row],[Stock Moyen (UVC)]]&gt;0,1,0)</f>
        <v>1</v>
      </c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2.75" customHeight="1">
      <c r="A283" s="17">
        <v>202207</v>
      </c>
      <c r="B283" s="15">
        <v>5540246188647</v>
      </c>
      <c r="C283" s="11">
        <v>1798</v>
      </c>
      <c r="D283" s="11">
        <v>26616.600000000002</v>
      </c>
      <c r="E283" s="25">
        <f t="shared" si="4"/>
        <v>14.80344827586207</v>
      </c>
      <c r="F283" s="11">
        <v>93</v>
      </c>
      <c r="G283" s="17" t="str">
        <f>VLOOKUP(B283, 'Catégorie des articles'!A:E, 4, FALSE)</f>
        <v>MIX LEGUMES</v>
      </c>
      <c r="H283" s="14">
        <f>IF(Tableau5[[#This Row],[Stock Moyen (UVC)]]&gt;0,1,0)</f>
        <v>1</v>
      </c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2.75" customHeight="1">
      <c r="A284" s="17">
        <v>202207</v>
      </c>
      <c r="B284" s="15">
        <v>5540246190092</v>
      </c>
      <c r="C284" s="11">
        <v>228</v>
      </c>
      <c r="D284" s="11">
        <v>31464.1152</v>
      </c>
      <c r="E284" s="25">
        <f t="shared" si="4"/>
        <v>138.00050526315789</v>
      </c>
      <c r="F284" s="11">
        <v>31</v>
      </c>
      <c r="G284" s="17" t="str">
        <f>VLOOKUP(B284, 'Catégorie des articles'!A:E, 4, FALSE)</f>
        <v>EMBALLAGES</v>
      </c>
      <c r="H284" s="14">
        <f>IF(Tableau5[[#This Row],[Stock Moyen (UVC)]]&gt;0,1,0)</f>
        <v>1</v>
      </c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2.75" customHeight="1">
      <c r="A285" s="17">
        <v>202207</v>
      </c>
      <c r="B285" s="13">
        <v>5540246190097</v>
      </c>
      <c r="C285" s="8">
        <v>1271</v>
      </c>
      <c r="D285" s="8">
        <v>31824.489600000001</v>
      </c>
      <c r="E285" s="25">
        <f t="shared" si="4"/>
        <v>25.038937529504327</v>
      </c>
      <c r="F285" s="8">
        <v>1256</v>
      </c>
      <c r="G285" s="17" t="str">
        <f>VLOOKUP(B285, 'Catégorie des articles'!A:E, 4, FALSE)</f>
        <v>VOLAILLE</v>
      </c>
      <c r="H285" s="14">
        <f>IF(Tableau5[[#This Row],[Stock Moyen (UVC)]]&gt;0,1,0)</f>
        <v>1</v>
      </c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2.75" customHeight="1">
      <c r="A286" s="17">
        <v>202207</v>
      </c>
      <c r="B286" s="13">
        <v>5540246190727</v>
      </c>
      <c r="C286" s="8">
        <v>1636</v>
      </c>
      <c r="D286" s="8">
        <v>18483.768</v>
      </c>
      <c r="E286" s="25">
        <f t="shared" si="4"/>
        <v>11.298146699266503</v>
      </c>
      <c r="F286" s="8">
        <v>534</v>
      </c>
      <c r="G286" s="17" t="str">
        <f>VLOOKUP(B286, 'Catégorie des articles'!A:E, 4, FALSE)</f>
        <v>BOULANGERIE</v>
      </c>
      <c r="H286" s="14">
        <f>IF(Tableau5[[#This Row],[Stock Moyen (UVC)]]&gt;0,1,0)</f>
        <v>1</v>
      </c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2.75" customHeight="1">
      <c r="A287" s="17">
        <v>202207</v>
      </c>
      <c r="B287" s="15">
        <v>5540246190743</v>
      </c>
      <c r="C287" s="11">
        <v>195</v>
      </c>
      <c r="D287" s="11">
        <v>1654.7328000000002</v>
      </c>
      <c r="E287" s="25">
        <f t="shared" si="4"/>
        <v>8.4858092307692328</v>
      </c>
      <c r="F287" s="11">
        <v>696</v>
      </c>
      <c r="G287" s="17" t="str">
        <f>VLOOKUP(B287, 'Catégorie des articles'!A:E, 4, FALSE)</f>
        <v>CREMERIE</v>
      </c>
      <c r="H287" s="14">
        <f>IF(Tableau5[[#This Row],[Stock Moyen (UVC)]]&gt;0,1,0)</f>
        <v>1</v>
      </c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2.75" customHeight="1">
      <c r="A288" s="17">
        <v>202207</v>
      </c>
      <c r="B288" s="15">
        <v>5540246190831</v>
      </c>
      <c r="C288" s="11">
        <v>1300</v>
      </c>
      <c r="D288" s="11">
        <v>9775.9872000000014</v>
      </c>
      <c r="E288" s="25">
        <f t="shared" si="4"/>
        <v>7.5199901538461553</v>
      </c>
      <c r="F288" s="11">
        <v>0</v>
      </c>
      <c r="G288" s="17" t="str">
        <f>VLOOKUP(B288, 'Catégorie des articles'!A:E, 4, FALSE)</f>
        <v>MIX LEGUMES</v>
      </c>
      <c r="H288" s="14">
        <f>IF(Tableau5[[#This Row],[Stock Moyen (UVC)]]&gt;0,1,0)</f>
        <v>1</v>
      </c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2.75" customHeight="1">
      <c r="A289" s="17">
        <v>202207</v>
      </c>
      <c r="B289" s="13">
        <v>5540246190835</v>
      </c>
      <c r="C289" s="8">
        <v>135</v>
      </c>
      <c r="D289" s="8">
        <v>28443.571200000002</v>
      </c>
      <c r="E289" s="25">
        <f t="shared" si="4"/>
        <v>210.69312000000002</v>
      </c>
      <c r="F289" s="8">
        <v>19</v>
      </c>
      <c r="G289" s="17" t="str">
        <f>VLOOKUP(B289, 'Catégorie des articles'!A:E, 4, FALSE)</f>
        <v>BOULANGERIE</v>
      </c>
      <c r="H289" s="14">
        <f>IF(Tableau5[[#This Row],[Stock Moyen (UVC)]]&gt;0,1,0)</f>
        <v>1</v>
      </c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2.75" customHeight="1">
      <c r="A290" s="17">
        <v>202207</v>
      </c>
      <c r="B290" s="15">
        <v>5540246191380</v>
      </c>
      <c r="C290" s="11">
        <v>418</v>
      </c>
      <c r="D290" s="11">
        <v>1975.104</v>
      </c>
      <c r="E290" s="25">
        <f t="shared" si="4"/>
        <v>4.7251291866028708</v>
      </c>
      <c r="F290" s="11">
        <v>0</v>
      </c>
      <c r="G290" s="17" t="str">
        <f>VLOOKUP(B290, 'Catégorie des articles'!A:E, 4, FALSE)</f>
        <v>CREMERIE</v>
      </c>
      <c r="H290" s="14">
        <f>IF(Tableau5[[#This Row],[Stock Moyen (UVC)]]&gt;0,1,0)</f>
        <v>1</v>
      </c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2.75" customHeight="1">
      <c r="A291" s="17">
        <v>202207</v>
      </c>
      <c r="B291" s="13">
        <v>5540246191394</v>
      </c>
      <c r="C291" s="8">
        <v>2436</v>
      </c>
      <c r="D291" s="8">
        <v>13009.248000000001</v>
      </c>
      <c r="E291" s="25">
        <f t="shared" si="4"/>
        <v>5.3404137931034485</v>
      </c>
      <c r="F291" s="8">
        <v>464</v>
      </c>
      <c r="G291" s="17" t="str">
        <f>VLOOKUP(B291, 'Catégorie des articles'!A:E, 4, FALSE)</f>
        <v>CREMERIE</v>
      </c>
      <c r="H291" s="14">
        <f>IF(Tableau5[[#This Row],[Stock Moyen (UVC)]]&gt;0,1,0)</f>
        <v>1</v>
      </c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2.75" customHeight="1">
      <c r="A292" s="17">
        <v>202207</v>
      </c>
      <c r="B292" s="13">
        <v>5540246191596</v>
      </c>
      <c r="C292" s="8">
        <v>346</v>
      </c>
      <c r="D292" s="8">
        <v>19297.526400000002</v>
      </c>
      <c r="E292" s="25">
        <f t="shared" si="4"/>
        <v>55.773197687861277</v>
      </c>
      <c r="F292" s="8">
        <v>156</v>
      </c>
      <c r="G292" s="17" t="str">
        <f>VLOOKUP(B292, 'Catégorie des articles'!A:E, 4, FALSE)</f>
        <v>BOULANGERIE</v>
      </c>
      <c r="H292" s="14">
        <f>IF(Tableau5[[#This Row],[Stock Moyen (UVC)]]&gt;0,1,0)</f>
        <v>1</v>
      </c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2.75" customHeight="1">
      <c r="A293" s="17">
        <v>202207</v>
      </c>
      <c r="B293" s="15">
        <v>5540246191718</v>
      </c>
      <c r="C293" s="11">
        <v>2761</v>
      </c>
      <c r="D293" s="11">
        <v>8184.1536000000006</v>
      </c>
      <c r="E293" s="25">
        <f t="shared" si="4"/>
        <v>2.964199058312206</v>
      </c>
      <c r="F293" s="11">
        <v>390</v>
      </c>
      <c r="G293" s="17" t="str">
        <f>VLOOKUP(B293, 'Catégorie des articles'!A:E, 4, FALSE)</f>
        <v>MIX LEGUMES</v>
      </c>
      <c r="H293" s="14">
        <f>IF(Tableau5[[#This Row],[Stock Moyen (UVC)]]&gt;0,1,0)</f>
        <v>1</v>
      </c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75" customHeight="1">
      <c r="A294" s="17">
        <v>202207</v>
      </c>
      <c r="B294" s="15">
        <v>5540246191736</v>
      </c>
      <c r="C294" s="11">
        <v>219</v>
      </c>
      <c r="D294" s="11">
        <v>7053.6096000000007</v>
      </c>
      <c r="E294" s="25">
        <f t="shared" si="4"/>
        <v>32.208263013698634</v>
      </c>
      <c r="F294" s="11">
        <v>174</v>
      </c>
      <c r="G294" s="17" t="str">
        <f>VLOOKUP(B294, 'Catégorie des articles'!A:E, 4, FALSE)</f>
        <v>CREMERIE</v>
      </c>
      <c r="H294" s="14">
        <f>IF(Tableau5[[#This Row],[Stock Moyen (UVC)]]&gt;0,1,0)</f>
        <v>1</v>
      </c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2.75" customHeight="1">
      <c r="A295" s="17">
        <v>202207</v>
      </c>
      <c r="B295" s="15">
        <v>5540246192102</v>
      </c>
      <c r="C295" s="11">
        <v>5930</v>
      </c>
      <c r="D295" s="11">
        <v>6492.6576000000005</v>
      </c>
      <c r="E295" s="25">
        <f t="shared" si="4"/>
        <v>1.0948832377740305</v>
      </c>
      <c r="F295" s="11">
        <v>6501</v>
      </c>
      <c r="G295" s="17" t="str">
        <f>VLOOKUP(B295, 'Catégorie des articles'!A:E, 4, FALSE)</f>
        <v>CREMERIE</v>
      </c>
      <c r="H295" s="14">
        <f>IF(Tableau5[[#This Row],[Stock Moyen (UVC)]]&gt;0,1,0)</f>
        <v>1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2.75" customHeight="1">
      <c r="A296" s="17">
        <v>202207</v>
      </c>
      <c r="B296" s="15">
        <v>5540246192148</v>
      </c>
      <c r="C296" s="11">
        <v>0</v>
      </c>
      <c r="D296" s="11">
        <v>0</v>
      </c>
      <c r="E296" s="25" t="str">
        <f t="shared" si="4"/>
        <v/>
      </c>
      <c r="F296" s="11">
        <v>13920</v>
      </c>
      <c r="G296" s="17" t="str">
        <f>VLOOKUP(B296, 'Catégorie des articles'!A:E, 4, FALSE)</f>
        <v>MIX LEGUMES</v>
      </c>
      <c r="H296" s="14">
        <f>IF(Tableau5[[#This Row],[Stock Moyen (UVC)]]&gt;0,1,0)</f>
        <v>0</v>
      </c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2.75" customHeight="1">
      <c r="A297" s="17">
        <v>202207</v>
      </c>
      <c r="B297" s="13">
        <v>5540246192209</v>
      </c>
      <c r="C297" s="8">
        <v>1198</v>
      </c>
      <c r="D297" s="8">
        <v>6018.6240000000007</v>
      </c>
      <c r="E297" s="25">
        <f t="shared" si="4"/>
        <v>5.0238931552587651</v>
      </c>
      <c r="F297" s="8">
        <v>1448</v>
      </c>
      <c r="G297" s="17" t="str">
        <f>VLOOKUP(B297, 'Catégorie des articles'!A:E, 4, FALSE)</f>
        <v>MIX LEGUMES</v>
      </c>
      <c r="H297" s="14">
        <f>IF(Tableau5[[#This Row],[Stock Moyen (UVC)]]&gt;0,1,0)</f>
        <v>1</v>
      </c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2.75" customHeight="1">
      <c r="A298" s="17">
        <v>202207</v>
      </c>
      <c r="B298" s="15">
        <v>5540246192264</v>
      </c>
      <c r="C298" s="11">
        <v>854</v>
      </c>
      <c r="D298" s="11">
        <v>12400.128000000001</v>
      </c>
      <c r="E298" s="25">
        <f t="shared" si="4"/>
        <v>14.520056206088993</v>
      </c>
      <c r="F298" s="11">
        <v>1300</v>
      </c>
      <c r="G298" s="17" t="str">
        <f>VLOOKUP(B298, 'Catégorie des articles'!A:E, 4, FALSE)</f>
        <v>CREMERIE</v>
      </c>
      <c r="H298" s="14">
        <f>IF(Tableau5[[#This Row],[Stock Moyen (UVC)]]&gt;0,1,0)</f>
        <v>1</v>
      </c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2.75" customHeight="1">
      <c r="A299" s="17">
        <v>202207</v>
      </c>
      <c r="B299" s="13">
        <v>5540246192265</v>
      </c>
      <c r="C299" s="8">
        <v>2376</v>
      </c>
      <c r="D299" s="8">
        <v>31806.259200000004</v>
      </c>
      <c r="E299" s="25">
        <f t="shared" si="4"/>
        <v>13.386472727272729</v>
      </c>
      <c r="F299" s="8">
        <v>873</v>
      </c>
      <c r="G299" s="17" t="str">
        <f>VLOOKUP(B299, 'Catégorie des articles'!A:E, 4, FALSE)</f>
        <v>CREMERIE</v>
      </c>
      <c r="H299" s="14">
        <f>IF(Tableau5[[#This Row],[Stock Moyen (UVC)]]&gt;0,1,0)</f>
        <v>1</v>
      </c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2.75" customHeight="1">
      <c r="A300" s="17">
        <v>202207</v>
      </c>
      <c r="B300" s="13">
        <v>5540246192462</v>
      </c>
      <c r="C300" s="8">
        <v>1142</v>
      </c>
      <c r="D300" s="8">
        <v>7944.9120000000003</v>
      </c>
      <c r="E300" s="25">
        <f t="shared" si="4"/>
        <v>6.9570157618213662</v>
      </c>
      <c r="F300" s="8">
        <v>455</v>
      </c>
      <c r="G300" s="17" t="str">
        <f>VLOOKUP(B300, 'Catégorie des articles'!A:E, 4, FALSE)</f>
        <v>MIX LEGUMES</v>
      </c>
      <c r="H300" s="14">
        <f>IF(Tableau5[[#This Row],[Stock Moyen (UVC)]]&gt;0,1,0)</f>
        <v>1</v>
      </c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2.75" customHeight="1">
      <c r="A301" s="17">
        <v>202207</v>
      </c>
      <c r="B301" s="15">
        <v>5540246192505</v>
      </c>
      <c r="C301" s="11">
        <v>16259</v>
      </c>
      <c r="D301" s="11">
        <v>23008.6656</v>
      </c>
      <c r="E301" s="25">
        <f t="shared" si="4"/>
        <v>1.415134116489329</v>
      </c>
      <c r="F301" s="11">
        <v>9336</v>
      </c>
      <c r="G301" s="17" t="str">
        <f>VLOOKUP(B301, 'Catégorie des articles'!A:E, 4, FALSE)</f>
        <v>MIX LEGUMES</v>
      </c>
      <c r="H301" s="14">
        <f>IF(Tableau5[[#This Row],[Stock Moyen (UVC)]]&gt;0,1,0)</f>
        <v>1</v>
      </c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2.75" customHeight="1">
      <c r="A302" s="17">
        <v>202207</v>
      </c>
      <c r="B302" s="15">
        <v>5540246192518</v>
      </c>
      <c r="C302" s="11">
        <v>3286</v>
      </c>
      <c r="D302" s="11">
        <v>22804.632000000001</v>
      </c>
      <c r="E302" s="25">
        <f t="shared" si="4"/>
        <v>6.9399367011564213</v>
      </c>
      <c r="F302" s="11">
        <v>4130</v>
      </c>
      <c r="G302" s="17" t="str">
        <f>VLOOKUP(B302, 'Catégorie des articles'!A:E, 4, FALSE)</f>
        <v>MIX LEGUMES</v>
      </c>
      <c r="H302" s="14">
        <f>IF(Tableau5[[#This Row],[Stock Moyen (UVC)]]&gt;0,1,0)</f>
        <v>1</v>
      </c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2.75" customHeight="1">
      <c r="A303" s="17">
        <v>202207</v>
      </c>
      <c r="B303" s="13">
        <v>5540246192571</v>
      </c>
      <c r="C303" s="8">
        <v>1170</v>
      </c>
      <c r="D303" s="8">
        <v>4180.3775999999998</v>
      </c>
      <c r="E303" s="25">
        <f t="shared" si="4"/>
        <v>3.5729723076923077</v>
      </c>
      <c r="F303" s="8">
        <v>195</v>
      </c>
      <c r="G303" s="17" t="str">
        <f>VLOOKUP(B303, 'Catégorie des articles'!A:E, 4, FALSE)</f>
        <v>MIX LEGUMES</v>
      </c>
      <c r="H303" s="14">
        <f>IF(Tableau5[[#This Row],[Stock Moyen (UVC)]]&gt;0,1,0)</f>
        <v>1</v>
      </c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75" customHeight="1">
      <c r="A304" s="17">
        <v>202207</v>
      </c>
      <c r="B304" s="15">
        <v>5540246192594</v>
      </c>
      <c r="C304" s="11">
        <v>613</v>
      </c>
      <c r="D304" s="11">
        <v>4048.7040000000006</v>
      </c>
      <c r="E304" s="25">
        <f t="shared" si="4"/>
        <v>6.6047373572593813</v>
      </c>
      <c r="F304" s="11">
        <v>140</v>
      </c>
      <c r="G304" s="17" t="str">
        <f>VLOOKUP(B304, 'Catégorie des articles'!A:E, 4, FALSE)</f>
        <v>MIX LEGUMES</v>
      </c>
      <c r="H304" s="14">
        <f>IF(Tableau5[[#This Row],[Stock Moyen (UVC)]]&gt;0,1,0)</f>
        <v>1</v>
      </c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2.75" customHeight="1">
      <c r="A305" s="17">
        <v>202207</v>
      </c>
      <c r="B305" s="13">
        <v>5540246192831</v>
      </c>
      <c r="C305" s="8">
        <v>325</v>
      </c>
      <c r="D305" s="8">
        <v>2878.848</v>
      </c>
      <c r="E305" s="25">
        <f t="shared" si="4"/>
        <v>8.8579938461538461</v>
      </c>
      <c r="F305" s="8">
        <v>121</v>
      </c>
      <c r="G305" s="17" t="str">
        <f>VLOOKUP(B305, 'Catégorie des articles'!A:E, 4, FALSE)</f>
        <v>MIX LEGUMES</v>
      </c>
      <c r="H305" s="14">
        <f>IF(Tableau5[[#This Row],[Stock Moyen (UVC)]]&gt;0,1,0)</f>
        <v>1</v>
      </c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2.75" customHeight="1">
      <c r="A306" s="17">
        <v>202207</v>
      </c>
      <c r="B306" s="15">
        <v>5540246192836</v>
      </c>
      <c r="C306" s="11">
        <v>84</v>
      </c>
      <c r="D306" s="11">
        <v>11558.2464</v>
      </c>
      <c r="E306" s="25">
        <f t="shared" si="4"/>
        <v>137.59817142857142</v>
      </c>
      <c r="F306" s="11">
        <v>0</v>
      </c>
      <c r="G306" s="17" t="str">
        <f>VLOOKUP(B306, 'Catégorie des articles'!A:E, 4, FALSE)</f>
        <v>EMBALLAGES</v>
      </c>
      <c r="H306" s="14">
        <f>IF(Tableau5[[#This Row],[Stock Moyen (UVC)]]&gt;0,1,0)</f>
        <v>1</v>
      </c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2.75" customHeight="1">
      <c r="A307" s="17">
        <v>202207</v>
      </c>
      <c r="B307" s="15">
        <v>5540246192907</v>
      </c>
      <c r="C307" s="11">
        <v>1402</v>
      </c>
      <c r="D307" s="11">
        <v>39334.896000000001</v>
      </c>
      <c r="E307" s="25">
        <f t="shared" si="4"/>
        <v>28.056273894436519</v>
      </c>
      <c r="F307" s="11">
        <v>1457</v>
      </c>
      <c r="G307" s="17" t="str">
        <f>VLOOKUP(B307, 'Catégorie des articles'!A:E, 4, FALSE)</f>
        <v>VOLAILLE</v>
      </c>
      <c r="H307" s="14">
        <f>IF(Tableau5[[#This Row],[Stock Moyen (UVC)]]&gt;0,1,0)</f>
        <v>1</v>
      </c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2.75" customHeight="1">
      <c r="A308" s="17">
        <v>202207</v>
      </c>
      <c r="B308" s="15">
        <v>5540246193316</v>
      </c>
      <c r="C308" s="11">
        <v>228</v>
      </c>
      <c r="D308" s="11">
        <v>6883.8336000000008</v>
      </c>
      <c r="E308" s="25">
        <f t="shared" si="4"/>
        <v>30.192252631578953</v>
      </c>
      <c r="F308" s="11">
        <v>279</v>
      </c>
      <c r="G308" s="17" t="str">
        <f>VLOOKUP(B308, 'Catégorie des articles'!A:E, 4, FALSE)</f>
        <v>BOULANGERIE</v>
      </c>
      <c r="H308" s="14">
        <f>IF(Tableau5[[#This Row],[Stock Moyen (UVC)]]&gt;0,1,0)</f>
        <v>1</v>
      </c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2.75" customHeight="1">
      <c r="A309" s="17">
        <v>202207</v>
      </c>
      <c r="B309" s="13">
        <v>5540246193409</v>
      </c>
      <c r="C309" s="8">
        <v>123</v>
      </c>
      <c r="D309" s="8">
        <v>6319.2960000000003</v>
      </c>
      <c r="E309" s="25">
        <f t="shared" si="4"/>
        <v>51.376390243902442</v>
      </c>
      <c r="F309" s="8">
        <v>10</v>
      </c>
      <c r="G309" s="17" t="str">
        <f>VLOOKUP(B309, 'Catégorie des articles'!A:E, 4, FALSE)</f>
        <v>BOULANGERIE</v>
      </c>
      <c r="H309" s="14">
        <f>IF(Tableau5[[#This Row],[Stock Moyen (UVC)]]&gt;0,1,0)</f>
        <v>1</v>
      </c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2.75" customHeight="1">
      <c r="A310" s="17">
        <v>202207</v>
      </c>
      <c r="B310" s="15">
        <v>5540246193505</v>
      </c>
      <c r="C310" s="11">
        <v>5104</v>
      </c>
      <c r="D310" s="11">
        <v>4105.7280000000001</v>
      </c>
      <c r="E310" s="25">
        <f t="shared" si="4"/>
        <v>0.80441379310344829</v>
      </c>
      <c r="F310" s="11">
        <v>743</v>
      </c>
      <c r="G310" s="17" t="str">
        <f>VLOOKUP(B310, 'Catégorie des articles'!A:E, 4, FALSE)</f>
        <v>BOULANGERIE</v>
      </c>
      <c r="H310" s="14">
        <f>IF(Tableau5[[#This Row],[Stock Moyen (UVC)]]&gt;0,1,0)</f>
        <v>1</v>
      </c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2.75" customHeight="1">
      <c r="A311" s="17">
        <v>202207</v>
      </c>
      <c r="B311" s="15">
        <v>5540246193566</v>
      </c>
      <c r="C311" s="11">
        <v>93</v>
      </c>
      <c r="D311" s="11">
        <v>829.44</v>
      </c>
      <c r="E311" s="25">
        <f t="shared" si="4"/>
        <v>8.9187096774193559</v>
      </c>
      <c r="F311" s="11">
        <v>93</v>
      </c>
      <c r="G311" s="17" t="str">
        <f>VLOOKUP(B311, 'Catégorie des articles'!A:E, 4, FALSE)</f>
        <v>VOLAILLE</v>
      </c>
      <c r="H311" s="14">
        <f>IF(Tableau5[[#This Row],[Stock Moyen (UVC)]]&gt;0,1,0)</f>
        <v>1</v>
      </c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2.75" customHeight="1">
      <c r="A312" s="17">
        <v>202207</v>
      </c>
      <c r="B312" s="13">
        <v>5540246193878</v>
      </c>
      <c r="C312" s="8">
        <v>22272</v>
      </c>
      <c r="D312" s="8">
        <v>157593.60000000001</v>
      </c>
      <c r="E312" s="25">
        <f t="shared" si="4"/>
        <v>7.0758620689655176</v>
      </c>
      <c r="F312" s="8">
        <v>4803</v>
      </c>
      <c r="G312" s="17" t="str">
        <f>VLOOKUP(B312, 'Catégorie des articles'!A:E, 4, FALSE)</f>
        <v>VOLAILLE</v>
      </c>
      <c r="H312" s="14">
        <f>IF(Tableau5[[#This Row],[Stock Moyen (UVC)]]&gt;0,1,0)</f>
        <v>1</v>
      </c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2.75" customHeight="1">
      <c r="A313" s="17">
        <v>202207</v>
      </c>
      <c r="B313" s="15">
        <v>5540246193999</v>
      </c>
      <c r="C313" s="11">
        <v>1021</v>
      </c>
      <c r="D313" s="11">
        <v>5099.8464000000004</v>
      </c>
      <c r="E313" s="25">
        <f t="shared" si="4"/>
        <v>4.9949523996082279</v>
      </c>
      <c r="F313" s="11">
        <v>1021</v>
      </c>
      <c r="G313" s="17" t="str">
        <f>VLOOKUP(B313, 'Catégorie des articles'!A:E, 4, FALSE)</f>
        <v>MIX LEGUMES</v>
      </c>
      <c r="H313" s="14">
        <f>IF(Tableau5[[#This Row],[Stock Moyen (UVC)]]&gt;0,1,0)</f>
        <v>1</v>
      </c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2.75" customHeight="1">
      <c r="A314" s="17">
        <v>202207</v>
      </c>
      <c r="B314" s="13">
        <v>5540246194467</v>
      </c>
      <c r="C314" s="8">
        <v>0</v>
      </c>
      <c r="D314" s="8">
        <v>0</v>
      </c>
      <c r="E314" s="25" t="str">
        <f t="shared" si="4"/>
        <v/>
      </c>
      <c r="F314" s="8">
        <v>223</v>
      </c>
      <c r="G314" s="17" t="str">
        <f>VLOOKUP(B314, 'Catégorie des articles'!A:E, 4, FALSE)</f>
        <v>BOULANGERIE</v>
      </c>
      <c r="H314" s="14">
        <f>IF(Tableau5[[#This Row],[Stock Moyen (UVC)]]&gt;0,1,0)</f>
        <v>0</v>
      </c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2.75" customHeight="1">
      <c r="A315" s="17">
        <v>202207</v>
      </c>
      <c r="B315" s="13">
        <v>5540246194632</v>
      </c>
      <c r="C315" s="8">
        <v>0</v>
      </c>
      <c r="D315" s="8">
        <v>0</v>
      </c>
      <c r="E315" s="25" t="str">
        <f t="shared" si="4"/>
        <v/>
      </c>
      <c r="F315" s="8">
        <v>3</v>
      </c>
      <c r="G315" s="17" t="str">
        <f>VLOOKUP(B315, 'Catégorie des articles'!A:E, 4, FALSE)</f>
        <v>BOULANGERIE</v>
      </c>
      <c r="H315" s="14">
        <f>IF(Tableau5[[#This Row],[Stock Moyen (UVC)]]&gt;0,1,0)</f>
        <v>0</v>
      </c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2.75" customHeight="1">
      <c r="A316" s="17">
        <v>202208</v>
      </c>
      <c r="B316" s="15">
        <v>5540246170256</v>
      </c>
      <c r="C316" s="11">
        <v>1768</v>
      </c>
      <c r="D316" s="11">
        <v>11883.542400000002</v>
      </c>
      <c r="E316" s="25">
        <f t="shared" si="4"/>
        <v>6.7214606334841642</v>
      </c>
      <c r="F316" s="11">
        <v>5847</v>
      </c>
      <c r="G316" s="17" t="str">
        <f>VLOOKUP(B316, 'Catégorie des articles'!A:E, 4, FALSE)</f>
        <v>BOULANGERIE</v>
      </c>
      <c r="H316" s="14">
        <f>IF(Tableau5[[#This Row],[Stock Moyen (UVC)]]&gt;0,1,0)</f>
        <v>1</v>
      </c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2.75" customHeight="1">
      <c r="A317" s="17">
        <v>202208</v>
      </c>
      <c r="B317" s="13">
        <v>5540246171759</v>
      </c>
      <c r="C317" s="8">
        <v>1940</v>
      </c>
      <c r="D317" s="8">
        <v>10653.984</v>
      </c>
      <c r="E317" s="25">
        <f t="shared" si="4"/>
        <v>5.4917443298969078</v>
      </c>
      <c r="F317" s="8">
        <v>4770</v>
      </c>
      <c r="G317" s="17" t="str">
        <f>VLOOKUP(B317, 'Catégorie des articles'!A:E, 4, FALSE)</f>
        <v>MIX LEGUMES</v>
      </c>
      <c r="H317" s="14">
        <f>IF(Tableau5[[#This Row],[Stock Moyen (UVC)]]&gt;0,1,0)</f>
        <v>1</v>
      </c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2.75" customHeight="1">
      <c r="A318" s="17">
        <v>202208</v>
      </c>
      <c r="B318" s="15">
        <v>5540246171888</v>
      </c>
      <c r="C318" s="11">
        <v>1193</v>
      </c>
      <c r="D318" s="11">
        <v>20095.344000000001</v>
      </c>
      <c r="E318" s="25">
        <f t="shared" si="4"/>
        <v>16.844378876781224</v>
      </c>
      <c r="F318" s="11">
        <v>1506</v>
      </c>
      <c r="G318" s="17" t="str">
        <f>VLOOKUP(B318, 'Catégorie des articles'!A:E, 4, FALSE)</f>
        <v>BOULANGERIE</v>
      </c>
      <c r="H318" s="14">
        <f>IF(Tableau5[[#This Row],[Stock Moyen (UVC)]]&gt;0,1,0)</f>
        <v>1</v>
      </c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2.75" customHeight="1">
      <c r="A319" s="17">
        <v>202208</v>
      </c>
      <c r="B319" s="13">
        <v>5540246171933</v>
      </c>
      <c r="C319" s="8">
        <v>891</v>
      </c>
      <c r="D319" s="8">
        <v>573.9552000000001</v>
      </c>
      <c r="E319" s="25">
        <f t="shared" si="4"/>
        <v>0.64416969696969706</v>
      </c>
      <c r="F319" s="8">
        <v>8018</v>
      </c>
      <c r="G319" s="17" t="str">
        <f>VLOOKUP(B319, 'Catégorie des articles'!A:E, 4, FALSE)</f>
        <v>CREMERIE</v>
      </c>
      <c r="H319" s="14">
        <f>IF(Tableau5[[#This Row],[Stock Moyen (UVC)]]&gt;0,1,0)</f>
        <v>1</v>
      </c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2.75" customHeight="1">
      <c r="A320" s="17">
        <v>202208</v>
      </c>
      <c r="B320" s="13">
        <v>5540246172539</v>
      </c>
      <c r="C320" s="8">
        <v>54</v>
      </c>
      <c r="D320" s="8">
        <v>1110.4560000000001</v>
      </c>
      <c r="E320" s="25">
        <f t="shared" si="4"/>
        <v>20.564000000000004</v>
      </c>
      <c r="F320" s="8">
        <v>116</v>
      </c>
      <c r="G320" s="17" t="str">
        <f>VLOOKUP(B320, 'Catégorie des articles'!A:E, 4, FALSE)</f>
        <v>CREMERIE</v>
      </c>
      <c r="H320" s="14">
        <f>IF(Tableau5[[#This Row],[Stock Moyen (UVC)]]&gt;0,1,0)</f>
        <v>1</v>
      </c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2.75" customHeight="1">
      <c r="A321" s="17">
        <v>202208</v>
      </c>
      <c r="B321" s="15">
        <v>5540246172669</v>
      </c>
      <c r="C321" s="11">
        <v>195</v>
      </c>
      <c r="D321" s="11">
        <v>2651.9184</v>
      </c>
      <c r="E321" s="25">
        <f t="shared" si="4"/>
        <v>13.599581538461539</v>
      </c>
      <c r="F321" s="11">
        <v>1086</v>
      </c>
      <c r="G321" s="17" t="str">
        <f>VLOOKUP(B321, 'Catégorie des articles'!A:E, 4, FALSE)</f>
        <v>CREMERIE</v>
      </c>
      <c r="H321" s="14">
        <f>IF(Tableau5[[#This Row],[Stock Moyen (UVC)]]&gt;0,1,0)</f>
        <v>1</v>
      </c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2.75" customHeight="1">
      <c r="A322" s="17">
        <v>202208</v>
      </c>
      <c r="B322" s="13">
        <v>5540246172978</v>
      </c>
      <c r="C322" s="8">
        <v>0</v>
      </c>
      <c r="D322" s="8">
        <v>0</v>
      </c>
      <c r="E322" s="25" t="str">
        <f t="shared" si="4"/>
        <v/>
      </c>
      <c r="F322" s="8">
        <v>14616</v>
      </c>
      <c r="G322" s="17" t="str">
        <f>VLOOKUP(B322, 'Catégorie des articles'!A:E, 4, FALSE)</f>
        <v>CREMERIE</v>
      </c>
      <c r="H322" s="14">
        <f>IF(Tableau5[[#This Row],[Stock Moyen (UVC)]]&gt;0,1,0)</f>
        <v>0</v>
      </c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2.75" customHeight="1">
      <c r="A323" s="17">
        <v>202208</v>
      </c>
      <c r="B323" s="15">
        <v>5540246173472</v>
      </c>
      <c r="C323" s="11">
        <v>0</v>
      </c>
      <c r="D323" s="11">
        <v>0</v>
      </c>
      <c r="E323" s="25" t="str">
        <f t="shared" ref="E323:E386" si="5">IF(C323=0,"",D323/C323)</f>
        <v/>
      </c>
      <c r="F323" s="11">
        <v>864</v>
      </c>
      <c r="G323" s="17" t="str">
        <f>VLOOKUP(B323, 'Catégorie des articles'!A:E, 4, FALSE)</f>
        <v>CREMERIE</v>
      </c>
      <c r="H323" s="14">
        <f>IF(Tableau5[[#This Row],[Stock Moyen (UVC)]]&gt;0,1,0)</f>
        <v>0</v>
      </c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2.75" customHeight="1">
      <c r="A324" s="17">
        <v>202208</v>
      </c>
      <c r="B324" s="15">
        <v>5540246173685</v>
      </c>
      <c r="C324" s="11">
        <v>188</v>
      </c>
      <c r="D324" s="11">
        <v>4744.9151999999995</v>
      </c>
      <c r="E324" s="25">
        <f t="shared" si="5"/>
        <v>25.23891063829787</v>
      </c>
      <c r="F324" s="11">
        <v>226</v>
      </c>
      <c r="G324" s="17" t="str">
        <f>VLOOKUP(B324, 'Catégorie des articles'!A:E, 4, FALSE)</f>
        <v>EMBALLAGES</v>
      </c>
      <c r="H324" s="14">
        <f>IF(Tableau5[[#This Row],[Stock Moyen (UVC)]]&gt;0,1,0)</f>
        <v>1</v>
      </c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2.75" customHeight="1">
      <c r="A325" s="17">
        <v>202208</v>
      </c>
      <c r="B325" s="13">
        <v>5540246173686</v>
      </c>
      <c r="C325" s="8">
        <v>420</v>
      </c>
      <c r="D325" s="8">
        <v>10770.148800000001</v>
      </c>
      <c r="E325" s="25">
        <f t="shared" si="5"/>
        <v>25.64321142857143</v>
      </c>
      <c r="F325" s="8">
        <v>193</v>
      </c>
      <c r="G325" s="17" t="str">
        <f>VLOOKUP(B325, 'Catégorie des articles'!A:E, 4, FALSE)</f>
        <v>EMBALLAGES</v>
      </c>
      <c r="H325" s="14">
        <f>IF(Tableau5[[#This Row],[Stock Moyen (UVC)]]&gt;0,1,0)</f>
        <v>1</v>
      </c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2.75" customHeight="1">
      <c r="A326" s="17">
        <v>202208</v>
      </c>
      <c r="B326" s="13">
        <v>5540246173906</v>
      </c>
      <c r="C326" s="8">
        <v>1972</v>
      </c>
      <c r="D326" s="8">
        <v>36646.560000000005</v>
      </c>
      <c r="E326" s="25">
        <f t="shared" si="5"/>
        <v>18.583448275862072</v>
      </c>
      <c r="F326" s="8">
        <v>1671</v>
      </c>
      <c r="G326" s="17" t="str">
        <f>VLOOKUP(B326, 'Catégorie des articles'!A:E, 4, FALSE)</f>
        <v>VOLAILLE</v>
      </c>
      <c r="H326" s="14">
        <f>IF(Tableau5[[#This Row],[Stock Moyen (UVC)]]&gt;0,1,0)</f>
        <v>1</v>
      </c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2.75" customHeight="1">
      <c r="A327" s="17">
        <v>202208</v>
      </c>
      <c r="B327" s="13">
        <v>5540246174095</v>
      </c>
      <c r="C327" s="8">
        <v>42</v>
      </c>
      <c r="D327" s="8">
        <v>1303.2576000000001</v>
      </c>
      <c r="E327" s="25">
        <f t="shared" si="5"/>
        <v>31.02994285714286</v>
      </c>
      <c r="F327" s="8">
        <v>112</v>
      </c>
      <c r="G327" s="17" t="str">
        <f>VLOOKUP(B327, 'Catégorie des articles'!A:E, 4, FALSE)</f>
        <v>CREMERIE</v>
      </c>
      <c r="H327" s="14">
        <f>IF(Tableau5[[#This Row],[Stock Moyen (UVC)]]&gt;0,1,0)</f>
        <v>1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2.75" customHeight="1">
      <c r="A328" s="17">
        <v>202208</v>
      </c>
      <c r="B328" s="15">
        <v>5540246174174</v>
      </c>
      <c r="C328" s="11">
        <v>103</v>
      </c>
      <c r="D328" s="11">
        <v>1358.1216000000002</v>
      </c>
      <c r="E328" s="25">
        <f t="shared" si="5"/>
        <v>13.18564660194175</v>
      </c>
      <c r="F328" s="11">
        <v>759</v>
      </c>
      <c r="G328" s="17" t="str">
        <f>VLOOKUP(B328, 'Catégorie des articles'!A:E, 4, FALSE)</f>
        <v>CREMERIE</v>
      </c>
      <c r="H328" s="14">
        <f>IF(Tableau5[[#This Row],[Stock Moyen (UVC)]]&gt;0,1,0)</f>
        <v>1</v>
      </c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2.75" customHeight="1">
      <c r="A329" s="17">
        <v>202208</v>
      </c>
      <c r="B329" s="13">
        <v>5540246175047</v>
      </c>
      <c r="C329" s="8">
        <v>14</v>
      </c>
      <c r="D329" s="8">
        <v>147.48480000000001</v>
      </c>
      <c r="E329" s="25">
        <f t="shared" si="5"/>
        <v>10.534628571428572</v>
      </c>
      <c r="F329" s="8">
        <v>738</v>
      </c>
      <c r="G329" s="17" t="str">
        <f>VLOOKUP(B329, 'Catégorie des articles'!A:E, 4, FALSE)</f>
        <v>CREMERIE</v>
      </c>
      <c r="H329" s="14">
        <f>IF(Tableau5[[#This Row],[Stock Moyen (UVC)]]&gt;0,1,0)</f>
        <v>1</v>
      </c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2.75" customHeight="1">
      <c r="A330" s="17">
        <v>202208</v>
      </c>
      <c r="B330" s="15">
        <v>5540246175049</v>
      </c>
      <c r="C330" s="11">
        <v>627</v>
      </c>
      <c r="D330" s="11">
        <v>6520.1760000000004</v>
      </c>
      <c r="E330" s="25">
        <f t="shared" si="5"/>
        <v>10.399004784688996</v>
      </c>
      <c r="F330" s="11">
        <v>2144</v>
      </c>
      <c r="G330" s="17" t="str">
        <f>VLOOKUP(B330, 'Catégorie des articles'!A:E, 4, FALSE)</f>
        <v>CREMERIE</v>
      </c>
      <c r="H330" s="14">
        <f>IF(Tableau5[[#This Row],[Stock Moyen (UVC)]]&gt;0,1,0)</f>
        <v>1</v>
      </c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2.75" customHeight="1">
      <c r="A331" s="17">
        <v>202208</v>
      </c>
      <c r="B331" s="13">
        <v>5540246175050</v>
      </c>
      <c r="C331" s="8">
        <v>724</v>
      </c>
      <c r="D331" s="8">
        <v>8383.5648000000001</v>
      </c>
      <c r="E331" s="25">
        <f t="shared" si="5"/>
        <v>11.579509392265194</v>
      </c>
      <c r="F331" s="8">
        <v>1977</v>
      </c>
      <c r="G331" s="17" t="str">
        <f>VLOOKUP(B331, 'Catégorie des articles'!A:E, 4, FALSE)</f>
        <v>CREMERIE</v>
      </c>
      <c r="H331" s="14">
        <f>IF(Tableau5[[#This Row],[Stock Moyen (UVC)]]&gt;0,1,0)</f>
        <v>1</v>
      </c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2.75" customHeight="1">
      <c r="A332" s="17">
        <v>202208</v>
      </c>
      <c r="B332" s="15">
        <v>5540246175372</v>
      </c>
      <c r="C332" s="11">
        <v>2715</v>
      </c>
      <c r="D332" s="11">
        <v>10614.240000000002</v>
      </c>
      <c r="E332" s="25">
        <f t="shared" si="5"/>
        <v>3.9094806629834262</v>
      </c>
      <c r="F332" s="11">
        <v>348</v>
      </c>
      <c r="G332" s="17" t="str">
        <f>VLOOKUP(B332, 'Catégorie des articles'!A:E, 4, FALSE)</f>
        <v>BOULANGERIE</v>
      </c>
      <c r="H332" s="14">
        <f>IF(Tableau5[[#This Row],[Stock Moyen (UVC)]]&gt;0,1,0)</f>
        <v>1</v>
      </c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2.75" customHeight="1">
      <c r="A333" s="17">
        <v>202208</v>
      </c>
      <c r="B333" s="13">
        <v>5540246175461</v>
      </c>
      <c r="C333" s="8">
        <v>5513</v>
      </c>
      <c r="D333" s="8">
        <v>50808.384000000005</v>
      </c>
      <c r="E333" s="25">
        <f t="shared" si="5"/>
        <v>9.2161044803192471</v>
      </c>
      <c r="F333" s="8">
        <v>4511</v>
      </c>
      <c r="G333" s="17" t="str">
        <f>VLOOKUP(B333, 'Catégorie des articles'!A:E, 4, FALSE)</f>
        <v>MIX LEGUMES</v>
      </c>
      <c r="H333" s="14">
        <f>IF(Tableau5[[#This Row],[Stock Moyen (UVC)]]&gt;0,1,0)</f>
        <v>1</v>
      </c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2.75" customHeight="1">
      <c r="A334" s="17">
        <v>202208</v>
      </c>
      <c r="B334" s="13">
        <v>5540246176294</v>
      </c>
      <c r="C334" s="8">
        <v>1225</v>
      </c>
      <c r="D334" s="8">
        <v>1129.0752000000002</v>
      </c>
      <c r="E334" s="25">
        <f t="shared" si="5"/>
        <v>0.92169404081632667</v>
      </c>
      <c r="F334" s="8">
        <v>11136</v>
      </c>
      <c r="G334" s="17" t="str">
        <f>VLOOKUP(B334, 'Catégorie des articles'!A:E, 4, FALSE)</f>
        <v>CREMERIE</v>
      </c>
      <c r="H334" s="14">
        <f>IF(Tableau5[[#This Row],[Stock Moyen (UVC)]]&gt;0,1,0)</f>
        <v>1</v>
      </c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2.75" customHeight="1">
      <c r="A335" s="17">
        <v>202208</v>
      </c>
      <c r="B335" s="15">
        <v>5540246176295</v>
      </c>
      <c r="C335" s="11">
        <v>7016</v>
      </c>
      <c r="D335" s="11">
        <v>6466.5216000000009</v>
      </c>
      <c r="E335" s="25">
        <f t="shared" si="5"/>
        <v>0.92168209806157364</v>
      </c>
      <c r="F335" s="11">
        <v>62933</v>
      </c>
      <c r="G335" s="17" t="str">
        <f>VLOOKUP(B335, 'Catégorie des articles'!A:E, 4, FALSE)</f>
        <v>CREMERIE</v>
      </c>
      <c r="H335" s="14">
        <f>IF(Tableau5[[#This Row],[Stock Moyen (UVC)]]&gt;0,1,0)</f>
        <v>1</v>
      </c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2.75" customHeight="1">
      <c r="A336" s="17">
        <v>202208</v>
      </c>
      <c r="B336" s="15">
        <v>5540246176699</v>
      </c>
      <c r="C336" s="11">
        <v>0</v>
      </c>
      <c r="D336" s="11">
        <v>0</v>
      </c>
      <c r="E336" s="25" t="str">
        <f t="shared" si="5"/>
        <v/>
      </c>
      <c r="F336" s="11">
        <v>41969</v>
      </c>
      <c r="G336" s="17" t="str">
        <f>VLOOKUP(B336, 'Catégorie des articles'!A:E, 4, FALSE)</f>
        <v>CREMERIE</v>
      </c>
      <c r="H336" s="14">
        <f>IF(Tableau5[[#This Row],[Stock Moyen (UVC)]]&gt;0,1,0)</f>
        <v>0</v>
      </c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2.75" customHeight="1">
      <c r="A337" s="17">
        <v>202208</v>
      </c>
      <c r="B337" s="15">
        <v>5540246177133</v>
      </c>
      <c r="C337" s="11">
        <v>8863</v>
      </c>
      <c r="D337" s="11">
        <v>32179.680000000004</v>
      </c>
      <c r="E337" s="25">
        <f t="shared" si="5"/>
        <v>3.6307886720072213</v>
      </c>
      <c r="F337" s="11">
        <v>17366</v>
      </c>
      <c r="G337" s="17" t="str">
        <f>VLOOKUP(B337, 'Catégorie des articles'!A:E, 4, FALSE)</f>
        <v>MIX LEGUMES</v>
      </c>
      <c r="H337" s="14">
        <f>IF(Tableau5[[#This Row],[Stock Moyen (UVC)]]&gt;0,1,0)</f>
        <v>1</v>
      </c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2.75" customHeight="1">
      <c r="A338" s="17">
        <v>202208</v>
      </c>
      <c r="B338" s="15">
        <v>5540246177376</v>
      </c>
      <c r="C338" s="11">
        <v>968</v>
      </c>
      <c r="D338" s="11">
        <v>38190.527999999998</v>
      </c>
      <c r="E338" s="25">
        <f t="shared" si="5"/>
        <v>39.45302479338843</v>
      </c>
      <c r="F338" s="11">
        <v>819</v>
      </c>
      <c r="G338" s="17" t="str">
        <f>VLOOKUP(B338, 'Catégorie des articles'!A:E, 4, FALSE)</f>
        <v>BOULANGERIE</v>
      </c>
      <c r="H338" s="14">
        <f>IF(Tableau5[[#This Row],[Stock Moyen (UVC)]]&gt;0,1,0)</f>
        <v>1</v>
      </c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2.75" customHeight="1">
      <c r="A339" s="17">
        <v>202208</v>
      </c>
      <c r="B339" s="13">
        <v>5540246180522</v>
      </c>
      <c r="C339" s="8">
        <v>803</v>
      </c>
      <c r="D339" s="8">
        <v>14050.368000000002</v>
      </c>
      <c r="E339" s="25">
        <f t="shared" si="5"/>
        <v>17.497344956413453</v>
      </c>
      <c r="F339" s="8">
        <v>1444</v>
      </c>
      <c r="G339" s="17" t="str">
        <f>VLOOKUP(B339, 'Catégorie des articles'!A:E, 4, FALSE)</f>
        <v>BOULANGERIE</v>
      </c>
      <c r="H339" s="14">
        <f>IF(Tableau5[[#This Row],[Stock Moyen (UVC)]]&gt;0,1,0)</f>
        <v>1</v>
      </c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2.75" customHeight="1">
      <c r="A340" s="17">
        <v>202208</v>
      </c>
      <c r="B340" s="13">
        <v>5540246181016</v>
      </c>
      <c r="C340" s="8">
        <v>16426</v>
      </c>
      <c r="D340" s="8">
        <v>131426.32320000001</v>
      </c>
      <c r="E340" s="25">
        <f t="shared" si="5"/>
        <v>8.001115499817363</v>
      </c>
      <c r="F340" s="8">
        <v>10357</v>
      </c>
      <c r="G340" s="17" t="str">
        <f>VLOOKUP(B340, 'Catégorie des articles'!A:E, 4, FALSE)</f>
        <v>VOLAILLE</v>
      </c>
      <c r="H340" s="14">
        <f>IF(Tableau5[[#This Row],[Stock Moyen (UVC)]]&gt;0,1,0)</f>
        <v>1</v>
      </c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2.75" customHeight="1">
      <c r="A341" s="17">
        <v>202208</v>
      </c>
      <c r="B341" s="15">
        <v>5540246181061</v>
      </c>
      <c r="C341" s="11">
        <v>43431</v>
      </c>
      <c r="D341" s="11">
        <v>52808.371200000001</v>
      </c>
      <c r="E341" s="25">
        <f t="shared" si="5"/>
        <v>1.2159142363749396</v>
      </c>
      <c r="F341" s="11">
        <v>63998</v>
      </c>
      <c r="G341" s="17" t="str">
        <f>VLOOKUP(B341, 'Catégorie des articles'!A:E, 4, FALSE)</f>
        <v>VOLAILLE</v>
      </c>
      <c r="H341" s="14">
        <f>IF(Tableau5[[#This Row],[Stock Moyen (UVC)]]&gt;0,1,0)</f>
        <v>1</v>
      </c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2.75" customHeight="1">
      <c r="A342" s="17">
        <v>202208</v>
      </c>
      <c r="B342" s="13">
        <v>5540246182684</v>
      </c>
      <c r="C342" s="8">
        <v>462</v>
      </c>
      <c r="D342" s="8">
        <v>23168.376000000004</v>
      </c>
      <c r="E342" s="25">
        <f t="shared" si="5"/>
        <v>50.14800000000001</v>
      </c>
      <c r="F342" s="8">
        <v>214</v>
      </c>
      <c r="G342" s="17" t="str">
        <f>VLOOKUP(B342, 'Catégorie des articles'!A:E, 4, FALSE)</f>
        <v>BOULANGERIE</v>
      </c>
      <c r="H342" s="14">
        <f>IF(Tableau5[[#This Row],[Stock Moyen (UVC)]]&gt;0,1,0)</f>
        <v>1</v>
      </c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2.75" customHeight="1">
      <c r="A343" s="17">
        <v>202208</v>
      </c>
      <c r="B343" s="13">
        <v>5540246183130</v>
      </c>
      <c r="C343" s="8">
        <v>4490</v>
      </c>
      <c r="D343" s="8">
        <v>19008.820800000001</v>
      </c>
      <c r="E343" s="25">
        <f t="shared" si="5"/>
        <v>4.2335903786191542</v>
      </c>
      <c r="F343" s="8">
        <v>5534</v>
      </c>
      <c r="G343" s="17" t="str">
        <f>VLOOKUP(B343, 'Catégorie des articles'!A:E, 4, FALSE)</f>
        <v>MIX LEGUMES</v>
      </c>
      <c r="H343" s="14">
        <f>IF(Tableau5[[#This Row],[Stock Moyen (UVC)]]&gt;0,1,0)</f>
        <v>1</v>
      </c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2.75" customHeight="1">
      <c r="A344" s="17">
        <v>202208</v>
      </c>
      <c r="B344" s="13">
        <v>5540246183455</v>
      </c>
      <c r="C344" s="8">
        <v>1485</v>
      </c>
      <c r="D344" s="8">
        <v>11667.456000000002</v>
      </c>
      <c r="E344" s="25">
        <f t="shared" si="5"/>
        <v>7.8568727272727283</v>
      </c>
      <c r="F344" s="8">
        <v>418</v>
      </c>
      <c r="G344" s="17" t="str">
        <f>VLOOKUP(B344, 'Catégorie des articles'!A:E, 4, FALSE)</f>
        <v>MIX LEGUMES</v>
      </c>
      <c r="H344" s="14">
        <f>IF(Tableau5[[#This Row],[Stock Moyen (UVC)]]&gt;0,1,0)</f>
        <v>1</v>
      </c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2.75" customHeight="1">
      <c r="A345" s="17">
        <v>202208</v>
      </c>
      <c r="B345" s="13">
        <v>5540246183537</v>
      </c>
      <c r="C345" s="8">
        <v>2803</v>
      </c>
      <c r="D345" s="8">
        <v>3940.0128</v>
      </c>
      <c r="E345" s="25">
        <f t="shared" si="5"/>
        <v>1.4056413842311808</v>
      </c>
      <c r="F345" s="8">
        <v>3156</v>
      </c>
      <c r="G345" s="17" t="str">
        <f>VLOOKUP(B345, 'Catégorie des articles'!A:E, 4, FALSE)</f>
        <v>MIX LEGUMES</v>
      </c>
      <c r="H345" s="14">
        <f>IF(Tableau5[[#This Row],[Stock Moyen (UVC)]]&gt;0,1,0)</f>
        <v>1</v>
      </c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2.75" customHeight="1">
      <c r="A346" s="17">
        <v>202208</v>
      </c>
      <c r="B346" s="15">
        <v>5540246183538</v>
      </c>
      <c r="C346" s="11">
        <v>873</v>
      </c>
      <c r="D346" s="11">
        <v>1145.1456000000001</v>
      </c>
      <c r="E346" s="25">
        <f t="shared" si="5"/>
        <v>1.3117360824742268</v>
      </c>
      <c r="F346" s="11">
        <v>2877</v>
      </c>
      <c r="G346" s="17" t="str">
        <f>VLOOKUP(B346, 'Catégorie des articles'!A:E, 4, FALSE)</f>
        <v>MIX LEGUMES</v>
      </c>
      <c r="H346" s="14">
        <f>IF(Tableau5[[#This Row],[Stock Moyen (UVC)]]&gt;0,1,0)</f>
        <v>1</v>
      </c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2.75" customHeight="1">
      <c r="A347" s="17">
        <v>202208</v>
      </c>
      <c r="B347" s="13">
        <v>5540246183541</v>
      </c>
      <c r="C347" s="8">
        <v>1880</v>
      </c>
      <c r="D347" s="8">
        <v>16936.128000000001</v>
      </c>
      <c r="E347" s="25">
        <f t="shared" si="5"/>
        <v>9.0085787234042556</v>
      </c>
      <c r="F347" s="8">
        <v>975</v>
      </c>
      <c r="G347" s="17" t="str">
        <f>VLOOKUP(B347, 'Catégorie des articles'!A:E, 4, FALSE)</f>
        <v>MIX LEGUMES</v>
      </c>
      <c r="H347" s="14">
        <f>IF(Tableau5[[#This Row],[Stock Moyen (UVC)]]&gt;0,1,0)</f>
        <v>1</v>
      </c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2.75" customHeight="1">
      <c r="A348" s="17">
        <v>202208</v>
      </c>
      <c r="B348" s="15">
        <v>5540246183542</v>
      </c>
      <c r="C348" s="11">
        <v>2506</v>
      </c>
      <c r="D348" s="11">
        <v>7045.0560000000005</v>
      </c>
      <c r="E348" s="25">
        <f t="shared" si="5"/>
        <v>2.8112753391859537</v>
      </c>
      <c r="F348" s="11">
        <v>0</v>
      </c>
      <c r="G348" s="17" t="str">
        <f>VLOOKUP(B348, 'Catégorie des articles'!A:E, 4, FALSE)</f>
        <v>MIX LEGUMES</v>
      </c>
      <c r="H348" s="14">
        <f>IF(Tableau5[[#This Row],[Stock Moyen (UVC)]]&gt;0,1,0)</f>
        <v>1</v>
      </c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2.75" customHeight="1">
      <c r="A349" s="17">
        <v>202208</v>
      </c>
      <c r="B349" s="15">
        <v>5540246183547</v>
      </c>
      <c r="C349" s="11">
        <v>9570</v>
      </c>
      <c r="D349" s="11">
        <v>98366.400000000009</v>
      </c>
      <c r="E349" s="25">
        <f t="shared" si="5"/>
        <v>10.278620689655174</v>
      </c>
      <c r="F349" s="11">
        <v>12540</v>
      </c>
      <c r="G349" s="17" t="str">
        <f>VLOOKUP(B349, 'Catégorie des articles'!A:E, 4, FALSE)</f>
        <v>VOLAILLE</v>
      </c>
      <c r="H349" s="14">
        <f>IF(Tableau5[[#This Row],[Stock Moyen (UVC)]]&gt;0,1,0)</f>
        <v>1</v>
      </c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2.75" customHeight="1">
      <c r="A350" s="17">
        <v>202208</v>
      </c>
      <c r="B350" s="15">
        <v>5540246183552</v>
      </c>
      <c r="C350" s="11">
        <v>244</v>
      </c>
      <c r="D350" s="11">
        <v>449.06400000000002</v>
      </c>
      <c r="E350" s="25">
        <f t="shared" si="5"/>
        <v>1.8404262295081968</v>
      </c>
      <c r="F350" s="11">
        <v>260</v>
      </c>
      <c r="G350" s="17" t="str">
        <f>VLOOKUP(B350, 'Catégorie des articles'!A:E, 4, FALSE)</f>
        <v>MIX LEGUMES</v>
      </c>
      <c r="H350" s="14">
        <f>IF(Tableau5[[#This Row],[Stock Moyen (UVC)]]&gt;0,1,0)</f>
        <v>1</v>
      </c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2.75" customHeight="1">
      <c r="A351" s="17">
        <v>202208</v>
      </c>
      <c r="B351" s="13">
        <v>5540246183554</v>
      </c>
      <c r="C351" s="8">
        <v>1546</v>
      </c>
      <c r="D351" s="8">
        <v>11612.073600000002</v>
      </c>
      <c r="E351" s="25">
        <f t="shared" si="5"/>
        <v>7.511043725743856</v>
      </c>
      <c r="F351" s="8">
        <v>28</v>
      </c>
      <c r="G351" s="17" t="str">
        <f>VLOOKUP(B351, 'Catégorie des articles'!A:E, 4, FALSE)</f>
        <v>MIX LEGUMES</v>
      </c>
      <c r="H351" s="14">
        <f>IF(Tableau5[[#This Row],[Stock Moyen (UVC)]]&gt;0,1,0)</f>
        <v>1</v>
      </c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2.75" customHeight="1">
      <c r="A352" s="17">
        <v>202208</v>
      </c>
      <c r="B352" s="15">
        <v>5540246183555</v>
      </c>
      <c r="C352" s="11">
        <v>1151</v>
      </c>
      <c r="D352" s="11">
        <v>1538.4816000000001</v>
      </c>
      <c r="E352" s="25">
        <f t="shared" si="5"/>
        <v>1.336647784535187</v>
      </c>
      <c r="F352" s="11">
        <v>891</v>
      </c>
      <c r="G352" s="17" t="str">
        <f>VLOOKUP(B352, 'Catégorie des articles'!A:E, 4, FALSE)</f>
        <v>MIX LEGUMES</v>
      </c>
      <c r="H352" s="14">
        <f>IF(Tableau5[[#This Row],[Stock Moyen (UVC)]]&gt;0,1,0)</f>
        <v>1</v>
      </c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2.75" customHeight="1">
      <c r="A353" s="17">
        <v>202208</v>
      </c>
      <c r="B353" s="13">
        <v>5540246183558</v>
      </c>
      <c r="C353" s="8">
        <v>3202</v>
      </c>
      <c r="D353" s="8">
        <v>17646.336000000003</v>
      </c>
      <c r="E353" s="25">
        <f t="shared" si="5"/>
        <v>5.511035602748283</v>
      </c>
      <c r="F353" s="8">
        <v>4478</v>
      </c>
      <c r="G353" s="17" t="str">
        <f>VLOOKUP(B353, 'Catégorie des articles'!A:E, 4, FALSE)</f>
        <v>MIX LEGUMES</v>
      </c>
      <c r="H353" s="14">
        <f>IF(Tableau5[[#This Row],[Stock Moyen (UVC)]]&gt;0,1,0)</f>
        <v>1</v>
      </c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2.75" customHeight="1">
      <c r="A354" s="17">
        <v>202208</v>
      </c>
      <c r="B354" s="15">
        <v>5540246183560</v>
      </c>
      <c r="C354" s="11">
        <v>214</v>
      </c>
      <c r="D354" s="11">
        <v>5206.4640000000009</v>
      </c>
      <c r="E354" s="25">
        <f t="shared" si="5"/>
        <v>24.329271028037386</v>
      </c>
      <c r="F354" s="11">
        <v>168</v>
      </c>
      <c r="G354" s="17" t="str">
        <f>VLOOKUP(B354, 'Catégorie des articles'!A:E, 4, FALSE)</f>
        <v>MIX LEGUMES</v>
      </c>
      <c r="H354" s="14">
        <f>IF(Tableau5[[#This Row],[Stock Moyen (UVC)]]&gt;0,1,0)</f>
        <v>1</v>
      </c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2.75" customHeight="1">
      <c r="A355" s="17">
        <v>202208</v>
      </c>
      <c r="B355" s="13">
        <v>5540246183562</v>
      </c>
      <c r="C355" s="8">
        <v>5916</v>
      </c>
      <c r="D355" s="8">
        <v>19057.68</v>
      </c>
      <c r="E355" s="25">
        <f t="shared" si="5"/>
        <v>3.2213793103448278</v>
      </c>
      <c r="F355" s="8">
        <v>4826</v>
      </c>
      <c r="G355" s="17" t="str">
        <f>VLOOKUP(B355, 'Catégorie des articles'!A:E, 4, FALSE)</f>
        <v>MIX LEGUMES</v>
      </c>
      <c r="H355" s="14">
        <f>IF(Tableau5[[#This Row],[Stock Moyen (UVC)]]&gt;0,1,0)</f>
        <v>1</v>
      </c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2.75" customHeight="1">
      <c r="A356" s="17">
        <v>202208</v>
      </c>
      <c r="B356" s="13">
        <v>5540246183587</v>
      </c>
      <c r="C356" s="8">
        <v>439</v>
      </c>
      <c r="D356" s="8">
        <v>9234.3888000000006</v>
      </c>
      <c r="E356" s="25">
        <f t="shared" si="5"/>
        <v>21.035054214123008</v>
      </c>
      <c r="F356" s="8">
        <v>627</v>
      </c>
      <c r="G356" s="17" t="str">
        <f>VLOOKUP(B356, 'Catégorie des articles'!A:E, 4, FALSE)</f>
        <v>MIX LEGUMES</v>
      </c>
      <c r="H356" s="14">
        <f>IF(Tableau5[[#This Row],[Stock Moyen (UVC)]]&gt;0,1,0)</f>
        <v>1</v>
      </c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2.75" customHeight="1">
      <c r="A357" s="17">
        <v>202208</v>
      </c>
      <c r="B357" s="15">
        <v>5540246183589</v>
      </c>
      <c r="C357" s="11">
        <v>1520</v>
      </c>
      <c r="D357" s="11">
        <v>20033.567999999999</v>
      </c>
      <c r="E357" s="25">
        <f t="shared" si="5"/>
        <v>13.17997894736842</v>
      </c>
      <c r="F357" s="11">
        <v>441</v>
      </c>
      <c r="G357" s="17" t="str">
        <f>VLOOKUP(B357, 'Catégorie des articles'!A:E, 4, FALSE)</f>
        <v>MIX LEGUMES</v>
      </c>
      <c r="H357" s="14">
        <f>IF(Tableau5[[#This Row],[Stock Moyen (UVC)]]&gt;0,1,0)</f>
        <v>1</v>
      </c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2.75" customHeight="1">
      <c r="A358" s="17">
        <v>202208</v>
      </c>
      <c r="B358" s="13">
        <v>5540246183590</v>
      </c>
      <c r="C358" s="8">
        <v>2318</v>
      </c>
      <c r="D358" s="8">
        <v>32151.816000000003</v>
      </c>
      <c r="E358" s="25">
        <f t="shared" si="5"/>
        <v>13.870498705780847</v>
      </c>
      <c r="F358" s="8">
        <v>105</v>
      </c>
      <c r="G358" s="17" t="str">
        <f>VLOOKUP(B358, 'Catégorie des articles'!A:E, 4, FALSE)</f>
        <v>MIX LEGUMES</v>
      </c>
      <c r="H358" s="14">
        <f>IF(Tableau5[[#This Row],[Stock Moyen (UVC)]]&gt;0,1,0)</f>
        <v>1</v>
      </c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2.75" customHeight="1">
      <c r="A359" s="17">
        <v>202208</v>
      </c>
      <c r="B359" s="13">
        <v>5540246183844</v>
      </c>
      <c r="C359" s="8">
        <v>277</v>
      </c>
      <c r="D359" s="8">
        <v>7968.2400000000007</v>
      </c>
      <c r="E359" s="25">
        <f t="shared" si="5"/>
        <v>28.766209386281592</v>
      </c>
      <c r="F359" s="8">
        <v>202</v>
      </c>
      <c r="G359" s="17" t="str">
        <f>VLOOKUP(B359, 'Catégorie des articles'!A:E, 4, FALSE)</f>
        <v>BOULANGERIE</v>
      </c>
      <c r="H359" s="14">
        <f>IF(Tableau5[[#This Row],[Stock Moyen (UVC)]]&gt;0,1,0)</f>
        <v>1</v>
      </c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2.75" customHeight="1">
      <c r="A360" s="17">
        <v>202208</v>
      </c>
      <c r="B360" s="13">
        <v>5540246184036</v>
      </c>
      <c r="C360" s="8">
        <v>126</v>
      </c>
      <c r="D360" s="8">
        <v>2146.1760000000004</v>
      </c>
      <c r="E360" s="25">
        <f t="shared" si="5"/>
        <v>17.03314285714286</v>
      </c>
      <c r="F360" s="8">
        <v>128</v>
      </c>
      <c r="G360" s="17" t="str">
        <f>VLOOKUP(B360, 'Catégorie des articles'!A:E, 4, FALSE)</f>
        <v>BOULANGERIE</v>
      </c>
      <c r="H360" s="14">
        <f>IF(Tableau5[[#This Row],[Stock Moyen (UVC)]]&gt;0,1,0)</f>
        <v>1</v>
      </c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2.75" customHeight="1">
      <c r="A361" s="17">
        <v>202208</v>
      </c>
      <c r="B361" s="15">
        <v>5540246185278</v>
      </c>
      <c r="C361" s="11">
        <v>27513</v>
      </c>
      <c r="D361" s="11">
        <v>27152.366400000003</v>
      </c>
      <c r="E361" s="25">
        <f t="shared" si="5"/>
        <v>0.98689224730127589</v>
      </c>
      <c r="F361" s="11">
        <v>41658</v>
      </c>
      <c r="G361" s="17" t="str">
        <f>VLOOKUP(B361, 'Catégorie des articles'!A:E, 4, FALSE)</f>
        <v>VOLAILLE</v>
      </c>
      <c r="H361" s="14">
        <f>IF(Tableau5[[#This Row],[Stock Moyen (UVC)]]&gt;0,1,0)</f>
        <v>1</v>
      </c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75" customHeight="1">
      <c r="A362" s="17">
        <v>202208</v>
      </c>
      <c r="B362" s="13">
        <v>5540246185429</v>
      </c>
      <c r="C362" s="8">
        <v>70</v>
      </c>
      <c r="D362" s="8">
        <v>368.06400000000002</v>
      </c>
      <c r="E362" s="25">
        <f t="shared" si="5"/>
        <v>5.258057142857143</v>
      </c>
      <c r="F362" s="8">
        <v>474</v>
      </c>
      <c r="G362" s="17" t="str">
        <f>VLOOKUP(B362, 'Catégorie des articles'!A:E, 4, FALSE)</f>
        <v>CREMERIE</v>
      </c>
      <c r="H362" s="14">
        <f>IF(Tableau5[[#This Row],[Stock Moyen (UVC)]]&gt;0,1,0)</f>
        <v>1</v>
      </c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75" customHeight="1">
      <c r="A363" s="17">
        <v>202208</v>
      </c>
      <c r="B363" s="13">
        <v>5540246185562</v>
      </c>
      <c r="C363" s="8">
        <v>126</v>
      </c>
      <c r="D363" s="8">
        <v>363.91680000000002</v>
      </c>
      <c r="E363" s="25">
        <f t="shared" si="5"/>
        <v>2.8882285714285718</v>
      </c>
      <c r="F363" s="8">
        <v>140</v>
      </c>
      <c r="G363" s="17" t="str">
        <f>VLOOKUP(B363, 'Catégorie des articles'!A:E, 4, FALSE)</f>
        <v>CREMERIE</v>
      </c>
      <c r="H363" s="14">
        <f>IF(Tableau5[[#This Row],[Stock Moyen (UVC)]]&gt;0,1,0)</f>
        <v>1</v>
      </c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2.75" customHeight="1">
      <c r="A364" s="17">
        <v>202208</v>
      </c>
      <c r="B364" s="13">
        <v>5540246186010</v>
      </c>
      <c r="C364" s="8">
        <v>119</v>
      </c>
      <c r="D364" s="8">
        <v>17429.515200000002</v>
      </c>
      <c r="E364" s="25">
        <f t="shared" si="5"/>
        <v>146.46651428571431</v>
      </c>
      <c r="F364" s="8">
        <v>10</v>
      </c>
      <c r="G364" s="17" t="str">
        <f>VLOOKUP(B364, 'Catégorie des articles'!A:E, 4, FALSE)</f>
        <v>EMBALLAGES</v>
      </c>
      <c r="H364" s="14">
        <f>IF(Tableau5[[#This Row],[Stock Moyen (UVC)]]&gt;0,1,0)</f>
        <v>1</v>
      </c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2.75" customHeight="1">
      <c r="A365" s="17">
        <v>202208</v>
      </c>
      <c r="B365" s="15">
        <v>5540246186011</v>
      </c>
      <c r="C365" s="11">
        <v>107</v>
      </c>
      <c r="D365" s="11">
        <v>6076.8576000000003</v>
      </c>
      <c r="E365" s="25">
        <f t="shared" si="5"/>
        <v>56.793061682242993</v>
      </c>
      <c r="F365" s="11">
        <v>3</v>
      </c>
      <c r="G365" s="17" t="str">
        <f>VLOOKUP(B365, 'Catégorie des articles'!A:E, 4, FALSE)</f>
        <v>EMBALLAGES</v>
      </c>
      <c r="H365" s="14">
        <f>IF(Tableau5[[#This Row],[Stock Moyen (UVC)]]&gt;0,1,0)</f>
        <v>1</v>
      </c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2.75" customHeight="1">
      <c r="A366" s="17">
        <v>202208</v>
      </c>
      <c r="B366" s="13">
        <v>5540246186017</v>
      </c>
      <c r="C366" s="8">
        <v>75</v>
      </c>
      <c r="D366" s="8">
        <v>7860.3264000000008</v>
      </c>
      <c r="E366" s="25">
        <f t="shared" si="5"/>
        <v>104.80435200000001</v>
      </c>
      <c r="F366" s="8">
        <v>7</v>
      </c>
      <c r="G366" s="17" t="str">
        <f>VLOOKUP(B366, 'Catégorie des articles'!A:E, 4, FALSE)</f>
        <v>EMBALLAGES</v>
      </c>
      <c r="H366" s="14">
        <f>IF(Tableau5[[#This Row],[Stock Moyen (UVC)]]&gt;0,1,0)</f>
        <v>1</v>
      </c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2.75" customHeight="1">
      <c r="A367" s="17">
        <v>202208</v>
      </c>
      <c r="B367" s="15">
        <v>5540246186325</v>
      </c>
      <c r="C367" s="11">
        <v>516</v>
      </c>
      <c r="D367" s="11">
        <v>1265.9328000000003</v>
      </c>
      <c r="E367" s="25">
        <f t="shared" si="5"/>
        <v>2.4533581395348842</v>
      </c>
      <c r="F367" s="11">
        <v>543</v>
      </c>
      <c r="G367" s="17" t="str">
        <f>VLOOKUP(B367, 'Catégorie des articles'!A:E, 4, FALSE)</f>
        <v>CREMERIE</v>
      </c>
      <c r="H367" s="14">
        <f>IF(Tableau5[[#This Row],[Stock Moyen (UVC)]]&gt;0,1,0)</f>
        <v>1</v>
      </c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2.75" customHeight="1">
      <c r="A368" s="17">
        <v>202208</v>
      </c>
      <c r="B368" s="13">
        <v>5540246186351</v>
      </c>
      <c r="C368" s="8">
        <v>1518</v>
      </c>
      <c r="D368" s="8">
        <v>89928.662400000001</v>
      </c>
      <c r="E368" s="25">
        <f t="shared" si="5"/>
        <v>59.241543083003954</v>
      </c>
      <c r="F368" s="8">
        <v>133</v>
      </c>
      <c r="G368" s="17" t="str">
        <f>VLOOKUP(B368, 'Catégorie des articles'!A:E, 4, FALSE)</f>
        <v>MIX LEGUMES</v>
      </c>
      <c r="H368" s="14">
        <f>IF(Tableau5[[#This Row],[Stock Moyen (UVC)]]&gt;0,1,0)</f>
        <v>1</v>
      </c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2.75" customHeight="1">
      <c r="A369" s="17">
        <v>202208</v>
      </c>
      <c r="B369" s="15">
        <v>5540246186352</v>
      </c>
      <c r="C369" s="11">
        <v>8202</v>
      </c>
      <c r="D369" s="11">
        <v>86282.28</v>
      </c>
      <c r="E369" s="25">
        <f t="shared" si="5"/>
        <v>10.51966349670812</v>
      </c>
      <c r="F369" s="11">
        <v>1346</v>
      </c>
      <c r="G369" s="17" t="str">
        <f>VLOOKUP(B369, 'Catégorie des articles'!A:E, 4, FALSE)</f>
        <v>MIX LEGUMES</v>
      </c>
      <c r="H369" s="14">
        <f>IF(Tableau5[[#This Row],[Stock Moyen (UVC)]]&gt;0,1,0)</f>
        <v>1</v>
      </c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2.75" customHeight="1">
      <c r="A370" s="17">
        <v>202208</v>
      </c>
      <c r="B370" s="13">
        <v>5540246187882</v>
      </c>
      <c r="C370" s="8">
        <v>68</v>
      </c>
      <c r="D370" s="8">
        <v>2581.0272000000004</v>
      </c>
      <c r="E370" s="25">
        <f t="shared" si="5"/>
        <v>37.95628235294118</v>
      </c>
      <c r="F370" s="8">
        <v>21</v>
      </c>
      <c r="G370" s="17" t="str">
        <f>VLOOKUP(B370, 'Catégorie des articles'!A:E, 4, FALSE)</f>
        <v>EMBALLAGES</v>
      </c>
      <c r="H370" s="14">
        <f>IF(Tableau5[[#This Row],[Stock Moyen (UVC)]]&gt;0,1,0)</f>
        <v>1</v>
      </c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2.75" customHeight="1">
      <c r="A371" s="17">
        <v>202208</v>
      </c>
      <c r="B371" s="15">
        <v>5540246187987</v>
      </c>
      <c r="C371" s="11">
        <v>1448</v>
      </c>
      <c r="D371" s="11">
        <v>711.67680000000007</v>
      </c>
      <c r="E371" s="25">
        <f t="shared" si="5"/>
        <v>0.49148950276243097</v>
      </c>
      <c r="F371" s="11">
        <v>29901</v>
      </c>
      <c r="G371" s="17" t="str">
        <f>VLOOKUP(B371, 'Catégorie des articles'!A:E, 4, FALSE)</f>
        <v>CREMERIE</v>
      </c>
      <c r="H371" s="14">
        <f>IF(Tableau5[[#This Row],[Stock Moyen (UVC)]]&gt;0,1,0)</f>
        <v>1</v>
      </c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2.75" customHeight="1">
      <c r="A372" s="17">
        <v>202208</v>
      </c>
      <c r="B372" s="13">
        <v>5540246187995</v>
      </c>
      <c r="C372" s="8">
        <v>1448</v>
      </c>
      <c r="D372" s="8">
        <v>126993.48480000001</v>
      </c>
      <c r="E372" s="25">
        <f t="shared" si="5"/>
        <v>87.702682872928179</v>
      </c>
      <c r="F372" s="8">
        <v>645</v>
      </c>
      <c r="G372" s="17" t="str">
        <f>VLOOKUP(B372, 'Catégorie des articles'!A:E, 4, FALSE)</f>
        <v>EMBALLAGES</v>
      </c>
      <c r="H372" s="14">
        <f>IF(Tableau5[[#This Row],[Stock Moyen (UVC)]]&gt;0,1,0)</f>
        <v>1</v>
      </c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2.75" customHeight="1">
      <c r="A373" s="17">
        <v>202208</v>
      </c>
      <c r="B373" s="15">
        <v>5540246187996</v>
      </c>
      <c r="C373" s="11">
        <v>328</v>
      </c>
      <c r="D373" s="11">
        <v>15124.449600000002</v>
      </c>
      <c r="E373" s="25">
        <f t="shared" si="5"/>
        <v>46.111126829268301</v>
      </c>
      <c r="F373" s="11">
        <v>12</v>
      </c>
      <c r="G373" s="17" t="str">
        <f>VLOOKUP(B373, 'Catégorie des articles'!A:E, 4, FALSE)</f>
        <v>EMBALLAGES</v>
      </c>
      <c r="H373" s="14">
        <f>IF(Tableau5[[#This Row],[Stock Moyen (UVC)]]&gt;0,1,0)</f>
        <v>1</v>
      </c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2.75" customHeight="1">
      <c r="A374" s="17">
        <v>202208</v>
      </c>
      <c r="B374" s="13">
        <v>5540246187997</v>
      </c>
      <c r="C374" s="8">
        <v>216</v>
      </c>
      <c r="D374" s="8">
        <v>10779.220800000001</v>
      </c>
      <c r="E374" s="25">
        <f t="shared" si="5"/>
        <v>49.903800000000004</v>
      </c>
      <c r="F374" s="8">
        <v>56</v>
      </c>
      <c r="G374" s="17" t="str">
        <f>VLOOKUP(B374, 'Catégorie des articles'!A:E, 4, FALSE)</f>
        <v>EMBALLAGES</v>
      </c>
      <c r="H374" s="14">
        <f>IF(Tableau5[[#This Row],[Stock Moyen (UVC)]]&gt;0,1,0)</f>
        <v>1</v>
      </c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2.75" customHeight="1">
      <c r="A375" s="17">
        <v>202208</v>
      </c>
      <c r="B375" s="15">
        <v>5540246187998</v>
      </c>
      <c r="C375" s="11">
        <v>253</v>
      </c>
      <c r="D375" s="11">
        <v>13000.996800000001</v>
      </c>
      <c r="E375" s="25">
        <f t="shared" si="5"/>
        <v>51.387339130434789</v>
      </c>
      <c r="F375" s="11">
        <v>221</v>
      </c>
      <c r="G375" s="17" t="str">
        <f>VLOOKUP(B375, 'Catégorie des articles'!A:E, 4, FALSE)</f>
        <v>EMBALLAGES</v>
      </c>
      <c r="H375" s="14">
        <f>IF(Tableau5[[#This Row],[Stock Moyen (UVC)]]&gt;0,1,0)</f>
        <v>1</v>
      </c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2.75" customHeight="1">
      <c r="A376" s="17">
        <v>202208</v>
      </c>
      <c r="B376" s="13">
        <v>5540246188047</v>
      </c>
      <c r="C376" s="8">
        <v>293</v>
      </c>
      <c r="D376" s="8">
        <v>35609.414400000001</v>
      </c>
      <c r="E376" s="25">
        <f t="shared" si="5"/>
        <v>121.53383754266213</v>
      </c>
      <c r="F376" s="8">
        <v>24</v>
      </c>
      <c r="G376" s="17" t="str">
        <f>VLOOKUP(B376, 'Catégorie des articles'!A:E, 4, FALSE)</f>
        <v>EMBALLAGES</v>
      </c>
      <c r="H376" s="14">
        <f>IF(Tableau5[[#This Row],[Stock Moyen (UVC)]]&gt;0,1,0)</f>
        <v>1</v>
      </c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2.75" customHeight="1">
      <c r="A377" s="17">
        <v>202208</v>
      </c>
      <c r="B377" s="15">
        <v>5540246188175</v>
      </c>
      <c r="C377" s="11">
        <v>93</v>
      </c>
      <c r="D377" s="11">
        <v>2649.0240000000003</v>
      </c>
      <c r="E377" s="25">
        <f t="shared" si="5"/>
        <v>28.484129032258068</v>
      </c>
      <c r="F377" s="11">
        <v>483</v>
      </c>
      <c r="G377" s="17" t="str">
        <f>VLOOKUP(B377, 'Catégorie des articles'!A:E, 4, FALSE)</f>
        <v>CREMERIE</v>
      </c>
      <c r="H377" s="14">
        <f>IF(Tableau5[[#This Row],[Stock Moyen (UVC)]]&gt;0,1,0)</f>
        <v>1</v>
      </c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2.75" customHeight="1">
      <c r="A378" s="17">
        <v>202208</v>
      </c>
      <c r="B378" s="13">
        <v>5540246188200</v>
      </c>
      <c r="C378" s="8">
        <v>1040</v>
      </c>
      <c r="D378" s="8">
        <v>1916.0064</v>
      </c>
      <c r="E378" s="25">
        <f t="shared" si="5"/>
        <v>1.8423138461538462</v>
      </c>
      <c r="F378" s="8">
        <v>12844</v>
      </c>
      <c r="G378" s="17" t="str">
        <f>VLOOKUP(B378, 'Catégorie des articles'!A:E, 4, FALSE)</f>
        <v>CREMERIE</v>
      </c>
      <c r="H378" s="14">
        <f>IF(Tableau5[[#This Row],[Stock Moyen (UVC)]]&gt;0,1,0)</f>
        <v>1</v>
      </c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2.75" customHeight="1">
      <c r="A379" s="17">
        <v>202208</v>
      </c>
      <c r="B379" s="13">
        <v>5540246188224</v>
      </c>
      <c r="C379" s="8">
        <v>15080</v>
      </c>
      <c r="D379" s="8">
        <v>17690.400000000001</v>
      </c>
      <c r="E379" s="25">
        <f t="shared" si="5"/>
        <v>1.1731034482758622</v>
      </c>
      <c r="F379" s="8">
        <v>11252</v>
      </c>
      <c r="G379" s="17" t="str">
        <f>VLOOKUP(B379, 'Catégorie des articles'!A:E, 4, FALSE)</f>
        <v>VOLAILLE</v>
      </c>
      <c r="H379" s="14">
        <f>IF(Tableau5[[#This Row],[Stock Moyen (UVC)]]&gt;0,1,0)</f>
        <v>1</v>
      </c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75" customHeight="1">
      <c r="A380" s="17">
        <v>202208</v>
      </c>
      <c r="B380" s="13">
        <v>5540246188512</v>
      </c>
      <c r="C380" s="8">
        <v>332</v>
      </c>
      <c r="D380" s="8">
        <v>45479.491200000004</v>
      </c>
      <c r="E380" s="25">
        <f t="shared" si="5"/>
        <v>136.98641927710844</v>
      </c>
      <c r="F380" s="8">
        <v>0</v>
      </c>
      <c r="G380" s="17" t="str">
        <f>VLOOKUP(B380, 'Catégorie des articles'!A:E, 4, FALSE)</f>
        <v>EMBALLAGES</v>
      </c>
      <c r="H380" s="14">
        <f>IF(Tableau5[[#This Row],[Stock Moyen (UVC)]]&gt;0,1,0)</f>
        <v>1</v>
      </c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2.75" customHeight="1">
      <c r="A381" s="17">
        <v>202208</v>
      </c>
      <c r="B381" s="15">
        <v>5540246188583</v>
      </c>
      <c r="C381" s="11">
        <v>2450</v>
      </c>
      <c r="D381" s="11">
        <v>8772.5808000000015</v>
      </c>
      <c r="E381" s="25">
        <f t="shared" si="5"/>
        <v>3.5806452244897966</v>
      </c>
      <c r="F381" s="11">
        <v>4789</v>
      </c>
      <c r="G381" s="17" t="str">
        <f>VLOOKUP(B381, 'Catégorie des articles'!A:E, 4, FALSE)</f>
        <v>BOULANGERIE</v>
      </c>
      <c r="H381" s="14">
        <f>IF(Tableau5[[#This Row],[Stock Moyen (UVC)]]&gt;0,1,0)</f>
        <v>1</v>
      </c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2.75" customHeight="1">
      <c r="A382" s="17">
        <v>202208</v>
      </c>
      <c r="B382" s="15">
        <v>5540246188647</v>
      </c>
      <c r="C382" s="11">
        <v>1706</v>
      </c>
      <c r="D382" s="11">
        <v>25242.84</v>
      </c>
      <c r="E382" s="25">
        <f t="shared" si="5"/>
        <v>14.796506447831185</v>
      </c>
      <c r="F382" s="11">
        <v>720</v>
      </c>
      <c r="G382" s="17" t="str">
        <f>VLOOKUP(B382, 'Catégorie des articles'!A:E, 4, FALSE)</f>
        <v>MIX LEGUMES</v>
      </c>
      <c r="H382" s="14">
        <f>IF(Tableau5[[#This Row],[Stock Moyen (UVC)]]&gt;0,1,0)</f>
        <v>1</v>
      </c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2.75" customHeight="1">
      <c r="A383" s="17">
        <v>202208</v>
      </c>
      <c r="B383" s="15">
        <v>5540246190092</v>
      </c>
      <c r="C383" s="11">
        <v>198</v>
      </c>
      <c r="D383" s="11">
        <v>27290.304</v>
      </c>
      <c r="E383" s="25">
        <f t="shared" si="5"/>
        <v>137.82981818181818</v>
      </c>
      <c r="F383" s="11">
        <v>40</v>
      </c>
      <c r="G383" s="17" t="str">
        <f>VLOOKUP(B383, 'Catégorie des articles'!A:E, 4, FALSE)</f>
        <v>EMBALLAGES</v>
      </c>
      <c r="H383" s="14">
        <f>IF(Tableau5[[#This Row],[Stock Moyen (UVC)]]&gt;0,1,0)</f>
        <v>1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2.75" customHeight="1">
      <c r="A384" s="17">
        <v>202208</v>
      </c>
      <c r="B384" s="15">
        <v>5540246190727</v>
      </c>
      <c r="C384" s="11">
        <v>1102</v>
      </c>
      <c r="D384" s="11">
        <v>12453.609600000002</v>
      </c>
      <c r="E384" s="25">
        <f t="shared" si="5"/>
        <v>11.300916152450093</v>
      </c>
      <c r="F384" s="11">
        <v>604</v>
      </c>
      <c r="G384" s="17" t="str">
        <f>VLOOKUP(B384, 'Catégorie des articles'!A:E, 4, FALSE)</f>
        <v>BOULANGERIE</v>
      </c>
      <c r="H384" s="14">
        <f>IF(Tableau5[[#This Row],[Stock Moyen (UVC)]]&gt;0,1,0)</f>
        <v>1</v>
      </c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2.75" customHeight="1">
      <c r="A385" s="17">
        <v>202208</v>
      </c>
      <c r="B385" s="13">
        <v>5540246190743</v>
      </c>
      <c r="C385" s="8">
        <v>195</v>
      </c>
      <c r="D385" s="8">
        <v>1654.7328000000002</v>
      </c>
      <c r="E385" s="25">
        <f t="shared" si="5"/>
        <v>8.4858092307692328</v>
      </c>
      <c r="F385" s="8">
        <v>724</v>
      </c>
      <c r="G385" s="17" t="str">
        <f>VLOOKUP(B385, 'Catégorie des articles'!A:E, 4, FALSE)</f>
        <v>CREMERIE</v>
      </c>
      <c r="H385" s="14">
        <f>IF(Tableau5[[#This Row],[Stock Moyen (UVC)]]&gt;0,1,0)</f>
        <v>1</v>
      </c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2.75" customHeight="1">
      <c r="A386" s="17">
        <v>202208</v>
      </c>
      <c r="B386" s="13">
        <v>5540246190831</v>
      </c>
      <c r="C386" s="8">
        <v>1300</v>
      </c>
      <c r="D386" s="8">
        <v>9775.9872000000014</v>
      </c>
      <c r="E386" s="25">
        <f t="shared" si="5"/>
        <v>7.5199901538461553</v>
      </c>
      <c r="F386" s="8">
        <v>0</v>
      </c>
      <c r="G386" s="17" t="str">
        <f>VLOOKUP(B386, 'Catégorie des articles'!A:E, 4, FALSE)</f>
        <v>MIX LEGUMES</v>
      </c>
      <c r="H386" s="14">
        <f>IF(Tableau5[[#This Row],[Stock Moyen (UVC)]]&gt;0,1,0)</f>
        <v>1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2.75" customHeight="1">
      <c r="A387" s="17">
        <v>202208</v>
      </c>
      <c r="B387" s="15">
        <v>5540246190835</v>
      </c>
      <c r="C387" s="11">
        <v>116</v>
      </c>
      <c r="D387" s="11">
        <v>24520.320000000003</v>
      </c>
      <c r="E387" s="25">
        <f t="shared" ref="E387:E450" si="6">IF(C387=0,"",D387/C387)</f>
        <v>211.38206896551728</v>
      </c>
      <c r="F387" s="11">
        <v>3</v>
      </c>
      <c r="G387" s="17" t="str">
        <f>VLOOKUP(B387, 'Catégorie des articles'!A:E, 4, FALSE)</f>
        <v>BOULANGERIE</v>
      </c>
      <c r="H387" s="14">
        <f>IF(Tableau5[[#This Row],[Stock Moyen (UVC)]]&gt;0,1,0)</f>
        <v>1</v>
      </c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2.75" customHeight="1">
      <c r="A388" s="17">
        <v>202208</v>
      </c>
      <c r="B388" s="15">
        <v>5540246191380</v>
      </c>
      <c r="C388" s="11">
        <v>418</v>
      </c>
      <c r="D388" s="11">
        <v>1975.104</v>
      </c>
      <c r="E388" s="25">
        <f t="shared" si="6"/>
        <v>4.7251291866028708</v>
      </c>
      <c r="F388" s="11">
        <v>418</v>
      </c>
      <c r="G388" s="17" t="str">
        <f>VLOOKUP(B388, 'Catégorie des articles'!A:E, 4, FALSE)</f>
        <v>CREMERIE</v>
      </c>
      <c r="H388" s="14">
        <f>IF(Tableau5[[#This Row],[Stock Moyen (UVC)]]&gt;0,1,0)</f>
        <v>1</v>
      </c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2.75" customHeight="1">
      <c r="A389" s="17">
        <v>202208</v>
      </c>
      <c r="B389" s="13">
        <v>5540246191394</v>
      </c>
      <c r="C389" s="8">
        <v>1972</v>
      </c>
      <c r="D389" s="8">
        <v>10531.296000000002</v>
      </c>
      <c r="E389" s="25">
        <f t="shared" si="6"/>
        <v>5.3404137931034494</v>
      </c>
      <c r="F389" s="8">
        <v>0</v>
      </c>
      <c r="G389" s="17" t="str">
        <f>VLOOKUP(B389, 'Catégorie des articles'!A:E, 4, FALSE)</f>
        <v>CREMERIE</v>
      </c>
      <c r="H389" s="14">
        <f>IF(Tableau5[[#This Row],[Stock Moyen (UVC)]]&gt;0,1,0)</f>
        <v>1</v>
      </c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2.75" customHeight="1">
      <c r="A390" s="17">
        <v>202208</v>
      </c>
      <c r="B390" s="13">
        <v>5540246191596</v>
      </c>
      <c r="C390" s="8">
        <v>191</v>
      </c>
      <c r="D390" s="8">
        <v>10620.115200000002</v>
      </c>
      <c r="E390" s="25">
        <f t="shared" si="6"/>
        <v>55.602697382198961</v>
      </c>
      <c r="F390" s="8">
        <v>154</v>
      </c>
      <c r="G390" s="17" t="str">
        <f>VLOOKUP(B390, 'Catégorie des articles'!A:E, 4, FALSE)</f>
        <v>BOULANGERIE</v>
      </c>
      <c r="H390" s="14">
        <f>IF(Tableau5[[#This Row],[Stock Moyen (UVC)]]&gt;0,1,0)</f>
        <v>1</v>
      </c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2.75" customHeight="1">
      <c r="A391" s="17">
        <v>202208</v>
      </c>
      <c r="B391" s="15">
        <v>5540246191718</v>
      </c>
      <c r="C391" s="11">
        <v>2372</v>
      </c>
      <c r="D391" s="11">
        <v>7028.7264000000005</v>
      </c>
      <c r="E391" s="25">
        <f t="shared" si="6"/>
        <v>2.9632067453625632</v>
      </c>
      <c r="F391" s="11">
        <v>163</v>
      </c>
      <c r="G391" s="17" t="str">
        <f>VLOOKUP(B391, 'Catégorie des articles'!A:E, 4, FALSE)</f>
        <v>MIX LEGUMES</v>
      </c>
      <c r="H391" s="14">
        <f>IF(Tableau5[[#This Row],[Stock Moyen (UVC)]]&gt;0,1,0)</f>
        <v>1</v>
      </c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2.75" customHeight="1">
      <c r="A392" s="17">
        <v>202208</v>
      </c>
      <c r="B392" s="15">
        <v>5540246191736</v>
      </c>
      <c r="C392" s="11">
        <v>45</v>
      </c>
      <c r="D392" s="11">
        <v>1425.7295999999999</v>
      </c>
      <c r="E392" s="25">
        <f t="shared" si="6"/>
        <v>31.682879999999997</v>
      </c>
      <c r="F392" s="11">
        <v>0</v>
      </c>
      <c r="G392" s="17" t="str">
        <f>VLOOKUP(B392, 'Catégorie des articles'!A:E, 4, FALSE)</f>
        <v>CREMERIE</v>
      </c>
      <c r="H392" s="14">
        <f>IF(Tableau5[[#This Row],[Stock Moyen (UVC)]]&gt;0,1,0)</f>
        <v>1</v>
      </c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2.75" customHeight="1">
      <c r="A393" s="17">
        <v>202208</v>
      </c>
      <c r="B393" s="15">
        <v>5540246192102</v>
      </c>
      <c r="C393" s="11">
        <v>5457</v>
      </c>
      <c r="D393" s="11">
        <v>5974.4736000000003</v>
      </c>
      <c r="E393" s="25">
        <f t="shared" si="6"/>
        <v>1.0948274876305664</v>
      </c>
      <c r="F393" s="11">
        <v>9216</v>
      </c>
      <c r="G393" s="17" t="str">
        <f>VLOOKUP(B393, 'Catégorie des articles'!A:E, 4, FALSE)</f>
        <v>CREMERIE</v>
      </c>
      <c r="H393" s="14">
        <f>IF(Tableau5[[#This Row],[Stock Moyen (UVC)]]&gt;0,1,0)</f>
        <v>1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2.75" customHeight="1">
      <c r="A394" s="17">
        <v>202208</v>
      </c>
      <c r="B394" s="15">
        <v>5540246192148</v>
      </c>
      <c r="C394" s="11">
        <v>5564</v>
      </c>
      <c r="D394" s="11">
        <v>20231.8128</v>
      </c>
      <c r="E394" s="25">
        <f t="shared" si="6"/>
        <v>3.6361992810927388</v>
      </c>
      <c r="F394" s="11">
        <v>36188</v>
      </c>
      <c r="G394" s="17" t="str">
        <f>VLOOKUP(B394, 'Catégorie des articles'!A:E, 4, FALSE)</f>
        <v>MIX LEGUMES</v>
      </c>
      <c r="H394" s="14">
        <f>IF(Tableau5[[#This Row],[Stock Moyen (UVC)]]&gt;0,1,0)</f>
        <v>1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2.75" customHeight="1">
      <c r="A395" s="17">
        <v>202208</v>
      </c>
      <c r="B395" s="13">
        <v>5540246192209</v>
      </c>
      <c r="C395" s="8">
        <v>864</v>
      </c>
      <c r="D395" s="8">
        <v>4339.0079999999998</v>
      </c>
      <c r="E395" s="25">
        <f t="shared" si="6"/>
        <v>5.0219999999999994</v>
      </c>
      <c r="F395" s="8">
        <v>1866</v>
      </c>
      <c r="G395" s="17" t="str">
        <f>VLOOKUP(B395, 'Catégorie des articles'!A:E, 4, FALSE)</f>
        <v>MIX LEGUMES</v>
      </c>
      <c r="H395" s="14">
        <f>IF(Tableau5[[#This Row],[Stock Moyen (UVC)]]&gt;0,1,0)</f>
        <v>1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75" customHeight="1">
      <c r="A396" s="17">
        <v>202208</v>
      </c>
      <c r="B396" s="15">
        <v>5540246192264</v>
      </c>
      <c r="C396" s="11">
        <v>1040</v>
      </c>
      <c r="D396" s="11">
        <v>15095.808000000001</v>
      </c>
      <c r="E396" s="25">
        <f t="shared" si="6"/>
        <v>14.5152</v>
      </c>
      <c r="F396" s="11">
        <v>1151</v>
      </c>
      <c r="G396" s="17" t="str">
        <f>VLOOKUP(B396, 'Catégorie des articles'!A:E, 4, FALSE)</f>
        <v>CREMERIE</v>
      </c>
      <c r="H396" s="14">
        <f>IF(Tableau5[[#This Row],[Stock Moyen (UVC)]]&gt;0,1,0)</f>
        <v>1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75" customHeight="1">
      <c r="A397" s="17">
        <v>202208</v>
      </c>
      <c r="B397" s="13">
        <v>5540246192265</v>
      </c>
      <c r="C397" s="8">
        <v>1801</v>
      </c>
      <c r="D397" s="8">
        <v>24103.180799999998</v>
      </c>
      <c r="E397" s="25">
        <f t="shared" si="6"/>
        <v>13.383220877290393</v>
      </c>
      <c r="F397" s="8">
        <v>780</v>
      </c>
      <c r="G397" s="17" t="str">
        <f>VLOOKUP(B397, 'Catégorie des articles'!A:E, 4, FALSE)</f>
        <v>CREMERIE</v>
      </c>
      <c r="H397" s="14">
        <f>IF(Tableau5[[#This Row],[Stock Moyen (UVC)]]&gt;0,1,0)</f>
        <v>1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2.75" customHeight="1">
      <c r="A398" s="17">
        <v>202208</v>
      </c>
      <c r="B398" s="15">
        <v>5540246192462</v>
      </c>
      <c r="C398" s="11">
        <v>687</v>
      </c>
      <c r="D398" s="11">
        <v>4779.8640000000005</v>
      </c>
      <c r="E398" s="25">
        <f t="shared" si="6"/>
        <v>6.9575895196506554</v>
      </c>
      <c r="F398" s="11">
        <v>539</v>
      </c>
      <c r="G398" s="17" t="str">
        <f>VLOOKUP(B398, 'Catégorie des articles'!A:E, 4, FALSE)</f>
        <v>MIX LEGUMES</v>
      </c>
      <c r="H398" s="14">
        <f>IF(Tableau5[[#This Row],[Stock Moyen (UVC)]]&gt;0,1,0)</f>
        <v>1</v>
      </c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2.75" customHeight="1">
      <c r="A399" s="17">
        <v>202208</v>
      </c>
      <c r="B399" s="13">
        <v>5540246192505</v>
      </c>
      <c r="C399" s="8">
        <v>6923</v>
      </c>
      <c r="D399" s="8">
        <v>9797.0688000000009</v>
      </c>
      <c r="E399" s="25">
        <f t="shared" si="6"/>
        <v>1.4151478838653764</v>
      </c>
      <c r="F399" s="8">
        <v>7035</v>
      </c>
      <c r="G399" s="17" t="str">
        <f>VLOOKUP(B399, 'Catégorie des articles'!A:E, 4, FALSE)</f>
        <v>MIX LEGUMES</v>
      </c>
      <c r="H399" s="14">
        <f>IF(Tableau5[[#This Row],[Stock Moyen (UVC)]]&gt;0,1,0)</f>
        <v>1</v>
      </c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75" customHeight="1">
      <c r="A400" s="17">
        <v>202208</v>
      </c>
      <c r="B400" s="13">
        <v>5540246192518</v>
      </c>
      <c r="C400" s="8">
        <v>6172</v>
      </c>
      <c r="D400" s="8">
        <v>43218.403200000001</v>
      </c>
      <c r="E400" s="25">
        <f t="shared" si="6"/>
        <v>7.0023336357744652</v>
      </c>
      <c r="F400" s="8">
        <v>836</v>
      </c>
      <c r="G400" s="17" t="str">
        <f>VLOOKUP(B400, 'Catégorie des articles'!A:E, 4, FALSE)</f>
        <v>MIX LEGUMES</v>
      </c>
      <c r="H400" s="14">
        <f>IF(Tableau5[[#This Row],[Stock Moyen (UVC)]]&gt;0,1,0)</f>
        <v>1</v>
      </c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2.75" customHeight="1">
      <c r="A401" s="17">
        <v>202208</v>
      </c>
      <c r="B401" s="15">
        <v>5540246192571</v>
      </c>
      <c r="C401" s="11">
        <v>975</v>
      </c>
      <c r="D401" s="11">
        <v>3483.6480000000001</v>
      </c>
      <c r="E401" s="25">
        <f t="shared" si="6"/>
        <v>3.5729723076923077</v>
      </c>
      <c r="F401" s="11">
        <v>516</v>
      </c>
      <c r="G401" s="17" t="str">
        <f>VLOOKUP(B401, 'Catégorie des articles'!A:E, 4, FALSE)</f>
        <v>MIX LEGUMES</v>
      </c>
      <c r="H401" s="14">
        <f>IF(Tableau5[[#This Row],[Stock Moyen (UVC)]]&gt;0,1,0)</f>
        <v>1</v>
      </c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2.75" customHeight="1">
      <c r="A402" s="17">
        <v>202208</v>
      </c>
      <c r="B402" s="13">
        <v>5540246192594</v>
      </c>
      <c r="C402" s="8">
        <v>474</v>
      </c>
      <c r="D402" s="8">
        <v>3128.5440000000003</v>
      </c>
      <c r="E402" s="25">
        <f t="shared" si="6"/>
        <v>6.6003037974683547</v>
      </c>
      <c r="F402" s="8">
        <v>158</v>
      </c>
      <c r="G402" s="17" t="str">
        <f>VLOOKUP(B402, 'Catégorie des articles'!A:E, 4, FALSE)</f>
        <v>MIX LEGUMES</v>
      </c>
      <c r="H402" s="14">
        <f>IF(Tableau5[[#This Row],[Stock Moyen (UVC)]]&gt;0,1,0)</f>
        <v>1</v>
      </c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2.75" customHeight="1">
      <c r="A403" s="17">
        <v>202208</v>
      </c>
      <c r="B403" s="15">
        <v>5540246192831</v>
      </c>
      <c r="C403" s="11">
        <v>724</v>
      </c>
      <c r="D403" s="11">
        <v>6415.7183999999997</v>
      </c>
      <c r="E403" s="25">
        <f t="shared" si="6"/>
        <v>8.8614895027624314</v>
      </c>
      <c r="F403" s="11">
        <v>335</v>
      </c>
      <c r="G403" s="17" t="str">
        <f>VLOOKUP(B403, 'Catégorie des articles'!A:E, 4, FALSE)</f>
        <v>MIX LEGUMES</v>
      </c>
      <c r="H403" s="14">
        <f>IF(Tableau5[[#This Row],[Stock Moyen (UVC)]]&gt;0,1,0)</f>
        <v>1</v>
      </c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2.75" customHeight="1">
      <c r="A404" s="17">
        <v>202208</v>
      </c>
      <c r="B404" s="13">
        <v>5540246192836</v>
      </c>
      <c r="C404" s="8">
        <v>61</v>
      </c>
      <c r="D404" s="8">
        <v>8347.6224000000002</v>
      </c>
      <c r="E404" s="25">
        <f t="shared" si="6"/>
        <v>136.84626885245902</v>
      </c>
      <c r="F404" s="8">
        <v>0</v>
      </c>
      <c r="G404" s="17" t="str">
        <f>VLOOKUP(B404, 'Catégorie des articles'!A:E, 4, FALSE)</f>
        <v>EMBALLAGES</v>
      </c>
      <c r="H404" s="14">
        <f>IF(Tableau5[[#This Row],[Stock Moyen (UVC)]]&gt;0,1,0)</f>
        <v>1</v>
      </c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2.75" customHeight="1">
      <c r="A405" s="17">
        <v>202208</v>
      </c>
      <c r="B405" s="13">
        <v>5540246192907</v>
      </c>
      <c r="C405" s="8">
        <v>3508</v>
      </c>
      <c r="D405" s="8">
        <v>98467.488000000012</v>
      </c>
      <c r="E405" s="25">
        <f t="shared" si="6"/>
        <v>28.069409350057015</v>
      </c>
      <c r="F405" s="8">
        <v>1736</v>
      </c>
      <c r="G405" s="17" t="str">
        <f>VLOOKUP(B405, 'Catégorie des articles'!A:E, 4, FALSE)</f>
        <v>VOLAILLE</v>
      </c>
      <c r="H405" s="14">
        <f>IF(Tableau5[[#This Row],[Stock Moyen (UVC)]]&gt;0,1,0)</f>
        <v>1</v>
      </c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75" customHeight="1">
      <c r="A406" s="17">
        <v>202208</v>
      </c>
      <c r="B406" s="15">
        <v>5540246193316</v>
      </c>
      <c r="C406" s="11">
        <v>284</v>
      </c>
      <c r="D406" s="11">
        <v>8569.6704000000009</v>
      </c>
      <c r="E406" s="25">
        <f t="shared" si="6"/>
        <v>30.17489577464789</v>
      </c>
      <c r="F406" s="11">
        <v>351</v>
      </c>
      <c r="G406" s="17" t="str">
        <f>VLOOKUP(B406, 'Catégorie des articles'!A:E, 4, FALSE)</f>
        <v>BOULANGERIE</v>
      </c>
      <c r="H406" s="14">
        <f>IF(Tableau5[[#This Row],[Stock Moyen (UVC)]]&gt;0,1,0)</f>
        <v>1</v>
      </c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2.75" customHeight="1">
      <c r="A407" s="17">
        <v>202208</v>
      </c>
      <c r="B407" s="15">
        <v>5540246193409</v>
      </c>
      <c r="C407" s="11">
        <v>114</v>
      </c>
      <c r="D407" s="11">
        <v>5842.3680000000004</v>
      </c>
      <c r="E407" s="25">
        <f t="shared" si="6"/>
        <v>51.248842105263158</v>
      </c>
      <c r="F407" s="11">
        <v>7</v>
      </c>
      <c r="G407" s="17" t="str">
        <f>VLOOKUP(B407, 'Catégorie des articles'!A:E, 4, FALSE)</f>
        <v>BOULANGERIE</v>
      </c>
      <c r="H407" s="14">
        <f>IF(Tableau5[[#This Row],[Stock Moyen (UVC)]]&gt;0,1,0)</f>
        <v>1</v>
      </c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2.75" customHeight="1">
      <c r="A408" s="17">
        <v>202208</v>
      </c>
      <c r="B408" s="15">
        <v>5540246193878</v>
      </c>
      <c r="C408" s="11">
        <v>17470</v>
      </c>
      <c r="D408" s="11">
        <v>123612.48000000001</v>
      </c>
      <c r="E408" s="25">
        <f t="shared" si="6"/>
        <v>7.0757000572409847</v>
      </c>
      <c r="F408" s="11">
        <v>9118</v>
      </c>
      <c r="G408" s="17" t="str">
        <f>VLOOKUP(B408, 'Catégorie des articles'!A:E, 4, FALSE)</f>
        <v>VOLAILLE</v>
      </c>
      <c r="H408" s="14">
        <f>IF(Tableau5[[#This Row],[Stock Moyen (UVC)]]&gt;0,1,0)</f>
        <v>1</v>
      </c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2.75" customHeight="1">
      <c r="A409" s="17">
        <v>202208</v>
      </c>
      <c r="B409" s="15">
        <v>5540246194330</v>
      </c>
      <c r="C409" s="11">
        <v>0</v>
      </c>
      <c r="D409" s="11">
        <v>0</v>
      </c>
      <c r="E409" s="25" t="str">
        <f t="shared" si="6"/>
        <v/>
      </c>
      <c r="F409" s="11">
        <v>23405</v>
      </c>
      <c r="G409" s="17" t="str">
        <f>VLOOKUP(B409, 'Catégorie des articles'!A:E, 4, FALSE)</f>
        <v>MIX LEGUMES</v>
      </c>
      <c r="H409" s="14">
        <f>IF(Tableau5[[#This Row],[Stock Moyen (UVC)]]&gt;0,1,0)</f>
        <v>0</v>
      </c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2.75" customHeight="1">
      <c r="A410" s="17">
        <v>202208</v>
      </c>
      <c r="B410" s="13">
        <v>5540246194467</v>
      </c>
      <c r="C410" s="8">
        <v>17595</v>
      </c>
      <c r="D410" s="8">
        <v>17724.700799999999</v>
      </c>
      <c r="E410" s="25">
        <f t="shared" si="6"/>
        <v>1.0073714578005115</v>
      </c>
      <c r="F410" s="8">
        <v>1782</v>
      </c>
      <c r="G410" s="17" t="str">
        <f>VLOOKUP(B410, 'Catégorie des articles'!A:E, 4, FALSE)</f>
        <v>BOULANGERIE</v>
      </c>
      <c r="H410" s="14">
        <f>IF(Tableau5[[#This Row],[Stock Moyen (UVC)]]&gt;0,1,0)</f>
        <v>1</v>
      </c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2.75" customHeight="1">
      <c r="A411" s="17">
        <v>202208</v>
      </c>
      <c r="B411" s="13">
        <v>5540246194478</v>
      </c>
      <c r="C411" s="8">
        <v>0</v>
      </c>
      <c r="D411" s="8">
        <v>0</v>
      </c>
      <c r="E411" s="25" t="str">
        <f t="shared" si="6"/>
        <v/>
      </c>
      <c r="F411" s="8">
        <v>0</v>
      </c>
      <c r="G411" s="17" t="str">
        <f>VLOOKUP(B411, 'Catégorie des articles'!A:E, 4, FALSE)</f>
        <v>EMBALLAGES</v>
      </c>
      <c r="H411" s="14">
        <f>IF(Tableau5[[#This Row],[Stock Moyen (UVC)]]&gt;0,1,0)</f>
        <v>0</v>
      </c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2.75" customHeight="1">
      <c r="A412" s="17">
        <v>202208</v>
      </c>
      <c r="B412" s="15">
        <v>5540246194632</v>
      </c>
      <c r="C412" s="11">
        <v>1836</v>
      </c>
      <c r="D412" s="11">
        <v>23701.161600000003</v>
      </c>
      <c r="E412" s="25">
        <f t="shared" si="6"/>
        <v>12.909129411764708</v>
      </c>
      <c r="F412" s="11">
        <v>3650</v>
      </c>
      <c r="G412" s="17" t="str">
        <f>VLOOKUP(B412, 'Catégorie des articles'!A:E, 4, FALSE)</f>
        <v>BOULANGERIE</v>
      </c>
      <c r="H412" s="14">
        <f>IF(Tableau5[[#This Row],[Stock Moyen (UVC)]]&gt;0,1,0)</f>
        <v>1</v>
      </c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2.75" customHeight="1">
      <c r="A413" s="17">
        <v>202208</v>
      </c>
      <c r="B413" s="13">
        <v>5540246195096</v>
      </c>
      <c r="C413" s="8">
        <v>0</v>
      </c>
      <c r="D413" s="8">
        <v>0</v>
      </c>
      <c r="E413" s="25" t="str">
        <f t="shared" si="6"/>
        <v/>
      </c>
      <c r="F413" s="8">
        <v>0</v>
      </c>
      <c r="G413" s="17" t="str">
        <f>VLOOKUP(B413, 'Catégorie des articles'!A:E, 4, FALSE)</f>
        <v>MIX LEGUMES</v>
      </c>
      <c r="H413" s="14">
        <f>IF(Tableau5[[#This Row],[Stock Moyen (UVC)]]&gt;0,1,0)</f>
        <v>0</v>
      </c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2.75" customHeight="1">
      <c r="A414" s="17">
        <v>202209</v>
      </c>
      <c r="B414" s="13">
        <v>5540246170256</v>
      </c>
      <c r="C414" s="8">
        <v>1740</v>
      </c>
      <c r="D414" s="8">
        <v>11696.400000000001</v>
      </c>
      <c r="E414" s="25">
        <f t="shared" si="6"/>
        <v>6.7220689655172423</v>
      </c>
      <c r="F414" s="8">
        <v>8267</v>
      </c>
      <c r="G414" s="17" t="str">
        <f>VLOOKUP(B414, 'Catégorie des articles'!A:E, 4, FALSE)</f>
        <v>BOULANGERIE</v>
      </c>
      <c r="H414" s="14">
        <f>IF(Tableau5[[#This Row],[Stock Moyen (UVC)]]&gt;0,1,0)</f>
        <v>1</v>
      </c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2.75" customHeight="1">
      <c r="A415" s="17">
        <v>202209</v>
      </c>
      <c r="B415" s="15">
        <v>5540246171759</v>
      </c>
      <c r="C415" s="11">
        <v>2181</v>
      </c>
      <c r="D415" s="11">
        <v>11979.36</v>
      </c>
      <c r="E415" s="25">
        <f t="shared" si="6"/>
        <v>5.492599724896837</v>
      </c>
      <c r="F415" s="11">
        <v>5652</v>
      </c>
      <c r="G415" s="17" t="str">
        <f>VLOOKUP(B415, 'Catégorie des articles'!A:E, 4, FALSE)</f>
        <v>MIX LEGUMES</v>
      </c>
      <c r="H415" s="14">
        <f>IF(Tableau5[[#This Row],[Stock Moyen (UVC)]]&gt;0,1,0)</f>
        <v>1</v>
      </c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75" customHeight="1">
      <c r="A416" s="17">
        <v>202209</v>
      </c>
      <c r="B416" s="15">
        <v>5540246171888</v>
      </c>
      <c r="C416" s="11">
        <v>713</v>
      </c>
      <c r="D416" s="11">
        <v>12002.472</v>
      </c>
      <c r="E416" s="25">
        <f t="shared" si="6"/>
        <v>16.833761570827487</v>
      </c>
      <c r="F416" s="11">
        <v>1919</v>
      </c>
      <c r="G416" s="17" t="str">
        <f>VLOOKUP(B416, 'Catégorie des articles'!A:E, 4, FALSE)</f>
        <v>BOULANGERIE</v>
      </c>
      <c r="H416" s="14">
        <f>IF(Tableau5[[#This Row],[Stock Moyen (UVC)]]&gt;0,1,0)</f>
        <v>1</v>
      </c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75" customHeight="1">
      <c r="A417" s="17">
        <v>202209</v>
      </c>
      <c r="B417" s="13">
        <v>5540246171933</v>
      </c>
      <c r="C417" s="8">
        <v>446</v>
      </c>
      <c r="D417" s="8">
        <v>286.97760000000005</v>
      </c>
      <c r="E417" s="25">
        <f t="shared" si="6"/>
        <v>0.64344753363228713</v>
      </c>
      <c r="F417" s="8">
        <v>9744</v>
      </c>
      <c r="G417" s="17" t="str">
        <f>VLOOKUP(B417, 'Catégorie des articles'!A:E, 4, FALSE)</f>
        <v>CREMERIE</v>
      </c>
      <c r="H417" s="14">
        <f>IF(Tableau5[[#This Row],[Stock Moyen (UVC)]]&gt;0,1,0)</f>
        <v>1</v>
      </c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75" customHeight="1">
      <c r="A418" s="17">
        <v>202209</v>
      </c>
      <c r="B418" s="13">
        <v>5540246172539</v>
      </c>
      <c r="C418" s="8">
        <v>19</v>
      </c>
      <c r="D418" s="8">
        <v>386.25119999999998</v>
      </c>
      <c r="E418" s="25">
        <f t="shared" si="6"/>
        <v>20.329010526315788</v>
      </c>
      <c r="F418" s="8">
        <v>116</v>
      </c>
      <c r="G418" s="17" t="str">
        <f>VLOOKUP(B418, 'Catégorie des articles'!A:E, 4, FALSE)</f>
        <v>CREMERIE</v>
      </c>
      <c r="H418" s="14">
        <f>IF(Tableau5[[#This Row],[Stock Moyen (UVC)]]&gt;0,1,0)</f>
        <v>1</v>
      </c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75" customHeight="1">
      <c r="A419" s="17">
        <v>202209</v>
      </c>
      <c r="B419" s="15">
        <v>5540246172669</v>
      </c>
      <c r="C419" s="11">
        <v>223</v>
      </c>
      <c r="D419" s="11">
        <v>3030.7824000000005</v>
      </c>
      <c r="E419" s="25">
        <f t="shared" si="6"/>
        <v>13.590952466367716</v>
      </c>
      <c r="F419" s="11">
        <v>1337</v>
      </c>
      <c r="G419" s="17" t="str">
        <f>VLOOKUP(B419, 'Catégorie des articles'!A:E, 4, FALSE)</f>
        <v>CREMERIE</v>
      </c>
      <c r="H419" s="14">
        <f>IF(Tableau5[[#This Row],[Stock Moyen (UVC)]]&gt;0,1,0)</f>
        <v>1</v>
      </c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75" customHeight="1">
      <c r="A420" s="17">
        <v>202209</v>
      </c>
      <c r="B420" s="13">
        <v>5540246172978</v>
      </c>
      <c r="C420" s="8">
        <v>1253</v>
      </c>
      <c r="D420" s="8">
        <v>1010.1024</v>
      </c>
      <c r="E420" s="25">
        <f t="shared" si="6"/>
        <v>0.80614716679968079</v>
      </c>
      <c r="F420" s="8">
        <v>14282</v>
      </c>
      <c r="G420" s="17" t="str">
        <f>VLOOKUP(B420, 'Catégorie des articles'!A:E, 4, FALSE)</f>
        <v>CREMERIE</v>
      </c>
      <c r="H420" s="14">
        <f>IF(Tableau5[[#This Row],[Stock Moyen (UVC)]]&gt;0,1,0)</f>
        <v>1</v>
      </c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75" customHeight="1">
      <c r="A421" s="17">
        <v>202209</v>
      </c>
      <c r="B421" s="15">
        <v>5540246173472</v>
      </c>
      <c r="C421" s="11">
        <v>265</v>
      </c>
      <c r="D421" s="11">
        <v>6106.7520000000004</v>
      </c>
      <c r="E421" s="25">
        <f t="shared" si="6"/>
        <v>23.044347169811321</v>
      </c>
      <c r="F421" s="11">
        <v>641</v>
      </c>
      <c r="G421" s="17" t="str">
        <f>VLOOKUP(B421, 'Catégorie des articles'!A:E, 4, FALSE)</f>
        <v>CREMERIE</v>
      </c>
      <c r="H421" s="14">
        <f>IF(Tableau5[[#This Row],[Stock Moyen (UVC)]]&gt;0,1,0)</f>
        <v>1</v>
      </c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75" customHeight="1">
      <c r="A422" s="17">
        <v>202209</v>
      </c>
      <c r="B422" s="15">
        <v>5540246173685</v>
      </c>
      <c r="C422" s="11">
        <v>541</v>
      </c>
      <c r="D422" s="11">
        <v>14098.881600000001</v>
      </c>
      <c r="E422" s="25">
        <f t="shared" si="6"/>
        <v>26.060779297597044</v>
      </c>
      <c r="F422" s="11">
        <v>372</v>
      </c>
      <c r="G422" s="17" t="str">
        <f>VLOOKUP(B422, 'Catégorie des articles'!A:E, 4, FALSE)</f>
        <v>EMBALLAGES</v>
      </c>
      <c r="H422" s="14">
        <f>IF(Tableau5[[#This Row],[Stock Moyen (UVC)]]&gt;0,1,0)</f>
        <v>1</v>
      </c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75" customHeight="1">
      <c r="A423" s="17">
        <v>202209</v>
      </c>
      <c r="B423" s="13">
        <v>5540246173686</v>
      </c>
      <c r="C423" s="8">
        <v>502</v>
      </c>
      <c r="D423" s="8">
        <v>12973.176000000001</v>
      </c>
      <c r="E423" s="25">
        <f t="shared" si="6"/>
        <v>25.842980079681279</v>
      </c>
      <c r="F423" s="8">
        <v>358</v>
      </c>
      <c r="G423" s="17" t="str">
        <f>VLOOKUP(B423, 'Catégorie des articles'!A:E, 4, FALSE)</f>
        <v>EMBALLAGES</v>
      </c>
      <c r="H423" s="14">
        <f>IF(Tableau5[[#This Row],[Stock Moyen (UVC)]]&gt;0,1,0)</f>
        <v>1</v>
      </c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75" customHeight="1">
      <c r="A424" s="17">
        <v>202209</v>
      </c>
      <c r="B424" s="13">
        <v>5540246173906</v>
      </c>
      <c r="C424" s="8">
        <v>302</v>
      </c>
      <c r="D424" s="8">
        <v>5604.7680000000009</v>
      </c>
      <c r="E424" s="25">
        <f t="shared" si="6"/>
        <v>18.558834437086094</v>
      </c>
      <c r="F424" s="8">
        <v>1411</v>
      </c>
      <c r="G424" s="17" t="str">
        <f>VLOOKUP(B424, 'Catégorie des articles'!A:E, 4, FALSE)</f>
        <v>VOLAILLE</v>
      </c>
      <c r="H424" s="14">
        <f>IF(Tableau5[[#This Row],[Stock Moyen (UVC)]]&gt;0,1,0)</f>
        <v>1</v>
      </c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75" customHeight="1">
      <c r="A425" s="17">
        <v>202209</v>
      </c>
      <c r="B425" s="13">
        <v>5540246174095</v>
      </c>
      <c r="C425" s="8">
        <v>70</v>
      </c>
      <c r="D425" s="8">
        <v>2172.096</v>
      </c>
      <c r="E425" s="25">
        <f t="shared" si="6"/>
        <v>31.029942857142856</v>
      </c>
      <c r="F425" s="8">
        <v>168</v>
      </c>
      <c r="G425" s="17" t="str">
        <f>VLOOKUP(B425, 'Catégorie des articles'!A:E, 4, FALSE)</f>
        <v>CREMERIE</v>
      </c>
      <c r="H425" s="14">
        <f>IF(Tableau5[[#This Row],[Stock Moyen (UVC)]]&gt;0,1,0)</f>
        <v>1</v>
      </c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75" customHeight="1">
      <c r="A426" s="17">
        <v>202209</v>
      </c>
      <c r="B426" s="15">
        <v>5540246174174</v>
      </c>
      <c r="C426" s="11">
        <v>82</v>
      </c>
      <c r="D426" s="11">
        <v>1080.3456000000001</v>
      </c>
      <c r="E426" s="25">
        <f t="shared" si="6"/>
        <v>13.174946341463416</v>
      </c>
      <c r="F426" s="11">
        <v>727</v>
      </c>
      <c r="G426" s="17" t="str">
        <f>VLOOKUP(B426, 'Catégorie des articles'!A:E, 4, FALSE)</f>
        <v>CREMERIE</v>
      </c>
      <c r="H426" s="14">
        <f>IF(Tableau5[[#This Row],[Stock Moyen (UVC)]]&gt;0,1,0)</f>
        <v>1</v>
      </c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75" customHeight="1">
      <c r="A427" s="17">
        <v>202209</v>
      </c>
      <c r="B427" s="13">
        <v>5540246175047</v>
      </c>
      <c r="C427" s="8">
        <v>42</v>
      </c>
      <c r="D427" s="8">
        <v>442.45440000000002</v>
      </c>
      <c r="E427" s="25">
        <f t="shared" si="6"/>
        <v>10.534628571428572</v>
      </c>
      <c r="F427" s="8">
        <v>864</v>
      </c>
      <c r="G427" s="17" t="str">
        <f>VLOOKUP(B427, 'Catégorie des articles'!A:E, 4, FALSE)</f>
        <v>CREMERIE</v>
      </c>
      <c r="H427" s="14">
        <f>IF(Tableau5[[#This Row],[Stock Moyen (UVC)]]&gt;0,1,0)</f>
        <v>1</v>
      </c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75" customHeight="1">
      <c r="A428" s="17">
        <v>202209</v>
      </c>
      <c r="B428" s="15">
        <v>5540246175049</v>
      </c>
      <c r="C428" s="11">
        <v>0</v>
      </c>
      <c r="D428" s="11">
        <v>0</v>
      </c>
      <c r="E428" s="25" t="str">
        <f t="shared" si="6"/>
        <v/>
      </c>
      <c r="F428" s="11">
        <v>3494</v>
      </c>
      <c r="G428" s="17" t="str">
        <f>VLOOKUP(B428, 'Catégorie des articles'!A:E, 4, FALSE)</f>
        <v>CREMERIE</v>
      </c>
      <c r="H428" s="14">
        <f>IF(Tableau5[[#This Row],[Stock Moyen (UVC)]]&gt;0,1,0)</f>
        <v>0</v>
      </c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2.75" customHeight="1">
      <c r="A429" s="17">
        <v>202209</v>
      </c>
      <c r="B429" s="13">
        <v>5540246175050</v>
      </c>
      <c r="C429" s="8">
        <v>0</v>
      </c>
      <c r="D429" s="8">
        <v>0</v>
      </c>
      <c r="E429" s="25" t="str">
        <f t="shared" si="6"/>
        <v/>
      </c>
      <c r="F429" s="8">
        <v>3063</v>
      </c>
      <c r="G429" s="17" t="str">
        <f>VLOOKUP(B429, 'Catégorie des articles'!A:E, 4, FALSE)</f>
        <v>CREMERIE</v>
      </c>
      <c r="H429" s="14">
        <f>IF(Tableau5[[#This Row],[Stock Moyen (UVC)]]&gt;0,1,0)</f>
        <v>0</v>
      </c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75" customHeight="1">
      <c r="A430" s="17">
        <v>202209</v>
      </c>
      <c r="B430" s="13">
        <v>5540246175372</v>
      </c>
      <c r="C430" s="8">
        <v>2367</v>
      </c>
      <c r="D430" s="8">
        <v>9253.44</v>
      </c>
      <c r="E430" s="25">
        <f t="shared" si="6"/>
        <v>3.9093536121673007</v>
      </c>
      <c r="F430" s="8">
        <v>418</v>
      </c>
      <c r="G430" s="17" t="str">
        <f>VLOOKUP(B430, 'Catégorie des articles'!A:E, 4, FALSE)</f>
        <v>BOULANGERIE</v>
      </c>
      <c r="H430" s="14">
        <f>IF(Tableau5[[#This Row],[Stock Moyen (UVC)]]&gt;0,1,0)</f>
        <v>1</v>
      </c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75" customHeight="1">
      <c r="A431" s="17">
        <v>202209</v>
      </c>
      <c r="B431" s="15">
        <v>5540246175461</v>
      </c>
      <c r="C431" s="11">
        <v>1003</v>
      </c>
      <c r="D431" s="11">
        <v>9237.8880000000008</v>
      </c>
      <c r="E431" s="25">
        <f t="shared" si="6"/>
        <v>9.2102572283150561</v>
      </c>
      <c r="F431" s="11">
        <v>1003</v>
      </c>
      <c r="G431" s="17" t="str">
        <f>VLOOKUP(B431, 'Catégorie des articles'!A:E, 4, FALSE)</f>
        <v>MIX LEGUMES</v>
      </c>
      <c r="H431" s="14">
        <f>IF(Tableau5[[#This Row],[Stock Moyen (UVC)]]&gt;0,1,0)</f>
        <v>1</v>
      </c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75" customHeight="1">
      <c r="A432" s="17">
        <v>202209</v>
      </c>
      <c r="B432" s="13">
        <v>5540246176294</v>
      </c>
      <c r="C432" s="8">
        <v>3007</v>
      </c>
      <c r="D432" s="8">
        <v>2771.3663999999999</v>
      </c>
      <c r="E432" s="25">
        <f t="shared" si="6"/>
        <v>0.92163831060857992</v>
      </c>
      <c r="F432" s="8">
        <v>9726</v>
      </c>
      <c r="G432" s="17" t="str">
        <f>VLOOKUP(B432, 'Catégorie des articles'!A:E, 4, FALSE)</f>
        <v>CREMERIE</v>
      </c>
      <c r="H432" s="14">
        <f>IF(Tableau5[[#This Row],[Stock Moyen (UVC)]]&gt;0,1,0)</f>
        <v>1</v>
      </c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75" customHeight="1">
      <c r="A433" s="17">
        <v>202209</v>
      </c>
      <c r="B433" s="15">
        <v>5540246176295</v>
      </c>
      <c r="C433" s="11">
        <v>11099</v>
      </c>
      <c r="D433" s="11">
        <v>10230.105600000001</v>
      </c>
      <c r="E433" s="25">
        <f t="shared" si="6"/>
        <v>0.92171417244796838</v>
      </c>
      <c r="F433" s="11">
        <v>86054</v>
      </c>
      <c r="G433" s="17" t="str">
        <f>VLOOKUP(B433, 'Catégorie des articles'!A:E, 4, FALSE)</f>
        <v>CREMERIE</v>
      </c>
      <c r="H433" s="14">
        <f>IF(Tableau5[[#This Row],[Stock Moyen (UVC)]]&gt;0,1,0)</f>
        <v>1</v>
      </c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75" customHeight="1">
      <c r="A434" s="17">
        <v>202209</v>
      </c>
      <c r="B434" s="15">
        <v>5540246176699</v>
      </c>
      <c r="C434" s="11">
        <v>-1253</v>
      </c>
      <c r="D434" s="11">
        <v>-559.87199999999996</v>
      </c>
      <c r="E434" s="25">
        <f t="shared" si="6"/>
        <v>0.44682521947326415</v>
      </c>
      <c r="F434" s="11">
        <v>63893</v>
      </c>
      <c r="G434" s="17" t="str">
        <f>VLOOKUP(B434, 'Catégorie des articles'!A:E, 4, FALSE)</f>
        <v>CREMERIE</v>
      </c>
      <c r="H434" s="14">
        <f>IF(Tableau5[[#This Row],[Stock Moyen (UVC)]]&gt;0,1,0)</f>
        <v>0</v>
      </c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75" customHeight="1">
      <c r="A435" s="17">
        <v>202209</v>
      </c>
      <c r="B435" s="15">
        <v>5540246177133</v>
      </c>
      <c r="C435" s="11">
        <v>8202</v>
      </c>
      <c r="D435" s="11">
        <v>29778.84</v>
      </c>
      <c r="E435" s="25">
        <f t="shared" si="6"/>
        <v>3.6306803218727142</v>
      </c>
      <c r="F435" s="11">
        <v>24291</v>
      </c>
      <c r="G435" s="17" t="str">
        <f>VLOOKUP(B435, 'Catégorie des articles'!A:E, 4, FALSE)</f>
        <v>MIX LEGUMES</v>
      </c>
      <c r="H435" s="14">
        <f>IF(Tableau5[[#This Row],[Stock Moyen (UVC)]]&gt;0,1,0)</f>
        <v>1</v>
      </c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2.75" customHeight="1">
      <c r="A436" s="17">
        <v>202209</v>
      </c>
      <c r="B436" s="15">
        <v>5540246177376</v>
      </c>
      <c r="C436" s="11">
        <v>149</v>
      </c>
      <c r="D436" s="11">
        <v>5861.3760000000002</v>
      </c>
      <c r="E436" s="25">
        <f t="shared" si="6"/>
        <v>39.338093959731545</v>
      </c>
      <c r="F436" s="11">
        <v>1126</v>
      </c>
      <c r="G436" s="17" t="str">
        <f>VLOOKUP(B436, 'Catégorie des articles'!A:E, 4, FALSE)</f>
        <v>BOULANGERIE</v>
      </c>
      <c r="H436" s="14">
        <f>IF(Tableau5[[#This Row],[Stock Moyen (UVC)]]&gt;0,1,0)</f>
        <v>1</v>
      </c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2.75" customHeight="1">
      <c r="A437" s="17">
        <v>202209</v>
      </c>
      <c r="B437" s="13">
        <v>5540246180522</v>
      </c>
      <c r="C437" s="8">
        <v>274</v>
      </c>
      <c r="D437" s="8">
        <v>4791.7440000000006</v>
      </c>
      <c r="E437" s="25">
        <f t="shared" si="6"/>
        <v>17.488116788321172</v>
      </c>
      <c r="F437" s="8">
        <v>1764</v>
      </c>
      <c r="G437" s="17" t="str">
        <f>VLOOKUP(B437, 'Catégorie des articles'!A:E, 4, FALSE)</f>
        <v>BOULANGERIE</v>
      </c>
      <c r="H437" s="14">
        <f>IF(Tableau5[[#This Row],[Stock Moyen (UVC)]]&gt;0,1,0)</f>
        <v>1</v>
      </c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75" customHeight="1">
      <c r="A438" s="17">
        <v>202209</v>
      </c>
      <c r="B438" s="13">
        <v>5540246181016</v>
      </c>
      <c r="C438" s="8">
        <v>6070</v>
      </c>
      <c r="D438" s="8">
        <v>48560.90400000001</v>
      </c>
      <c r="E438" s="25">
        <f t="shared" si="6"/>
        <v>8.0001489291598045</v>
      </c>
      <c r="F438" s="8">
        <v>16092</v>
      </c>
      <c r="G438" s="17" t="str">
        <f>VLOOKUP(B438, 'Catégorie des articles'!A:E, 4, FALSE)</f>
        <v>VOLAILLE</v>
      </c>
      <c r="H438" s="14">
        <f>IF(Tableau5[[#This Row],[Stock Moyen (UVC)]]&gt;0,1,0)</f>
        <v>1</v>
      </c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75" customHeight="1">
      <c r="A439" s="17">
        <v>202209</v>
      </c>
      <c r="B439" s="15">
        <v>5540246181061</v>
      </c>
      <c r="C439" s="11">
        <v>14616</v>
      </c>
      <c r="D439" s="11">
        <v>17472.672000000002</v>
      </c>
      <c r="E439" s="25">
        <f t="shared" si="6"/>
        <v>1.195448275862069</v>
      </c>
      <c r="F439" s="11">
        <v>69740</v>
      </c>
      <c r="G439" s="17" t="str">
        <f>VLOOKUP(B439, 'Catégorie des articles'!A:E, 4, FALSE)</f>
        <v>VOLAILLE</v>
      </c>
      <c r="H439" s="14">
        <f>IF(Tableau5[[#This Row],[Stock Moyen (UVC)]]&gt;0,1,0)</f>
        <v>1</v>
      </c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2.75" customHeight="1">
      <c r="A440" s="17">
        <v>202209</v>
      </c>
      <c r="B440" s="13">
        <v>5540246182684</v>
      </c>
      <c r="C440" s="8">
        <v>249</v>
      </c>
      <c r="D440" s="8">
        <v>12457.368</v>
      </c>
      <c r="E440" s="25">
        <f t="shared" si="6"/>
        <v>50.029590361445784</v>
      </c>
      <c r="F440" s="8">
        <v>402</v>
      </c>
      <c r="G440" s="17" t="str">
        <f>VLOOKUP(B440, 'Catégorie des articles'!A:E, 4, FALSE)</f>
        <v>BOULANGERIE</v>
      </c>
      <c r="H440" s="14">
        <f>IF(Tableau5[[#This Row],[Stock Moyen (UVC)]]&gt;0,1,0)</f>
        <v>1</v>
      </c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75" customHeight="1">
      <c r="A441" s="17">
        <v>202209</v>
      </c>
      <c r="B441" s="13">
        <v>5540246183130</v>
      </c>
      <c r="C441" s="8">
        <v>2715</v>
      </c>
      <c r="D441" s="8">
        <v>11493.705600000001</v>
      </c>
      <c r="E441" s="25">
        <f t="shared" si="6"/>
        <v>4.2334090607734813</v>
      </c>
      <c r="F441" s="8">
        <v>8728</v>
      </c>
      <c r="G441" s="17" t="str">
        <f>VLOOKUP(B441, 'Catégorie des articles'!A:E, 4, FALSE)</f>
        <v>MIX LEGUMES</v>
      </c>
      <c r="H441" s="14">
        <f>IF(Tableau5[[#This Row],[Stock Moyen (UVC)]]&gt;0,1,0)</f>
        <v>1</v>
      </c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75" customHeight="1">
      <c r="A442" s="17">
        <v>202209</v>
      </c>
      <c r="B442" s="13">
        <v>5540246183455</v>
      </c>
      <c r="C442" s="8">
        <v>1091</v>
      </c>
      <c r="D442" s="8">
        <v>8568.2880000000005</v>
      </c>
      <c r="E442" s="25">
        <f t="shared" si="6"/>
        <v>7.8536095325389557</v>
      </c>
      <c r="F442" s="8">
        <v>534</v>
      </c>
      <c r="G442" s="17" t="str">
        <f>VLOOKUP(B442, 'Catégorie des articles'!A:E, 4, FALSE)</f>
        <v>MIX LEGUMES</v>
      </c>
      <c r="H442" s="14">
        <f>IF(Tableau5[[#This Row],[Stock Moyen (UVC)]]&gt;0,1,0)</f>
        <v>1</v>
      </c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75" customHeight="1">
      <c r="A443" s="17">
        <v>202209</v>
      </c>
      <c r="B443" s="13">
        <v>5540246183537</v>
      </c>
      <c r="C443" s="8">
        <v>3490</v>
      </c>
      <c r="D443" s="8">
        <v>4905.4463999999998</v>
      </c>
      <c r="E443" s="25">
        <f t="shared" si="6"/>
        <v>1.4055720343839542</v>
      </c>
      <c r="F443" s="8">
        <v>3842</v>
      </c>
      <c r="G443" s="17" t="str">
        <f>VLOOKUP(B443, 'Catégorie des articles'!A:E, 4, FALSE)</f>
        <v>MIX LEGUMES</v>
      </c>
      <c r="H443" s="14">
        <f>IF(Tableau5[[#This Row],[Stock Moyen (UVC)]]&gt;0,1,0)</f>
        <v>1</v>
      </c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75" customHeight="1">
      <c r="A444" s="17">
        <v>202209</v>
      </c>
      <c r="B444" s="15">
        <v>5540246183538</v>
      </c>
      <c r="C444" s="11">
        <v>1671</v>
      </c>
      <c r="D444" s="11">
        <v>2192.8320000000003</v>
      </c>
      <c r="E444" s="25">
        <f t="shared" si="6"/>
        <v>1.3122872531418315</v>
      </c>
      <c r="F444" s="11">
        <v>3508</v>
      </c>
      <c r="G444" s="17" t="str">
        <f>VLOOKUP(B444, 'Catégorie des articles'!A:E, 4, FALSE)</f>
        <v>MIX LEGUMES</v>
      </c>
      <c r="H444" s="14">
        <f>IF(Tableau5[[#This Row],[Stock Moyen (UVC)]]&gt;0,1,0)</f>
        <v>1</v>
      </c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2.75" customHeight="1">
      <c r="A445" s="17">
        <v>202209</v>
      </c>
      <c r="B445" s="13">
        <v>5540246183541</v>
      </c>
      <c r="C445" s="8">
        <v>905</v>
      </c>
      <c r="D445" s="8">
        <v>8154.4319999999998</v>
      </c>
      <c r="E445" s="25">
        <f t="shared" si="6"/>
        <v>9.0104220994475135</v>
      </c>
      <c r="F445" s="8">
        <v>1578</v>
      </c>
      <c r="G445" s="17" t="str">
        <f>VLOOKUP(B445, 'Catégorie des articles'!A:E, 4, FALSE)</f>
        <v>MIX LEGUMES</v>
      </c>
      <c r="H445" s="14">
        <f>IF(Tableau5[[#This Row],[Stock Moyen (UVC)]]&gt;0,1,0)</f>
        <v>1</v>
      </c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75" customHeight="1">
      <c r="A446" s="17">
        <v>202209</v>
      </c>
      <c r="B446" s="15">
        <v>5540246183542</v>
      </c>
      <c r="C446" s="11">
        <v>2506</v>
      </c>
      <c r="D446" s="11">
        <v>7045.0560000000005</v>
      </c>
      <c r="E446" s="25">
        <f t="shared" si="6"/>
        <v>2.8112753391859537</v>
      </c>
      <c r="F446" s="11">
        <v>24</v>
      </c>
      <c r="G446" s="17" t="str">
        <f>VLOOKUP(B446, 'Catégorie des articles'!A:E, 4, FALSE)</f>
        <v>MIX LEGUMES</v>
      </c>
      <c r="H446" s="14">
        <f>IF(Tableau5[[#This Row],[Stock Moyen (UVC)]]&gt;0,1,0)</f>
        <v>1</v>
      </c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75" customHeight="1">
      <c r="A447" s="17">
        <v>202209</v>
      </c>
      <c r="B447" s="15">
        <v>5540246183547</v>
      </c>
      <c r="C447" s="11">
        <v>4826</v>
      </c>
      <c r="D447" s="11">
        <v>49600.512000000002</v>
      </c>
      <c r="E447" s="25">
        <f t="shared" si="6"/>
        <v>10.277768752590138</v>
      </c>
      <c r="F447" s="11">
        <v>14825</v>
      </c>
      <c r="G447" s="17" t="str">
        <f>VLOOKUP(B447, 'Catégorie des articles'!A:E, 4, FALSE)</f>
        <v>VOLAILLE</v>
      </c>
      <c r="H447" s="14">
        <f>IF(Tableau5[[#This Row],[Stock Moyen (UVC)]]&gt;0,1,0)</f>
        <v>1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75" customHeight="1">
      <c r="A448" s="17">
        <v>202209</v>
      </c>
      <c r="B448" s="15">
        <v>5540246183552</v>
      </c>
      <c r="C448" s="11">
        <v>2153</v>
      </c>
      <c r="D448" s="11">
        <v>3968.8704000000002</v>
      </c>
      <c r="E448" s="25">
        <f t="shared" si="6"/>
        <v>1.8434140269391548</v>
      </c>
      <c r="F448" s="11">
        <v>335</v>
      </c>
      <c r="G448" s="17" t="str">
        <f>VLOOKUP(B448, 'Catégorie des articles'!A:E, 4, FALSE)</f>
        <v>MIX LEGUMES</v>
      </c>
      <c r="H448" s="14">
        <f>IF(Tableau5[[#This Row],[Stock Moyen (UVC)]]&gt;0,1,0)</f>
        <v>1</v>
      </c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75" customHeight="1">
      <c r="A449" s="17">
        <v>202209</v>
      </c>
      <c r="B449" s="13">
        <v>5540246183554</v>
      </c>
      <c r="C449" s="8">
        <v>1518</v>
      </c>
      <c r="D449" s="8">
        <v>11402.8128</v>
      </c>
      <c r="E449" s="25">
        <f t="shared" si="6"/>
        <v>7.5117343873517788</v>
      </c>
      <c r="F449" s="8">
        <v>28</v>
      </c>
      <c r="G449" s="17" t="str">
        <f>VLOOKUP(B449, 'Catégorie des articles'!A:E, 4, FALSE)</f>
        <v>MIX LEGUMES</v>
      </c>
      <c r="H449" s="14">
        <f>IF(Tableau5[[#This Row],[Stock Moyen (UVC)]]&gt;0,1,0)</f>
        <v>1</v>
      </c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75" customHeight="1">
      <c r="A450" s="17">
        <v>202209</v>
      </c>
      <c r="B450" s="15">
        <v>5540246183555</v>
      </c>
      <c r="C450" s="11">
        <v>260</v>
      </c>
      <c r="D450" s="11">
        <v>347.41440000000006</v>
      </c>
      <c r="E450" s="25">
        <f t="shared" si="6"/>
        <v>1.336209230769231</v>
      </c>
      <c r="F450" s="11">
        <v>1300</v>
      </c>
      <c r="G450" s="17" t="str">
        <f>VLOOKUP(B450, 'Catégorie des articles'!A:E, 4, FALSE)</f>
        <v>MIX LEGUMES</v>
      </c>
      <c r="H450" s="14">
        <f>IF(Tableau5[[#This Row],[Stock Moyen (UVC)]]&gt;0,1,0)</f>
        <v>1</v>
      </c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75" customHeight="1">
      <c r="A451" s="17">
        <v>202209</v>
      </c>
      <c r="B451" s="13">
        <v>5540246183558</v>
      </c>
      <c r="C451" s="8">
        <v>1323</v>
      </c>
      <c r="D451" s="8">
        <v>7288.7040000000006</v>
      </c>
      <c r="E451" s="25">
        <f t="shared" ref="E451:E514" si="7">IF(C451=0,"",D451/C451)</f>
        <v>5.5092244897959191</v>
      </c>
      <c r="F451" s="8">
        <v>5972</v>
      </c>
      <c r="G451" s="17" t="str">
        <f>VLOOKUP(B451, 'Catégorie des articles'!A:E, 4, FALSE)</f>
        <v>MIX LEGUMES</v>
      </c>
      <c r="H451" s="14">
        <f>IF(Tableau5[[#This Row],[Stock Moyen (UVC)]]&gt;0,1,0)</f>
        <v>1</v>
      </c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75" customHeight="1">
      <c r="A452" s="17">
        <v>202209</v>
      </c>
      <c r="B452" s="15">
        <v>5540246183560</v>
      </c>
      <c r="C452" s="11">
        <v>270</v>
      </c>
      <c r="D452" s="11">
        <v>6564.6720000000005</v>
      </c>
      <c r="E452" s="25">
        <f t="shared" si="7"/>
        <v>24.313600000000001</v>
      </c>
      <c r="F452" s="11">
        <v>179</v>
      </c>
      <c r="G452" s="17" t="str">
        <f>VLOOKUP(B452, 'Catégorie des articles'!A:E, 4, FALSE)</f>
        <v>MIX LEGUMES</v>
      </c>
      <c r="H452" s="14">
        <f>IF(Tableau5[[#This Row],[Stock Moyen (UVC)]]&gt;0,1,0)</f>
        <v>1</v>
      </c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2.75" customHeight="1">
      <c r="A453" s="17">
        <v>202209</v>
      </c>
      <c r="B453" s="13">
        <v>5540246183562</v>
      </c>
      <c r="C453" s="8">
        <v>1091</v>
      </c>
      <c r="D453" s="8">
        <v>3512.5920000000006</v>
      </c>
      <c r="E453" s="25">
        <f t="shared" si="7"/>
        <v>3.2196076993583871</v>
      </c>
      <c r="F453" s="8">
        <v>580</v>
      </c>
      <c r="G453" s="17" t="str">
        <f>VLOOKUP(B453, 'Catégorie des articles'!A:E, 4, FALSE)</f>
        <v>MIX LEGUMES</v>
      </c>
      <c r="H453" s="14">
        <f>IF(Tableau5[[#This Row],[Stock Moyen (UVC)]]&gt;0,1,0)</f>
        <v>1</v>
      </c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75" customHeight="1">
      <c r="A454" s="17">
        <v>202209</v>
      </c>
      <c r="B454" s="13">
        <v>5540246183587</v>
      </c>
      <c r="C454" s="8">
        <v>300</v>
      </c>
      <c r="D454" s="8">
        <v>6302.8368</v>
      </c>
      <c r="E454" s="25">
        <f t="shared" si="7"/>
        <v>21.009456</v>
      </c>
      <c r="F454" s="8">
        <v>724</v>
      </c>
      <c r="G454" s="17" t="str">
        <f>VLOOKUP(B454, 'Catégorie des articles'!A:E, 4, FALSE)</f>
        <v>MIX LEGUMES</v>
      </c>
      <c r="H454" s="14">
        <f>IF(Tableau5[[#This Row],[Stock Moyen (UVC)]]&gt;0,1,0)</f>
        <v>1</v>
      </c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75" customHeight="1">
      <c r="A455" s="17">
        <v>202209</v>
      </c>
      <c r="B455" s="15">
        <v>5540246183589</v>
      </c>
      <c r="C455" s="11">
        <v>1729</v>
      </c>
      <c r="D455" s="11">
        <v>22786.272000000004</v>
      </c>
      <c r="E455" s="25">
        <f t="shared" si="7"/>
        <v>13.178873337189129</v>
      </c>
      <c r="F455" s="11">
        <v>778</v>
      </c>
      <c r="G455" s="17" t="str">
        <f>VLOOKUP(B455, 'Catégorie des articles'!A:E, 4, FALSE)</f>
        <v>MIX LEGUMES</v>
      </c>
      <c r="H455" s="14">
        <f>IF(Tableau5[[#This Row],[Stock Moyen (UVC)]]&gt;0,1,0)</f>
        <v>1</v>
      </c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75" customHeight="1">
      <c r="A456" s="17">
        <v>202209</v>
      </c>
      <c r="B456" s="13">
        <v>5540246183590</v>
      </c>
      <c r="C456" s="8">
        <v>2214</v>
      </c>
      <c r="D456" s="8">
        <v>30703.536000000004</v>
      </c>
      <c r="E456" s="25">
        <f t="shared" si="7"/>
        <v>13.867902439024393</v>
      </c>
      <c r="F456" s="8">
        <v>2200</v>
      </c>
      <c r="G456" s="17" t="str">
        <f>VLOOKUP(B456, 'Catégorie des articles'!A:E, 4, FALSE)</f>
        <v>MIX LEGUMES</v>
      </c>
      <c r="H456" s="14">
        <f>IF(Tableau5[[#This Row],[Stock Moyen (UVC)]]&gt;0,1,0)</f>
        <v>1</v>
      </c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75" customHeight="1">
      <c r="A457" s="17">
        <v>202209</v>
      </c>
      <c r="B457" s="13">
        <v>5540246183844</v>
      </c>
      <c r="C457" s="8">
        <v>214</v>
      </c>
      <c r="D457" s="8">
        <v>6160.3200000000006</v>
      </c>
      <c r="E457" s="25">
        <f t="shared" si="7"/>
        <v>28.786542056074769</v>
      </c>
      <c r="F457" s="8">
        <v>325</v>
      </c>
      <c r="G457" s="17" t="str">
        <f>VLOOKUP(B457, 'Catégorie des articles'!A:E, 4, FALSE)</f>
        <v>BOULANGERIE</v>
      </c>
      <c r="H457" s="14">
        <f>IF(Tableau5[[#This Row],[Stock Moyen (UVC)]]&gt;0,1,0)</f>
        <v>1</v>
      </c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75" customHeight="1">
      <c r="A458" s="17">
        <v>202209</v>
      </c>
      <c r="B458" s="15">
        <v>5540246184036</v>
      </c>
      <c r="C458" s="11">
        <v>128</v>
      </c>
      <c r="D458" s="11">
        <v>2185.92</v>
      </c>
      <c r="E458" s="25">
        <f t="shared" si="7"/>
        <v>17.077500000000001</v>
      </c>
      <c r="F458" s="11">
        <v>195</v>
      </c>
      <c r="G458" s="17" t="str">
        <f>VLOOKUP(B458, 'Catégorie des articles'!A:E, 4, FALSE)</f>
        <v>BOULANGERIE</v>
      </c>
      <c r="H458" s="14">
        <f>IF(Tableau5[[#This Row],[Stock Moyen (UVC)]]&gt;0,1,0)</f>
        <v>1</v>
      </c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75" customHeight="1">
      <c r="A459" s="17">
        <v>202209</v>
      </c>
      <c r="B459" s="15">
        <v>5540246185278</v>
      </c>
      <c r="C459" s="11">
        <v>30622</v>
      </c>
      <c r="D459" s="11">
        <v>30220.430400000005</v>
      </c>
      <c r="E459" s="25">
        <f t="shared" si="7"/>
        <v>0.98688623865194969</v>
      </c>
      <c r="F459" s="11">
        <v>64508</v>
      </c>
      <c r="G459" s="17" t="str">
        <f>VLOOKUP(B459, 'Catégorie des articles'!A:E, 4, FALSE)</f>
        <v>VOLAILLE</v>
      </c>
      <c r="H459" s="14">
        <f>IF(Tableau5[[#This Row],[Stock Moyen (UVC)]]&gt;0,1,0)</f>
        <v>1</v>
      </c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75" customHeight="1">
      <c r="A460" s="17">
        <v>202209</v>
      </c>
      <c r="B460" s="13">
        <v>5540246185429</v>
      </c>
      <c r="C460" s="8">
        <v>70</v>
      </c>
      <c r="D460" s="8">
        <v>368.06400000000002</v>
      </c>
      <c r="E460" s="25">
        <f t="shared" si="7"/>
        <v>5.258057142857143</v>
      </c>
      <c r="F460" s="8">
        <v>529</v>
      </c>
      <c r="G460" s="17" t="str">
        <f>VLOOKUP(B460, 'Catégorie des articles'!A:E, 4, FALSE)</f>
        <v>CREMERIE</v>
      </c>
      <c r="H460" s="14">
        <f>IF(Tableau5[[#This Row],[Stock Moyen (UVC)]]&gt;0,1,0)</f>
        <v>1</v>
      </c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2.75" customHeight="1">
      <c r="A461" s="17">
        <v>202209</v>
      </c>
      <c r="B461" s="13">
        <v>5540246185562</v>
      </c>
      <c r="C461" s="8">
        <v>195</v>
      </c>
      <c r="D461" s="8">
        <v>566.09280000000001</v>
      </c>
      <c r="E461" s="25">
        <f t="shared" si="7"/>
        <v>2.9030399999999998</v>
      </c>
      <c r="F461" s="8">
        <v>376</v>
      </c>
      <c r="G461" s="17" t="str">
        <f>VLOOKUP(B461, 'Catégorie des articles'!A:E, 4, FALSE)</f>
        <v>CREMERIE</v>
      </c>
      <c r="H461" s="14">
        <f>IF(Tableau5[[#This Row],[Stock Moyen (UVC)]]&gt;0,1,0)</f>
        <v>1</v>
      </c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75" customHeight="1">
      <c r="A462" s="17">
        <v>202209</v>
      </c>
      <c r="B462" s="13">
        <v>5540246186010</v>
      </c>
      <c r="C462" s="8">
        <v>110</v>
      </c>
      <c r="D462" s="8">
        <v>16062.494400000001</v>
      </c>
      <c r="E462" s="25">
        <f t="shared" si="7"/>
        <v>146.02267636363638</v>
      </c>
      <c r="F462" s="8">
        <v>12</v>
      </c>
      <c r="G462" s="17" t="str">
        <f>VLOOKUP(B462, 'Catégorie des articles'!A:E, 4, FALSE)</f>
        <v>EMBALLAGES</v>
      </c>
      <c r="H462" s="14">
        <f>IF(Tableau5[[#This Row],[Stock Moyen (UVC)]]&gt;0,1,0)</f>
        <v>1</v>
      </c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75" customHeight="1">
      <c r="A463" s="17">
        <v>202209</v>
      </c>
      <c r="B463" s="15">
        <v>5540246186011</v>
      </c>
      <c r="C463" s="11">
        <v>105</v>
      </c>
      <c r="D463" s="11">
        <v>5944.7520000000004</v>
      </c>
      <c r="E463" s="25">
        <f t="shared" si="7"/>
        <v>56.616685714285715</v>
      </c>
      <c r="F463" s="11">
        <v>5</v>
      </c>
      <c r="G463" s="17" t="str">
        <f>VLOOKUP(B463, 'Catégorie des articles'!A:E, 4, FALSE)</f>
        <v>EMBALLAGES</v>
      </c>
      <c r="H463" s="14">
        <f>IF(Tableau5[[#This Row],[Stock Moyen (UVC)]]&gt;0,1,0)</f>
        <v>1</v>
      </c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>
      <c r="A464" s="17">
        <v>202209</v>
      </c>
      <c r="B464" s="13">
        <v>5540246186017</v>
      </c>
      <c r="C464" s="8">
        <v>68</v>
      </c>
      <c r="D464" s="8">
        <v>7123.4208000000008</v>
      </c>
      <c r="E464" s="25">
        <f t="shared" si="7"/>
        <v>104.75618823529413</v>
      </c>
      <c r="F464" s="8">
        <v>7</v>
      </c>
      <c r="G464" s="17" t="str">
        <f>VLOOKUP(B464, 'Catégorie des articles'!A:E, 4, FALSE)</f>
        <v>EMBALLAGES</v>
      </c>
      <c r="H464" s="14">
        <f>IF(Tableau5[[#This Row],[Stock Moyen (UVC)]]&gt;0,1,0)</f>
        <v>1</v>
      </c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75" customHeight="1">
      <c r="A465" s="17">
        <v>202209</v>
      </c>
      <c r="B465" s="15">
        <v>5540246186325</v>
      </c>
      <c r="C465" s="11">
        <v>112</v>
      </c>
      <c r="D465" s="11">
        <v>273.71520000000004</v>
      </c>
      <c r="E465" s="25">
        <f t="shared" si="7"/>
        <v>2.4438857142857144</v>
      </c>
      <c r="F465" s="11">
        <v>655</v>
      </c>
      <c r="G465" s="17" t="str">
        <f>VLOOKUP(B465, 'Catégorie des articles'!A:E, 4, FALSE)</f>
        <v>CREMERIE</v>
      </c>
      <c r="H465" s="14">
        <f>IF(Tableau5[[#This Row],[Stock Moyen (UVC)]]&gt;0,1,0)</f>
        <v>1</v>
      </c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75" customHeight="1">
      <c r="A466" s="17">
        <v>202209</v>
      </c>
      <c r="B466" s="13">
        <v>5540246186351</v>
      </c>
      <c r="C466" s="8">
        <v>1386</v>
      </c>
      <c r="D466" s="8">
        <v>82090.843200000003</v>
      </c>
      <c r="E466" s="25">
        <f t="shared" si="7"/>
        <v>59.228602597402599</v>
      </c>
      <c r="F466" s="8">
        <v>140</v>
      </c>
      <c r="G466" s="17" t="str">
        <f>VLOOKUP(B466, 'Catégorie des articles'!A:E, 4, FALSE)</f>
        <v>MIX LEGUMES</v>
      </c>
      <c r="H466" s="14">
        <f>IF(Tableau5[[#This Row],[Stock Moyen (UVC)]]&gt;0,1,0)</f>
        <v>1</v>
      </c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75" customHeight="1">
      <c r="A467" s="17">
        <v>202209</v>
      </c>
      <c r="B467" s="15">
        <v>5540246186352</v>
      </c>
      <c r="C467" s="11">
        <v>6856</v>
      </c>
      <c r="D467" s="11">
        <v>72125.64</v>
      </c>
      <c r="E467" s="25">
        <f t="shared" si="7"/>
        <v>10.520075845974329</v>
      </c>
      <c r="F467" s="11">
        <v>1961</v>
      </c>
      <c r="G467" s="17" t="str">
        <f>VLOOKUP(B467, 'Catégorie des articles'!A:E, 4, FALSE)</f>
        <v>MIX LEGUMES</v>
      </c>
      <c r="H467" s="14">
        <f>IF(Tableau5[[#This Row],[Stock Moyen (UVC)]]&gt;0,1,0)</f>
        <v>1</v>
      </c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75" customHeight="1">
      <c r="A468" s="17">
        <v>202209</v>
      </c>
      <c r="B468" s="15">
        <v>5540246187882</v>
      </c>
      <c r="C468" s="11">
        <v>47</v>
      </c>
      <c r="D468" s="11">
        <v>1780.0128000000002</v>
      </c>
      <c r="E468" s="25">
        <f t="shared" si="7"/>
        <v>37.872612765957449</v>
      </c>
      <c r="F468" s="11">
        <v>5</v>
      </c>
      <c r="G468" s="17" t="str">
        <f>VLOOKUP(B468, 'Catégorie des articles'!A:E, 4, FALSE)</f>
        <v>EMBALLAGES</v>
      </c>
      <c r="H468" s="14">
        <f>IF(Tableau5[[#This Row],[Stock Moyen (UVC)]]&gt;0,1,0)</f>
        <v>1</v>
      </c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75" customHeight="1">
      <c r="A469" s="17">
        <v>202209</v>
      </c>
      <c r="B469" s="13">
        <v>5540246187987</v>
      </c>
      <c r="C469" s="8">
        <v>3286</v>
      </c>
      <c r="D469" s="8">
        <v>1614.9024000000002</v>
      </c>
      <c r="E469" s="25">
        <f t="shared" si="7"/>
        <v>0.49144930006086435</v>
      </c>
      <c r="F469" s="8">
        <v>48943</v>
      </c>
      <c r="G469" s="17" t="str">
        <f>VLOOKUP(B469, 'Catégorie des articles'!A:E, 4, FALSE)</f>
        <v>CREMERIE</v>
      </c>
      <c r="H469" s="14">
        <f>IF(Tableau5[[#This Row],[Stock Moyen (UVC)]]&gt;0,1,0)</f>
        <v>1</v>
      </c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2.75" customHeight="1">
      <c r="A470" s="17">
        <v>202209</v>
      </c>
      <c r="B470" s="15">
        <v>5540246187995</v>
      </c>
      <c r="C470" s="11">
        <v>3123</v>
      </c>
      <c r="D470" s="11">
        <v>273931.45919999998</v>
      </c>
      <c r="E470" s="25">
        <f t="shared" si="7"/>
        <v>87.714204034582124</v>
      </c>
      <c r="F470" s="11">
        <v>1000</v>
      </c>
      <c r="G470" s="17" t="str">
        <f>VLOOKUP(B470, 'Catégorie des articles'!A:E, 4, FALSE)</f>
        <v>EMBALLAGES</v>
      </c>
      <c r="H470" s="14">
        <f>IF(Tableau5[[#This Row],[Stock Moyen (UVC)]]&gt;0,1,0)</f>
        <v>1</v>
      </c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75" customHeight="1">
      <c r="A471" s="17">
        <v>202209</v>
      </c>
      <c r="B471" s="13">
        <v>5540246187996</v>
      </c>
      <c r="C471" s="8">
        <v>316</v>
      </c>
      <c r="D471" s="8">
        <v>14588.121600000002</v>
      </c>
      <c r="E471" s="25">
        <f t="shared" si="7"/>
        <v>46.164941772151906</v>
      </c>
      <c r="F471" s="8">
        <v>21</v>
      </c>
      <c r="G471" s="17" t="str">
        <f>VLOOKUP(B471, 'Catégorie des articles'!A:E, 4, FALSE)</f>
        <v>EMBALLAGES</v>
      </c>
      <c r="H471" s="14">
        <f>IF(Tableau5[[#This Row],[Stock Moyen (UVC)]]&gt;0,1,0)</f>
        <v>1</v>
      </c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75" customHeight="1">
      <c r="A472" s="17">
        <v>202209</v>
      </c>
      <c r="B472" s="15">
        <v>5540246187997</v>
      </c>
      <c r="C472" s="11">
        <v>161</v>
      </c>
      <c r="D472" s="11">
        <v>7997.4864000000007</v>
      </c>
      <c r="E472" s="25">
        <f t="shared" si="7"/>
        <v>49.673828571428572</v>
      </c>
      <c r="F472" s="11">
        <v>130</v>
      </c>
      <c r="G472" s="17" t="str">
        <f>VLOOKUP(B472, 'Catégorie des articles'!A:E, 4, FALSE)</f>
        <v>EMBALLAGES</v>
      </c>
      <c r="H472" s="14">
        <f>IF(Tableau5[[#This Row],[Stock Moyen (UVC)]]&gt;0,1,0)</f>
        <v>1</v>
      </c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75" customHeight="1">
      <c r="A473" s="17">
        <v>202209</v>
      </c>
      <c r="B473" s="13">
        <v>5540246187998</v>
      </c>
      <c r="C473" s="8">
        <v>1425</v>
      </c>
      <c r="D473" s="8">
        <v>73234.972800000003</v>
      </c>
      <c r="E473" s="25">
        <f t="shared" si="7"/>
        <v>51.392963368421057</v>
      </c>
      <c r="F473" s="8">
        <v>469</v>
      </c>
      <c r="G473" s="17" t="str">
        <f>VLOOKUP(B473, 'Catégorie des articles'!A:E, 4, FALSE)</f>
        <v>EMBALLAGES</v>
      </c>
      <c r="H473" s="14">
        <f>IF(Tableau5[[#This Row],[Stock Moyen (UVC)]]&gt;0,1,0)</f>
        <v>1</v>
      </c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75" customHeight="1">
      <c r="A474" s="17">
        <v>202209</v>
      </c>
      <c r="B474" s="15">
        <v>5540246188047</v>
      </c>
      <c r="C474" s="11">
        <v>270</v>
      </c>
      <c r="D474" s="11">
        <v>32783.270400000001</v>
      </c>
      <c r="E474" s="25">
        <f t="shared" si="7"/>
        <v>121.41952000000001</v>
      </c>
      <c r="F474" s="11">
        <v>35</v>
      </c>
      <c r="G474" s="17" t="str">
        <f>VLOOKUP(B474, 'Catégorie des articles'!A:E, 4, FALSE)</f>
        <v>EMBALLAGES</v>
      </c>
      <c r="H474" s="14">
        <f>IF(Tableau5[[#This Row],[Stock Moyen (UVC)]]&gt;0,1,0)</f>
        <v>1</v>
      </c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75" customHeight="1">
      <c r="A475" s="17">
        <v>202209</v>
      </c>
      <c r="B475" s="13">
        <v>5540246188175</v>
      </c>
      <c r="C475" s="8">
        <v>65</v>
      </c>
      <c r="D475" s="8">
        <v>1854.3168000000001</v>
      </c>
      <c r="E475" s="25">
        <f t="shared" si="7"/>
        <v>28.52795076923077</v>
      </c>
      <c r="F475" s="8">
        <v>529</v>
      </c>
      <c r="G475" s="17" t="str">
        <f>VLOOKUP(B475, 'Catégorie des articles'!A:E, 4, FALSE)</f>
        <v>CREMERIE</v>
      </c>
      <c r="H475" s="14">
        <f>IF(Tableau5[[#This Row],[Stock Moyen (UVC)]]&gt;0,1,0)</f>
        <v>1</v>
      </c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75" customHeight="1">
      <c r="A476" s="17">
        <v>202209</v>
      </c>
      <c r="B476" s="15">
        <v>5540246188200</v>
      </c>
      <c r="C476" s="11">
        <v>928</v>
      </c>
      <c r="D476" s="11">
        <v>1710.72</v>
      </c>
      <c r="E476" s="25">
        <f t="shared" si="7"/>
        <v>1.8434482758620689</v>
      </c>
      <c r="F476" s="11">
        <v>20194</v>
      </c>
      <c r="G476" s="17" t="str">
        <f>VLOOKUP(B476, 'Catégorie des articles'!A:E, 4, FALSE)</f>
        <v>CREMERIE</v>
      </c>
      <c r="H476" s="14">
        <f>IF(Tableau5[[#This Row],[Stock Moyen (UVC)]]&gt;0,1,0)</f>
        <v>1</v>
      </c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75" customHeight="1">
      <c r="A477" s="17">
        <v>202209</v>
      </c>
      <c r="B477" s="15">
        <v>5540246188224</v>
      </c>
      <c r="C477" s="11">
        <v>15892</v>
      </c>
      <c r="D477" s="11">
        <v>18642.960000000003</v>
      </c>
      <c r="E477" s="25">
        <f t="shared" si="7"/>
        <v>1.1731034482758622</v>
      </c>
      <c r="F477" s="11">
        <v>19140</v>
      </c>
      <c r="G477" s="17" t="str">
        <f>VLOOKUP(B477, 'Catégorie des articles'!A:E, 4, FALSE)</f>
        <v>VOLAILLE</v>
      </c>
      <c r="H477" s="14">
        <f>IF(Tableau5[[#This Row],[Stock Moyen (UVC)]]&gt;0,1,0)</f>
        <v>1</v>
      </c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75" customHeight="1">
      <c r="A478" s="17">
        <v>202209</v>
      </c>
      <c r="B478" s="13">
        <v>5540246188512</v>
      </c>
      <c r="C478" s="8">
        <v>332</v>
      </c>
      <c r="D478" s="8">
        <v>45479.491200000004</v>
      </c>
      <c r="E478" s="25">
        <f t="shared" si="7"/>
        <v>136.98641927710844</v>
      </c>
      <c r="F478" s="8">
        <v>0</v>
      </c>
      <c r="G478" s="17" t="str">
        <f>VLOOKUP(B478, 'Catégorie des articles'!A:E, 4, FALSE)</f>
        <v>EMBALLAGES</v>
      </c>
      <c r="H478" s="14">
        <f>IF(Tableau5[[#This Row],[Stock Moyen (UVC)]]&gt;0,1,0)</f>
        <v>1</v>
      </c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75" customHeight="1">
      <c r="A479" s="17">
        <v>202209</v>
      </c>
      <c r="B479" s="13">
        <v>5540246188647</v>
      </c>
      <c r="C479" s="8">
        <v>986</v>
      </c>
      <c r="D479" s="8">
        <v>14596.2</v>
      </c>
      <c r="E479" s="25">
        <f t="shared" si="7"/>
        <v>14.80344827586207</v>
      </c>
      <c r="F479" s="8">
        <v>604</v>
      </c>
      <c r="G479" s="17" t="str">
        <f>VLOOKUP(B479, 'Catégorie des articles'!A:E, 4, FALSE)</f>
        <v>MIX LEGUMES</v>
      </c>
      <c r="H479" s="14">
        <f>IF(Tableau5[[#This Row],[Stock Moyen (UVC)]]&gt;0,1,0)</f>
        <v>1</v>
      </c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75" customHeight="1">
      <c r="A480" s="17">
        <v>202209</v>
      </c>
      <c r="B480" s="13">
        <v>5540246190092</v>
      </c>
      <c r="C480" s="8">
        <v>158</v>
      </c>
      <c r="D480" s="8">
        <v>21832.243200000001</v>
      </c>
      <c r="E480" s="25">
        <f t="shared" si="7"/>
        <v>138.17875443037974</v>
      </c>
      <c r="F480" s="8">
        <v>40</v>
      </c>
      <c r="G480" s="17" t="str">
        <f>VLOOKUP(B480, 'Catégorie des articles'!A:E, 4, FALSE)</f>
        <v>EMBALLAGES</v>
      </c>
      <c r="H480" s="14">
        <f>IF(Tableau5[[#This Row],[Stock Moyen (UVC)]]&gt;0,1,0)</f>
        <v>1</v>
      </c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75" customHeight="1">
      <c r="A481" s="17">
        <v>202209</v>
      </c>
      <c r="B481" s="13">
        <v>5540246190727</v>
      </c>
      <c r="C481" s="8">
        <v>511</v>
      </c>
      <c r="D481" s="8">
        <v>5767.9776000000011</v>
      </c>
      <c r="E481" s="25">
        <f t="shared" si="7"/>
        <v>11.287627397260277</v>
      </c>
      <c r="F481" s="8">
        <v>685</v>
      </c>
      <c r="G481" s="17" t="str">
        <f>VLOOKUP(B481, 'Catégorie des articles'!A:E, 4, FALSE)</f>
        <v>BOULANGERIE</v>
      </c>
      <c r="H481" s="14">
        <f>IF(Tableau5[[#This Row],[Stock Moyen (UVC)]]&gt;0,1,0)</f>
        <v>1</v>
      </c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75" customHeight="1">
      <c r="A482" s="17">
        <v>202209</v>
      </c>
      <c r="B482" s="15">
        <v>5540246190743</v>
      </c>
      <c r="C482" s="11">
        <v>307</v>
      </c>
      <c r="D482" s="11">
        <v>2600.2943999999998</v>
      </c>
      <c r="E482" s="25">
        <f t="shared" si="7"/>
        <v>8.4700143322475565</v>
      </c>
      <c r="F482" s="11">
        <v>669</v>
      </c>
      <c r="G482" s="17" t="str">
        <f>VLOOKUP(B482, 'Catégorie des articles'!A:E, 4, FALSE)</f>
        <v>CREMERIE</v>
      </c>
      <c r="H482" s="14">
        <f>IF(Tableau5[[#This Row],[Stock Moyen (UVC)]]&gt;0,1,0)</f>
        <v>1</v>
      </c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75" customHeight="1">
      <c r="A483" s="17">
        <v>202209</v>
      </c>
      <c r="B483" s="15">
        <v>5540246190831</v>
      </c>
      <c r="C483" s="11">
        <v>836</v>
      </c>
      <c r="D483" s="11">
        <v>6284.5632000000005</v>
      </c>
      <c r="E483" s="25">
        <f t="shared" si="7"/>
        <v>7.5174200956937804</v>
      </c>
      <c r="F483" s="11">
        <v>93</v>
      </c>
      <c r="G483" s="17" t="str">
        <f>VLOOKUP(B483, 'Catégorie des articles'!A:E, 4, FALSE)</f>
        <v>MIX LEGUMES</v>
      </c>
      <c r="H483" s="14">
        <f>IF(Tableau5[[#This Row],[Stock Moyen (UVC)]]&gt;0,1,0)</f>
        <v>1</v>
      </c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75" customHeight="1">
      <c r="A484" s="17">
        <v>202209</v>
      </c>
      <c r="B484" s="13">
        <v>5540246190835</v>
      </c>
      <c r="C484" s="8">
        <v>114</v>
      </c>
      <c r="D484" s="8">
        <v>24029.9136</v>
      </c>
      <c r="E484" s="25">
        <f t="shared" si="7"/>
        <v>210.78871578947368</v>
      </c>
      <c r="F484" s="8">
        <v>3</v>
      </c>
      <c r="G484" s="17" t="str">
        <f>VLOOKUP(B484, 'Catégorie des articles'!A:E, 4, FALSE)</f>
        <v>BOULANGERIE</v>
      </c>
      <c r="H484" s="14">
        <f>IF(Tableau5[[#This Row],[Stock Moyen (UVC)]]&gt;0,1,0)</f>
        <v>1</v>
      </c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75" customHeight="1">
      <c r="A485" s="17">
        <v>202209</v>
      </c>
      <c r="B485" s="13">
        <v>5540246191394</v>
      </c>
      <c r="C485" s="8">
        <v>1972</v>
      </c>
      <c r="D485" s="8">
        <v>10531.296000000002</v>
      </c>
      <c r="E485" s="25">
        <f t="shared" si="7"/>
        <v>5.3404137931034494</v>
      </c>
      <c r="F485" s="8">
        <v>0</v>
      </c>
      <c r="G485" s="17" t="str">
        <f>VLOOKUP(B485, 'Catégorie des articles'!A:E, 4, FALSE)</f>
        <v>CREMERIE</v>
      </c>
      <c r="H485" s="14">
        <f>IF(Tableau5[[#This Row],[Stock Moyen (UVC)]]&gt;0,1,0)</f>
        <v>1</v>
      </c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75" customHeight="1">
      <c r="A486" s="17">
        <v>202209</v>
      </c>
      <c r="B486" s="13">
        <v>5540246191594</v>
      </c>
      <c r="C486" s="8">
        <v>0</v>
      </c>
      <c r="D486" s="8">
        <v>0</v>
      </c>
      <c r="E486" s="25" t="str">
        <f t="shared" si="7"/>
        <v/>
      </c>
      <c r="F486" s="8">
        <v>696</v>
      </c>
      <c r="G486" s="17" t="str">
        <f>VLOOKUP(B486, 'Catégorie des articles'!A:E, 4, FALSE)</f>
        <v>CREMERIE</v>
      </c>
      <c r="H486" s="14">
        <f>IF(Tableau5[[#This Row],[Stock Moyen (UVC)]]&gt;0,1,0)</f>
        <v>0</v>
      </c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75" customHeight="1">
      <c r="A487" s="17">
        <v>202209</v>
      </c>
      <c r="B487" s="15">
        <v>5540246191596</v>
      </c>
      <c r="C487" s="11">
        <v>38</v>
      </c>
      <c r="D487" s="11">
        <v>2072.2175999999999</v>
      </c>
      <c r="E487" s="25">
        <f t="shared" si="7"/>
        <v>54.532042105263159</v>
      </c>
      <c r="F487" s="11">
        <v>184</v>
      </c>
      <c r="G487" s="17" t="str">
        <f>VLOOKUP(B487, 'Catégorie des articles'!A:E, 4, FALSE)</f>
        <v>BOULANGERIE</v>
      </c>
      <c r="H487" s="14">
        <f>IF(Tableau5[[#This Row],[Stock Moyen (UVC)]]&gt;0,1,0)</f>
        <v>1</v>
      </c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75" customHeight="1">
      <c r="A488" s="17">
        <v>202209</v>
      </c>
      <c r="B488" s="13">
        <v>5540246191598</v>
      </c>
      <c r="C488" s="8">
        <v>0</v>
      </c>
      <c r="D488" s="8">
        <v>0</v>
      </c>
      <c r="E488" s="25" t="str">
        <f t="shared" si="7"/>
        <v/>
      </c>
      <c r="F488" s="8">
        <v>1601</v>
      </c>
      <c r="G488" s="17" t="str">
        <f>VLOOKUP(B488, 'Catégorie des articles'!A:E, 4, FALSE)</f>
        <v>CREMERIE</v>
      </c>
      <c r="H488" s="14">
        <f>IF(Tableau5[[#This Row],[Stock Moyen (UVC)]]&gt;0,1,0)</f>
        <v>0</v>
      </c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75" customHeight="1">
      <c r="A489" s="17">
        <v>202209</v>
      </c>
      <c r="B489" s="15">
        <v>5540246191718</v>
      </c>
      <c r="C489" s="11">
        <v>2209</v>
      </c>
      <c r="D489" s="11">
        <v>6547.3055999999997</v>
      </c>
      <c r="E489" s="25">
        <f t="shared" si="7"/>
        <v>2.9639228610230872</v>
      </c>
      <c r="F489" s="11">
        <v>260</v>
      </c>
      <c r="G489" s="17" t="str">
        <f>VLOOKUP(B489, 'Catégorie des articles'!A:E, 4, FALSE)</f>
        <v>MIX LEGUMES</v>
      </c>
      <c r="H489" s="14">
        <f>IF(Tableau5[[#This Row],[Stock Moyen (UVC)]]&gt;0,1,0)</f>
        <v>1</v>
      </c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>
      <c r="A490" s="17">
        <v>202209</v>
      </c>
      <c r="B490" s="15">
        <v>5540246191736</v>
      </c>
      <c r="C490" s="11">
        <v>409</v>
      </c>
      <c r="D490" s="11">
        <v>13206.758400000001</v>
      </c>
      <c r="E490" s="25">
        <f t="shared" si="7"/>
        <v>32.290362836185821</v>
      </c>
      <c r="F490" s="11">
        <v>140</v>
      </c>
      <c r="G490" s="17" t="str">
        <f>VLOOKUP(B490, 'Catégorie des articles'!A:E, 4, FALSE)</f>
        <v>CREMERIE</v>
      </c>
      <c r="H490" s="14">
        <f>IF(Tableau5[[#This Row],[Stock Moyen (UVC)]]&gt;0,1,0)</f>
        <v>1</v>
      </c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75" customHeight="1">
      <c r="A491" s="17">
        <v>202209</v>
      </c>
      <c r="B491" s="13">
        <v>5540246192102</v>
      </c>
      <c r="C491" s="8">
        <v>2269</v>
      </c>
      <c r="D491" s="8">
        <v>2619.4752000000003</v>
      </c>
      <c r="E491" s="25">
        <f t="shared" si="7"/>
        <v>1.1544624063464082</v>
      </c>
      <c r="F491" s="8">
        <v>11206</v>
      </c>
      <c r="G491" s="17" t="str">
        <f>VLOOKUP(B491, 'Catégorie des articles'!A:E, 4, FALSE)</f>
        <v>CREMERIE</v>
      </c>
      <c r="H491" s="14">
        <f>IF(Tableau5[[#This Row],[Stock Moyen (UVC)]]&gt;0,1,0)</f>
        <v>1</v>
      </c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75" customHeight="1">
      <c r="A492" s="17">
        <v>202209</v>
      </c>
      <c r="B492" s="13">
        <v>5540246192148</v>
      </c>
      <c r="C492" s="8">
        <v>17818</v>
      </c>
      <c r="D492" s="8">
        <v>64795.852800000008</v>
      </c>
      <c r="E492" s="25">
        <f t="shared" si="7"/>
        <v>3.6365390503984738</v>
      </c>
      <c r="F492" s="8">
        <v>56237</v>
      </c>
      <c r="G492" s="17" t="str">
        <f>VLOOKUP(B492, 'Catégorie des articles'!A:E, 4, FALSE)</f>
        <v>MIX LEGUMES</v>
      </c>
      <c r="H492" s="14">
        <f>IF(Tableau5[[#This Row],[Stock Moyen (UVC)]]&gt;0,1,0)</f>
        <v>1</v>
      </c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75" customHeight="1">
      <c r="A493" s="17">
        <v>202209</v>
      </c>
      <c r="B493" s="15">
        <v>5540246192209</v>
      </c>
      <c r="C493" s="11">
        <v>1225</v>
      </c>
      <c r="D493" s="11">
        <v>6158.5919999999996</v>
      </c>
      <c r="E493" s="25">
        <f t="shared" si="7"/>
        <v>5.0274220408163259</v>
      </c>
      <c r="F493" s="11">
        <v>2311</v>
      </c>
      <c r="G493" s="17" t="str">
        <f>VLOOKUP(B493, 'Catégorie des articles'!A:E, 4, FALSE)</f>
        <v>MIX LEGUMES</v>
      </c>
      <c r="H493" s="14">
        <f>IF(Tableau5[[#This Row],[Stock Moyen (UVC)]]&gt;0,1,0)</f>
        <v>1</v>
      </c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75" customHeight="1">
      <c r="A494" s="17">
        <v>202209</v>
      </c>
      <c r="B494" s="13">
        <v>5540246192264</v>
      </c>
      <c r="C494" s="8">
        <v>1374</v>
      </c>
      <c r="D494" s="8">
        <v>19948.032000000003</v>
      </c>
      <c r="E494" s="25">
        <f t="shared" si="7"/>
        <v>14.518218340611355</v>
      </c>
      <c r="F494" s="8">
        <v>1634</v>
      </c>
      <c r="G494" s="17" t="str">
        <f>VLOOKUP(B494, 'Catégorie des articles'!A:E, 4, FALSE)</f>
        <v>CREMERIE</v>
      </c>
      <c r="H494" s="14">
        <f>IF(Tableau5[[#This Row],[Stock Moyen (UVC)]]&gt;0,1,0)</f>
        <v>1</v>
      </c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75" customHeight="1">
      <c r="A495" s="17">
        <v>202209</v>
      </c>
      <c r="B495" s="15">
        <v>5540246192265</v>
      </c>
      <c r="C495" s="11">
        <v>1318</v>
      </c>
      <c r="D495" s="11">
        <v>17642.5344</v>
      </c>
      <c r="E495" s="25">
        <f t="shared" si="7"/>
        <v>13.385837936267071</v>
      </c>
      <c r="F495" s="11">
        <v>928</v>
      </c>
      <c r="G495" s="17" t="str">
        <f>VLOOKUP(B495, 'Catégorie des articles'!A:E, 4, FALSE)</f>
        <v>CREMERIE</v>
      </c>
      <c r="H495" s="14">
        <f>IF(Tableau5[[#This Row],[Stock Moyen (UVC)]]&gt;0,1,0)</f>
        <v>1</v>
      </c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75" customHeight="1">
      <c r="A496" s="17">
        <v>202209</v>
      </c>
      <c r="B496" s="13">
        <v>5540246192462</v>
      </c>
      <c r="C496" s="8">
        <v>594</v>
      </c>
      <c r="D496" s="8">
        <v>4187.0304000000006</v>
      </c>
      <c r="E496" s="25">
        <f t="shared" si="7"/>
        <v>7.0488727272727285</v>
      </c>
      <c r="F496" s="8">
        <v>789</v>
      </c>
      <c r="G496" s="17" t="str">
        <f>VLOOKUP(B496, 'Catégorie des articles'!A:E, 4, FALSE)</f>
        <v>MIX LEGUMES</v>
      </c>
      <c r="H496" s="14">
        <f>IF(Tableau5[[#This Row],[Stock Moyen (UVC)]]&gt;0,1,0)</f>
        <v>1</v>
      </c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75" customHeight="1">
      <c r="A497" s="17">
        <v>202209</v>
      </c>
      <c r="B497" s="13">
        <v>5540246192518</v>
      </c>
      <c r="C497" s="8">
        <v>7090</v>
      </c>
      <c r="D497" s="8">
        <v>49692.009600000005</v>
      </c>
      <c r="E497" s="25">
        <f t="shared" si="7"/>
        <v>7.0087460648801132</v>
      </c>
      <c r="F497" s="8">
        <v>5513</v>
      </c>
      <c r="G497" s="17" t="str">
        <f>VLOOKUP(B497, 'Catégorie des articles'!A:E, 4, FALSE)</f>
        <v>MIX LEGUMES</v>
      </c>
      <c r="H497" s="14">
        <f>IF(Tableau5[[#This Row],[Stock Moyen (UVC)]]&gt;0,1,0)</f>
        <v>1</v>
      </c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75" customHeight="1">
      <c r="A498" s="17">
        <v>202209</v>
      </c>
      <c r="B498" s="15">
        <v>5540246192571</v>
      </c>
      <c r="C498" s="11">
        <v>460</v>
      </c>
      <c r="D498" s="11">
        <v>1642.2912000000001</v>
      </c>
      <c r="E498" s="25">
        <f t="shared" si="7"/>
        <v>3.5701982608695655</v>
      </c>
      <c r="F498" s="11">
        <v>502</v>
      </c>
      <c r="G498" s="17" t="str">
        <f>VLOOKUP(B498, 'Catégorie des articles'!A:E, 4, FALSE)</f>
        <v>MIX LEGUMES</v>
      </c>
      <c r="H498" s="14">
        <f>IF(Tableau5[[#This Row],[Stock Moyen (UVC)]]&gt;0,1,0)</f>
        <v>1</v>
      </c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75" customHeight="1">
      <c r="A499" s="17">
        <v>202209</v>
      </c>
      <c r="B499" s="13">
        <v>5540246192594</v>
      </c>
      <c r="C499" s="8">
        <v>307</v>
      </c>
      <c r="D499" s="8">
        <v>2024.3520000000003</v>
      </c>
      <c r="E499" s="25">
        <f t="shared" si="7"/>
        <v>6.5939804560260598</v>
      </c>
      <c r="F499" s="8">
        <v>195</v>
      </c>
      <c r="G499" s="17" t="str">
        <f>VLOOKUP(B499, 'Catégorie des articles'!A:E, 4, FALSE)</f>
        <v>MIX LEGUMES</v>
      </c>
      <c r="H499" s="14">
        <f>IF(Tableau5[[#This Row],[Stock Moyen (UVC)]]&gt;0,1,0)</f>
        <v>1</v>
      </c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75" customHeight="1">
      <c r="A500" s="17">
        <v>202209</v>
      </c>
      <c r="B500" s="15">
        <v>5540246192831</v>
      </c>
      <c r="C500" s="11">
        <v>418</v>
      </c>
      <c r="D500" s="11">
        <v>3701.3760000000002</v>
      </c>
      <c r="E500" s="25">
        <f t="shared" si="7"/>
        <v>8.8549665071770338</v>
      </c>
      <c r="F500" s="11">
        <v>567</v>
      </c>
      <c r="G500" s="17" t="str">
        <f>VLOOKUP(B500, 'Catégorie des articles'!A:E, 4, FALSE)</f>
        <v>MIX LEGUMES</v>
      </c>
      <c r="H500" s="14">
        <f>IF(Tableau5[[#This Row],[Stock Moyen (UVC)]]&gt;0,1,0)</f>
        <v>1</v>
      </c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75" customHeight="1">
      <c r="A501" s="17">
        <v>202209</v>
      </c>
      <c r="B501" s="13">
        <v>5540246192836</v>
      </c>
      <c r="C501" s="8">
        <v>61</v>
      </c>
      <c r="D501" s="8">
        <v>8347.6224000000002</v>
      </c>
      <c r="E501" s="25">
        <f t="shared" si="7"/>
        <v>136.84626885245902</v>
      </c>
      <c r="F501" s="8">
        <v>0</v>
      </c>
      <c r="G501" s="17" t="str">
        <f>VLOOKUP(B501, 'Catégorie des articles'!A:E, 4, FALSE)</f>
        <v>EMBALLAGES</v>
      </c>
      <c r="H501" s="14">
        <f>IF(Tableau5[[#This Row],[Stock Moyen (UVC)]]&gt;0,1,0)</f>
        <v>1</v>
      </c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75" customHeight="1">
      <c r="A502" s="17">
        <v>202209</v>
      </c>
      <c r="B502" s="15">
        <v>5540246192907</v>
      </c>
      <c r="C502" s="11">
        <v>4446</v>
      </c>
      <c r="D502" s="11">
        <v>124777.58400000002</v>
      </c>
      <c r="E502" s="25">
        <f t="shared" si="7"/>
        <v>28.06513360323887</v>
      </c>
      <c r="F502" s="11">
        <v>2952</v>
      </c>
      <c r="G502" s="17" t="str">
        <f>VLOOKUP(B502, 'Catégorie des articles'!A:E, 4, FALSE)</f>
        <v>VOLAILLE</v>
      </c>
      <c r="H502" s="14">
        <f>IF(Tableau5[[#This Row],[Stock Moyen (UVC)]]&gt;0,1,0)</f>
        <v>1</v>
      </c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75" customHeight="1">
      <c r="A503" s="17">
        <v>202209</v>
      </c>
      <c r="B503" s="15">
        <v>5540246193316</v>
      </c>
      <c r="C503" s="11">
        <v>267</v>
      </c>
      <c r="D503" s="11">
        <v>8728.3008000000009</v>
      </c>
      <c r="E503" s="25">
        <f t="shared" si="7"/>
        <v>32.690265168539327</v>
      </c>
      <c r="F503" s="11">
        <v>467</v>
      </c>
      <c r="G503" s="17" t="str">
        <f>VLOOKUP(B503, 'Catégorie des articles'!A:E, 4, FALSE)</f>
        <v>BOULANGERIE</v>
      </c>
      <c r="H503" s="14">
        <f>IF(Tableau5[[#This Row],[Stock Moyen (UVC)]]&gt;0,1,0)</f>
        <v>1</v>
      </c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75" customHeight="1">
      <c r="A504" s="17">
        <v>202209</v>
      </c>
      <c r="B504" s="13">
        <v>5540246193409</v>
      </c>
      <c r="C504" s="8">
        <v>107</v>
      </c>
      <c r="D504" s="8">
        <v>5484.6719999999996</v>
      </c>
      <c r="E504" s="25">
        <f t="shared" si="7"/>
        <v>51.2586168224299</v>
      </c>
      <c r="F504" s="8">
        <v>7</v>
      </c>
      <c r="G504" s="17" t="str">
        <f>VLOOKUP(B504, 'Catégorie des articles'!A:E, 4, FALSE)</f>
        <v>BOULANGERIE</v>
      </c>
      <c r="H504" s="14">
        <f>IF(Tableau5[[#This Row],[Stock Moyen (UVC)]]&gt;0,1,0)</f>
        <v>1</v>
      </c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75" customHeight="1">
      <c r="A505" s="17">
        <v>202209</v>
      </c>
      <c r="B505" s="13">
        <v>5540246193878</v>
      </c>
      <c r="C505" s="8">
        <v>8352</v>
      </c>
      <c r="D505" s="8">
        <v>59097.600000000006</v>
      </c>
      <c r="E505" s="25">
        <f t="shared" si="7"/>
        <v>7.0758620689655176</v>
      </c>
      <c r="F505" s="8">
        <v>9652</v>
      </c>
      <c r="G505" s="17" t="str">
        <f>VLOOKUP(B505, 'Catégorie des articles'!A:E, 4, FALSE)</f>
        <v>VOLAILLE</v>
      </c>
      <c r="H505" s="14">
        <f>IF(Tableau5[[#This Row],[Stock Moyen (UVC)]]&gt;0,1,0)</f>
        <v>1</v>
      </c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>
      <c r="A506" s="17">
        <v>202209</v>
      </c>
      <c r="B506" s="15">
        <v>5540246194330</v>
      </c>
      <c r="C506" s="11">
        <v>8687</v>
      </c>
      <c r="D506" s="11">
        <v>12777.523200000001</v>
      </c>
      <c r="E506" s="25">
        <f t="shared" si="7"/>
        <v>1.4708786922988375</v>
      </c>
      <c r="F506" s="11">
        <v>11248</v>
      </c>
      <c r="G506" s="17" t="str">
        <f>VLOOKUP(B506, 'Catégorie des articles'!A:E, 4, FALSE)</f>
        <v>MIX LEGUMES</v>
      </c>
      <c r="H506" s="14">
        <f>IF(Tableau5[[#This Row],[Stock Moyen (UVC)]]&gt;0,1,0)</f>
        <v>1</v>
      </c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75" customHeight="1">
      <c r="A507" s="17">
        <v>202209</v>
      </c>
      <c r="B507" s="13">
        <v>5540246194467</v>
      </c>
      <c r="C507" s="8">
        <v>33854</v>
      </c>
      <c r="D507" s="8">
        <v>34103.246400000004</v>
      </c>
      <c r="E507" s="25">
        <f t="shared" si="7"/>
        <v>1.0073623914456196</v>
      </c>
      <c r="F507" s="8">
        <v>57462</v>
      </c>
      <c r="G507" s="17" t="str">
        <f>VLOOKUP(B507, 'Catégorie des articles'!A:E, 4, FALSE)</f>
        <v>BOULANGERIE</v>
      </c>
      <c r="H507" s="14">
        <f>IF(Tableau5[[#This Row],[Stock Moyen (UVC)]]&gt;0,1,0)</f>
        <v>1</v>
      </c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75" customHeight="1">
      <c r="A508" s="17">
        <v>202209</v>
      </c>
      <c r="B508" s="13">
        <v>5540246194478</v>
      </c>
      <c r="C508" s="8">
        <v>724</v>
      </c>
      <c r="D508" s="8">
        <v>31499.020800000002</v>
      </c>
      <c r="E508" s="25">
        <f t="shared" si="7"/>
        <v>43.506934806629836</v>
      </c>
      <c r="F508" s="8">
        <v>608</v>
      </c>
      <c r="G508" s="17" t="str">
        <f>VLOOKUP(B508, 'Catégorie des articles'!A:E, 4, FALSE)</f>
        <v>EMBALLAGES</v>
      </c>
      <c r="H508" s="14">
        <f>IF(Tableau5[[#This Row],[Stock Moyen (UVC)]]&gt;0,1,0)</f>
        <v>1</v>
      </c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75" customHeight="1">
      <c r="A509" s="17">
        <v>202209</v>
      </c>
      <c r="B509" s="15">
        <v>5540246194632</v>
      </c>
      <c r="C509" s="11">
        <v>0</v>
      </c>
      <c r="D509" s="11">
        <v>0</v>
      </c>
      <c r="E509" s="25" t="str">
        <f t="shared" si="7"/>
        <v/>
      </c>
      <c r="F509" s="11">
        <v>8571</v>
      </c>
      <c r="G509" s="17" t="str">
        <f>VLOOKUP(B509, 'Catégorie des articles'!A:E, 4, FALSE)</f>
        <v>BOULANGERIE</v>
      </c>
      <c r="H509" s="14">
        <f>IF(Tableau5[[#This Row],[Stock Moyen (UVC)]]&gt;0,1,0)</f>
        <v>0</v>
      </c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75" customHeight="1">
      <c r="A510" s="17">
        <v>202209</v>
      </c>
      <c r="B510" s="15">
        <v>5540246194790</v>
      </c>
      <c r="C510" s="11">
        <v>0</v>
      </c>
      <c r="D510" s="11">
        <v>0</v>
      </c>
      <c r="E510" s="25" t="str">
        <f t="shared" si="7"/>
        <v/>
      </c>
      <c r="F510" s="11">
        <v>710</v>
      </c>
      <c r="G510" s="17" t="str">
        <f>VLOOKUP(B510, 'Catégorie des articles'!A:E, 4, FALSE)</f>
        <v>MIX LEGUMES</v>
      </c>
      <c r="H510" s="14">
        <f>IF(Tableau5[[#This Row],[Stock Moyen (UVC)]]&gt;0,1,0)</f>
        <v>0</v>
      </c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75" customHeight="1">
      <c r="A511" s="17">
        <v>202209</v>
      </c>
      <c r="B511" s="13">
        <v>5540246194947</v>
      </c>
      <c r="C511" s="8">
        <v>0</v>
      </c>
      <c r="D511" s="8">
        <v>0</v>
      </c>
      <c r="E511" s="25" t="str">
        <f t="shared" si="7"/>
        <v/>
      </c>
      <c r="F511" s="8">
        <v>17</v>
      </c>
      <c r="G511" s="17" t="str">
        <f>VLOOKUP(B511, 'Catégorie des articles'!A:E, 4, FALSE)</f>
        <v>EMBALLAGES</v>
      </c>
      <c r="H511" s="14">
        <f>IF(Tableau5[[#This Row],[Stock Moyen (UVC)]]&gt;0,1,0)</f>
        <v>0</v>
      </c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75" customHeight="1">
      <c r="A512" s="17">
        <v>202209</v>
      </c>
      <c r="B512" s="15">
        <v>5540246195096</v>
      </c>
      <c r="C512" s="11">
        <v>2005</v>
      </c>
      <c r="D512" s="11">
        <v>11925.2736</v>
      </c>
      <c r="E512" s="25">
        <f t="shared" si="7"/>
        <v>5.9477673815461349</v>
      </c>
      <c r="F512" s="11">
        <v>307</v>
      </c>
      <c r="G512" s="17" t="str">
        <f>VLOOKUP(B512, 'Catégorie des articles'!A:E, 4, FALSE)</f>
        <v>MIX LEGUMES</v>
      </c>
      <c r="H512" s="14">
        <f>IF(Tableau5[[#This Row],[Stock Moyen (UVC)]]&gt;0,1,0)</f>
        <v>1</v>
      </c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75" customHeight="1">
      <c r="A513" s="17">
        <v>202209</v>
      </c>
      <c r="B513" s="13">
        <v>5540246195241</v>
      </c>
      <c r="C513" s="8">
        <v>0</v>
      </c>
      <c r="D513" s="8">
        <v>0</v>
      </c>
      <c r="E513" s="25" t="str">
        <f t="shared" si="7"/>
        <v/>
      </c>
      <c r="F513" s="8">
        <v>1165</v>
      </c>
      <c r="G513" s="17" t="str">
        <f>VLOOKUP(B513, 'Catégorie des articles'!A:E, 4, FALSE)</f>
        <v>MIX LEGUMES</v>
      </c>
      <c r="H513" s="14">
        <f>IF(Tableau5[[#This Row],[Stock Moyen (UVC)]]&gt;0,1,0)</f>
        <v>0</v>
      </c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75" customHeight="1">
      <c r="A514" s="17">
        <v>202209</v>
      </c>
      <c r="B514" s="15">
        <v>5540246195242</v>
      </c>
      <c r="C514" s="11">
        <v>0</v>
      </c>
      <c r="D514" s="11">
        <v>0</v>
      </c>
      <c r="E514" s="25" t="str">
        <f t="shared" si="7"/>
        <v/>
      </c>
      <c r="F514" s="11">
        <v>1209</v>
      </c>
      <c r="G514" s="17" t="str">
        <f>VLOOKUP(B514, 'Catégorie des articles'!A:E, 4, FALSE)</f>
        <v>MIX LEGUMES</v>
      </c>
      <c r="H514" s="14">
        <f>IF(Tableau5[[#This Row],[Stock Moyen (UVC)]]&gt;0,1,0)</f>
        <v>0</v>
      </c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75" customHeight="1">
      <c r="A515" s="17">
        <v>202209</v>
      </c>
      <c r="B515" s="15">
        <v>5540246195250</v>
      </c>
      <c r="C515" s="11">
        <v>0</v>
      </c>
      <c r="D515" s="11">
        <v>0</v>
      </c>
      <c r="E515" s="25" t="str">
        <f t="shared" ref="E515:E578" si="8">IF(C515=0,"",D515/C515)</f>
        <v/>
      </c>
      <c r="F515" s="11">
        <v>553</v>
      </c>
      <c r="G515" s="17" t="str">
        <f>VLOOKUP(B515, 'Catégorie des articles'!A:E, 4, FALSE)</f>
        <v>BOULANGERIE</v>
      </c>
      <c r="H515" s="14">
        <f>IF(Tableau5[[#This Row],[Stock Moyen (UVC)]]&gt;0,1,0)</f>
        <v>0</v>
      </c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75" customHeight="1">
      <c r="A516" s="17">
        <v>202209</v>
      </c>
      <c r="B516" s="13">
        <v>5540246195539</v>
      </c>
      <c r="C516" s="8">
        <v>0</v>
      </c>
      <c r="D516" s="8">
        <v>0</v>
      </c>
      <c r="E516" s="25" t="str">
        <f t="shared" si="8"/>
        <v/>
      </c>
      <c r="F516" s="8">
        <v>460</v>
      </c>
      <c r="G516" s="17" t="str">
        <f>VLOOKUP(B516, 'Catégorie des articles'!A:E, 4, FALSE)</f>
        <v>CREMERIE</v>
      </c>
      <c r="H516" s="14">
        <f>IF(Tableau5[[#This Row],[Stock Moyen (UVC)]]&gt;0,1,0)</f>
        <v>0</v>
      </c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75" customHeight="1">
      <c r="A517" s="17">
        <v>202209</v>
      </c>
      <c r="B517" s="15">
        <v>5540246195596</v>
      </c>
      <c r="C517" s="11">
        <v>0</v>
      </c>
      <c r="D517" s="11">
        <v>0</v>
      </c>
      <c r="E517" s="25" t="str">
        <f t="shared" si="8"/>
        <v/>
      </c>
      <c r="F517" s="11">
        <v>52</v>
      </c>
      <c r="G517" s="17" t="str">
        <f>VLOOKUP(B517, 'Catégorie des articles'!A:E, 4, FALSE)</f>
        <v>BOULANGERIE</v>
      </c>
      <c r="H517" s="14">
        <f>IF(Tableau5[[#This Row],[Stock Moyen (UVC)]]&gt;0,1,0)</f>
        <v>0</v>
      </c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75" customHeight="1">
      <c r="A518" s="17">
        <v>202209</v>
      </c>
      <c r="B518" s="13">
        <v>5540246195653</v>
      </c>
      <c r="C518" s="8">
        <v>0</v>
      </c>
      <c r="D518" s="8">
        <v>0</v>
      </c>
      <c r="E518" s="25" t="str">
        <f t="shared" si="8"/>
        <v/>
      </c>
      <c r="F518" s="8">
        <v>0</v>
      </c>
      <c r="G518" s="17" t="str">
        <f>VLOOKUP(B518, 'Catégorie des articles'!A:E, 4, FALSE)</f>
        <v>EMBALLAGES</v>
      </c>
      <c r="H518" s="14">
        <f>IF(Tableau5[[#This Row],[Stock Moyen (UVC)]]&gt;0,1,0)</f>
        <v>0</v>
      </c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75" customHeight="1">
      <c r="A519" s="17">
        <v>202210</v>
      </c>
      <c r="B519" s="13">
        <v>5540246170256</v>
      </c>
      <c r="C519" s="8">
        <v>5253</v>
      </c>
      <c r="D519" s="8">
        <v>35307.532800000001</v>
      </c>
      <c r="E519" s="25">
        <f t="shared" si="8"/>
        <v>6.7214035408338093</v>
      </c>
      <c r="F519" s="8">
        <v>10146</v>
      </c>
      <c r="G519" s="17" t="str">
        <f>VLOOKUP(B519, 'Catégorie des articles'!A:E, 4, FALSE)</f>
        <v>BOULANGERIE</v>
      </c>
      <c r="H519" s="14">
        <f>IF(Tableau5[[#This Row],[Stock Moyen (UVC)]]&gt;0,1,0)</f>
        <v>1</v>
      </c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75" customHeight="1">
      <c r="A520" s="17">
        <v>202210</v>
      </c>
      <c r="B520" s="13">
        <v>5540246171759</v>
      </c>
      <c r="C520" s="8">
        <v>5884</v>
      </c>
      <c r="D520" s="8">
        <v>32318.784</v>
      </c>
      <c r="E520" s="25">
        <f t="shared" si="8"/>
        <v>5.492655336505778</v>
      </c>
      <c r="F520" s="8">
        <v>6042</v>
      </c>
      <c r="G520" s="17" t="str">
        <f>VLOOKUP(B520, 'Catégorie des articles'!A:E, 4, FALSE)</f>
        <v>MIX LEGUMES</v>
      </c>
      <c r="H520" s="14">
        <f>IF(Tableau5[[#This Row],[Stock Moyen (UVC)]]&gt;0,1,0)</f>
        <v>1</v>
      </c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75" customHeight="1">
      <c r="A521" s="17">
        <v>202210</v>
      </c>
      <c r="B521" s="15">
        <v>5540246171888</v>
      </c>
      <c r="C521" s="11">
        <v>1782</v>
      </c>
      <c r="D521" s="11">
        <v>30025.727999999999</v>
      </c>
      <c r="E521" s="25">
        <f t="shared" si="8"/>
        <v>16.849454545454545</v>
      </c>
      <c r="F521" s="11">
        <v>2532</v>
      </c>
      <c r="G521" s="17" t="str">
        <f>VLOOKUP(B521, 'Catégorie des articles'!A:E, 4, FALSE)</f>
        <v>BOULANGERIE</v>
      </c>
      <c r="H521" s="14">
        <f>IF(Tableau5[[#This Row],[Stock Moyen (UVC)]]&gt;0,1,0)</f>
        <v>1</v>
      </c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75" customHeight="1">
      <c r="A522" s="17">
        <v>202210</v>
      </c>
      <c r="B522" s="13">
        <v>5540246171933</v>
      </c>
      <c r="C522" s="8">
        <v>1894</v>
      </c>
      <c r="D522" s="8">
        <v>1251.4176000000002</v>
      </c>
      <c r="E522" s="25">
        <f t="shared" si="8"/>
        <v>0.66072734952481538</v>
      </c>
      <c r="F522" s="8">
        <v>8520</v>
      </c>
      <c r="G522" s="17" t="str">
        <f>VLOOKUP(B522, 'Catégorie des articles'!A:E, 4, FALSE)</f>
        <v>CREMERIE</v>
      </c>
      <c r="H522" s="14">
        <f>IF(Tableau5[[#This Row],[Stock Moyen (UVC)]]&gt;0,1,0)</f>
        <v>1</v>
      </c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75" customHeight="1">
      <c r="A523" s="17">
        <v>202210</v>
      </c>
      <c r="B523" s="13">
        <v>5540246172539</v>
      </c>
      <c r="C523" s="8">
        <v>112</v>
      </c>
      <c r="D523" s="8">
        <v>2425.2912000000001</v>
      </c>
      <c r="E523" s="25">
        <f t="shared" si="8"/>
        <v>21.654385714285716</v>
      </c>
      <c r="F523" s="8">
        <v>154</v>
      </c>
      <c r="G523" s="17" t="str">
        <f>VLOOKUP(B523, 'Catégorie des articles'!A:E, 4, FALSE)</f>
        <v>CREMERIE</v>
      </c>
      <c r="H523" s="14">
        <f>IF(Tableau5[[#This Row],[Stock Moyen (UVC)]]&gt;0,1,0)</f>
        <v>1</v>
      </c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75" customHeight="1">
      <c r="A524" s="17">
        <v>202210</v>
      </c>
      <c r="B524" s="15">
        <v>5540246172669</v>
      </c>
      <c r="C524" s="11">
        <v>557</v>
      </c>
      <c r="D524" s="11">
        <v>7801.92</v>
      </c>
      <c r="E524" s="25">
        <f t="shared" si="8"/>
        <v>14.007037701974866</v>
      </c>
      <c r="F524" s="11">
        <v>1420</v>
      </c>
      <c r="G524" s="17" t="str">
        <f>VLOOKUP(B524, 'Catégorie des articles'!A:E, 4, FALSE)</f>
        <v>CREMERIE</v>
      </c>
      <c r="H524" s="14">
        <f>IF(Tableau5[[#This Row],[Stock Moyen (UVC)]]&gt;0,1,0)</f>
        <v>1</v>
      </c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75" customHeight="1">
      <c r="A525" s="17">
        <v>202210</v>
      </c>
      <c r="B525" s="13">
        <v>5540246172978</v>
      </c>
      <c r="C525" s="8">
        <v>0</v>
      </c>
      <c r="D525" s="8">
        <v>0</v>
      </c>
      <c r="E525" s="25" t="str">
        <f t="shared" si="8"/>
        <v/>
      </c>
      <c r="F525" s="8">
        <v>15285</v>
      </c>
      <c r="G525" s="17" t="str">
        <f>VLOOKUP(B525, 'Catégorie des articles'!A:E, 4, FALSE)</f>
        <v>CREMERIE</v>
      </c>
      <c r="H525" s="14">
        <f>IF(Tableau5[[#This Row],[Stock Moyen (UVC)]]&gt;0,1,0)</f>
        <v>0</v>
      </c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75" customHeight="1">
      <c r="A526" s="17">
        <v>202210</v>
      </c>
      <c r="B526" s="15">
        <v>5540246173472</v>
      </c>
      <c r="C526" s="11">
        <v>181</v>
      </c>
      <c r="D526" s="11">
        <v>4178.3040000000001</v>
      </c>
      <c r="E526" s="25">
        <f t="shared" si="8"/>
        <v>23.084552486187846</v>
      </c>
      <c r="F526" s="11">
        <v>850</v>
      </c>
      <c r="G526" s="17" t="str">
        <f>VLOOKUP(B526, 'Catégorie des articles'!A:E, 4, FALSE)</f>
        <v>CREMERIE</v>
      </c>
      <c r="H526" s="14">
        <f>IF(Tableau5[[#This Row],[Stock Moyen (UVC)]]&gt;0,1,0)</f>
        <v>1</v>
      </c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75" customHeight="1">
      <c r="A527" s="17">
        <v>202210</v>
      </c>
      <c r="B527" s="13">
        <v>5540246173492</v>
      </c>
      <c r="C527" s="8">
        <v>0</v>
      </c>
      <c r="D527" s="8">
        <v>0</v>
      </c>
      <c r="E527" s="25" t="str">
        <f t="shared" si="8"/>
        <v/>
      </c>
      <c r="F527" s="8">
        <v>0</v>
      </c>
      <c r="G527" s="17" t="str">
        <f>VLOOKUP(B527, 'Catégorie des articles'!A:E, 4, FALSE)</f>
        <v>VOLAILLE</v>
      </c>
      <c r="H527" s="14">
        <f>IF(Tableau5[[#This Row],[Stock Moyen (UVC)]]&gt;0,1,0)</f>
        <v>0</v>
      </c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75" customHeight="1">
      <c r="A528" s="17">
        <v>202210</v>
      </c>
      <c r="B528" s="13">
        <v>5540246173685</v>
      </c>
      <c r="C528" s="8">
        <v>170</v>
      </c>
      <c r="D528" s="8">
        <v>4417.2431999999999</v>
      </c>
      <c r="E528" s="25">
        <f t="shared" si="8"/>
        <v>25.983783529411763</v>
      </c>
      <c r="F528" s="8">
        <v>121</v>
      </c>
      <c r="G528" s="17" t="str">
        <f>VLOOKUP(B528, 'Catégorie des articles'!A:E, 4, FALSE)</f>
        <v>EMBALLAGES</v>
      </c>
      <c r="H528" s="14">
        <f>IF(Tableau5[[#This Row],[Stock Moyen (UVC)]]&gt;0,1,0)</f>
        <v>1</v>
      </c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75" customHeight="1">
      <c r="A529" s="17">
        <v>202210</v>
      </c>
      <c r="B529" s="15">
        <v>5540246173686</v>
      </c>
      <c r="C529" s="11">
        <v>151</v>
      </c>
      <c r="D529" s="11">
        <v>3903.9840000000004</v>
      </c>
      <c r="E529" s="25">
        <f t="shared" si="8"/>
        <v>25.85419867549669</v>
      </c>
      <c r="F529" s="11">
        <v>0</v>
      </c>
      <c r="G529" s="17" t="str">
        <f>VLOOKUP(B529, 'Catégorie des articles'!A:E, 4, FALSE)</f>
        <v>EMBALLAGES</v>
      </c>
      <c r="H529" s="14">
        <f>IF(Tableau5[[#This Row],[Stock Moyen (UVC)]]&gt;0,1,0)</f>
        <v>1</v>
      </c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75" customHeight="1">
      <c r="A530" s="17">
        <v>202210</v>
      </c>
      <c r="B530" s="15">
        <v>5540246173906</v>
      </c>
      <c r="C530" s="11">
        <v>1750</v>
      </c>
      <c r="D530" s="11">
        <v>32507.654400000003</v>
      </c>
      <c r="E530" s="25">
        <f t="shared" si="8"/>
        <v>18.575802514285716</v>
      </c>
      <c r="F530" s="11">
        <v>3016</v>
      </c>
      <c r="G530" s="17" t="str">
        <f>VLOOKUP(B530, 'Catégorie des articles'!A:E, 4, FALSE)</f>
        <v>VOLAILLE</v>
      </c>
      <c r="H530" s="14">
        <f>IF(Tableau5[[#This Row],[Stock Moyen (UVC)]]&gt;0,1,0)</f>
        <v>1</v>
      </c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75" customHeight="1">
      <c r="A531" s="17">
        <v>202210</v>
      </c>
      <c r="B531" s="13">
        <v>5540246174095</v>
      </c>
      <c r="C531" s="8">
        <v>77</v>
      </c>
      <c r="D531" s="8">
        <v>2389.3056000000001</v>
      </c>
      <c r="E531" s="25">
        <f t="shared" si="8"/>
        <v>31.02994285714286</v>
      </c>
      <c r="F531" s="8">
        <v>154</v>
      </c>
      <c r="G531" s="17" t="str">
        <f>VLOOKUP(B531, 'Catégorie des articles'!A:E, 4, FALSE)</f>
        <v>CREMERIE</v>
      </c>
      <c r="H531" s="14">
        <f>IF(Tableau5[[#This Row],[Stock Moyen (UVC)]]&gt;0,1,0)</f>
        <v>1</v>
      </c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75" customHeight="1">
      <c r="A532" s="17">
        <v>202210</v>
      </c>
      <c r="B532" s="15">
        <v>5540246174174</v>
      </c>
      <c r="C532" s="11">
        <v>91</v>
      </c>
      <c r="D532" s="11">
        <v>1251.8063999999999</v>
      </c>
      <c r="E532" s="25">
        <f t="shared" si="8"/>
        <v>13.756114285714284</v>
      </c>
      <c r="F532" s="11">
        <v>666</v>
      </c>
      <c r="G532" s="17" t="str">
        <f>VLOOKUP(B532, 'Catégorie des articles'!A:E, 4, FALSE)</f>
        <v>CREMERIE</v>
      </c>
      <c r="H532" s="14">
        <f>IF(Tableau5[[#This Row],[Stock Moyen (UVC)]]&gt;0,1,0)</f>
        <v>1</v>
      </c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>
      <c r="A533" s="17">
        <v>202210</v>
      </c>
      <c r="B533" s="13">
        <v>5540246175047</v>
      </c>
      <c r="C533" s="8">
        <v>432</v>
      </c>
      <c r="D533" s="8">
        <v>4572.0288</v>
      </c>
      <c r="E533" s="25">
        <f t="shared" si="8"/>
        <v>10.583399999999999</v>
      </c>
      <c r="F533" s="8">
        <v>877</v>
      </c>
      <c r="G533" s="17" t="str">
        <f>VLOOKUP(B533, 'Catégorie des articles'!A:E, 4, FALSE)</f>
        <v>CREMERIE</v>
      </c>
      <c r="H533" s="14">
        <f>IF(Tableau5[[#This Row],[Stock Moyen (UVC)]]&gt;0,1,0)</f>
        <v>1</v>
      </c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75" customHeight="1">
      <c r="A534" s="17">
        <v>202210</v>
      </c>
      <c r="B534" s="15">
        <v>5540246175049</v>
      </c>
      <c r="C534" s="11">
        <v>683</v>
      </c>
      <c r="D534" s="11">
        <v>7099.7472000000007</v>
      </c>
      <c r="E534" s="25">
        <f t="shared" si="8"/>
        <v>10.394944655929724</v>
      </c>
      <c r="F534" s="11">
        <v>4274</v>
      </c>
      <c r="G534" s="17" t="str">
        <f>VLOOKUP(B534, 'Catégorie des articles'!A:E, 4, FALSE)</f>
        <v>CREMERIE</v>
      </c>
      <c r="H534" s="14">
        <f>IF(Tableau5[[#This Row],[Stock Moyen (UVC)]]&gt;0,1,0)</f>
        <v>1</v>
      </c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75" customHeight="1">
      <c r="A535" s="17">
        <v>202210</v>
      </c>
      <c r="B535" s="13">
        <v>5540246175050</v>
      </c>
      <c r="C535" s="8">
        <v>557</v>
      </c>
      <c r="D535" s="8">
        <v>6448.8960000000006</v>
      </c>
      <c r="E535" s="25">
        <f t="shared" si="8"/>
        <v>11.57791023339318</v>
      </c>
      <c r="F535" s="8">
        <v>3383</v>
      </c>
      <c r="G535" s="17" t="str">
        <f>VLOOKUP(B535, 'Catégorie des articles'!A:E, 4, FALSE)</f>
        <v>CREMERIE</v>
      </c>
      <c r="H535" s="14">
        <f>IF(Tableau5[[#This Row],[Stock Moyen (UVC)]]&gt;0,1,0)</f>
        <v>1</v>
      </c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75" customHeight="1">
      <c r="A536" s="17">
        <v>202210</v>
      </c>
      <c r="B536" s="13">
        <v>5540246175372</v>
      </c>
      <c r="C536" s="8">
        <v>1949</v>
      </c>
      <c r="D536" s="8">
        <v>7620.4800000000005</v>
      </c>
      <c r="E536" s="25">
        <f t="shared" si="8"/>
        <v>3.9099435608004107</v>
      </c>
      <c r="F536" s="8">
        <v>522</v>
      </c>
      <c r="G536" s="17" t="str">
        <f>VLOOKUP(B536, 'Catégorie des articles'!A:E, 4, FALSE)</f>
        <v>BOULANGERIE</v>
      </c>
      <c r="H536" s="14">
        <f>IF(Tableau5[[#This Row],[Stock Moyen (UVC)]]&gt;0,1,0)</f>
        <v>1</v>
      </c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75" customHeight="1">
      <c r="A537" s="17">
        <v>202210</v>
      </c>
      <c r="B537" s="15">
        <v>5540246176294</v>
      </c>
      <c r="C537" s="11">
        <v>2265</v>
      </c>
      <c r="D537" s="11">
        <v>2146.0896000000002</v>
      </c>
      <c r="E537" s="25">
        <f t="shared" si="8"/>
        <v>0.94750092715231804</v>
      </c>
      <c r="F537" s="11">
        <v>12027</v>
      </c>
      <c r="G537" s="17" t="str">
        <f>VLOOKUP(B537, 'Catégorie des articles'!A:E, 4, FALSE)</f>
        <v>CREMERIE</v>
      </c>
      <c r="H537" s="14">
        <f>IF(Tableau5[[#This Row],[Stock Moyen (UVC)]]&gt;0,1,0)</f>
        <v>1</v>
      </c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75" customHeight="1">
      <c r="A538" s="17">
        <v>202210</v>
      </c>
      <c r="B538" s="13">
        <v>5540246176295</v>
      </c>
      <c r="C538" s="8">
        <v>10060</v>
      </c>
      <c r="D538" s="8">
        <v>9534.3263999999999</v>
      </c>
      <c r="E538" s="25">
        <f t="shared" si="8"/>
        <v>0.94774616302186876</v>
      </c>
      <c r="F538" s="8">
        <v>90907</v>
      </c>
      <c r="G538" s="17" t="str">
        <f>VLOOKUP(B538, 'Catégorie des articles'!A:E, 4, FALSE)</f>
        <v>CREMERIE</v>
      </c>
      <c r="H538" s="14">
        <f>IF(Tableau5[[#This Row],[Stock Moyen (UVC)]]&gt;0,1,0)</f>
        <v>1</v>
      </c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75" customHeight="1">
      <c r="A539" s="17">
        <v>202210</v>
      </c>
      <c r="B539" s="13">
        <v>5540246176699</v>
      </c>
      <c r="C539" s="8">
        <v>4594</v>
      </c>
      <c r="D539" s="8">
        <v>2164.0608000000002</v>
      </c>
      <c r="E539" s="25">
        <f t="shared" si="8"/>
        <v>0.47106242925555075</v>
      </c>
      <c r="F539" s="8">
        <v>65355</v>
      </c>
      <c r="G539" s="17" t="str">
        <f>VLOOKUP(B539, 'Catégorie des articles'!A:E, 4, FALSE)</f>
        <v>CREMERIE</v>
      </c>
      <c r="H539" s="14">
        <f>IF(Tableau5[[#This Row],[Stock Moyen (UVC)]]&gt;0,1,0)</f>
        <v>1</v>
      </c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75" customHeight="1">
      <c r="A540" s="17">
        <v>202210</v>
      </c>
      <c r="B540" s="13">
        <v>5540246177133</v>
      </c>
      <c r="C540" s="8">
        <v>13422</v>
      </c>
      <c r="D540" s="8">
        <v>48732.840000000004</v>
      </c>
      <c r="E540" s="25">
        <f t="shared" si="8"/>
        <v>3.6308180599016544</v>
      </c>
      <c r="F540" s="8">
        <v>39510</v>
      </c>
      <c r="G540" s="17" t="str">
        <f>VLOOKUP(B540, 'Catégorie des articles'!A:E, 4, FALSE)</f>
        <v>MIX LEGUMES</v>
      </c>
      <c r="H540" s="14">
        <f>IF(Tableau5[[#This Row],[Stock Moyen (UVC)]]&gt;0,1,0)</f>
        <v>1</v>
      </c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75" customHeight="1">
      <c r="A541" s="17">
        <v>202210</v>
      </c>
      <c r="B541" s="15">
        <v>5540246177376</v>
      </c>
      <c r="C541" s="11">
        <v>1775</v>
      </c>
      <c r="D541" s="11">
        <v>71096.184000000008</v>
      </c>
      <c r="E541" s="25">
        <f t="shared" si="8"/>
        <v>40.05418816901409</v>
      </c>
      <c r="F541" s="11">
        <v>1328</v>
      </c>
      <c r="G541" s="17" t="str">
        <f>VLOOKUP(B541, 'Catégorie des articles'!A:E, 4, FALSE)</f>
        <v>BOULANGERIE</v>
      </c>
      <c r="H541" s="14">
        <f>IF(Tableau5[[#This Row],[Stock Moyen (UVC)]]&gt;0,1,0)</f>
        <v>1</v>
      </c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75" customHeight="1">
      <c r="A542" s="17">
        <v>202210</v>
      </c>
      <c r="B542" s="13">
        <v>5540246180522</v>
      </c>
      <c r="C542" s="8">
        <v>1184</v>
      </c>
      <c r="D542" s="8">
        <v>20710.080000000002</v>
      </c>
      <c r="E542" s="25">
        <f t="shared" si="8"/>
        <v>17.491621621621622</v>
      </c>
      <c r="F542" s="8">
        <v>1963</v>
      </c>
      <c r="G542" s="17" t="str">
        <f>VLOOKUP(B542, 'Catégorie des articles'!A:E, 4, FALSE)</f>
        <v>BOULANGERIE</v>
      </c>
      <c r="H542" s="14">
        <f>IF(Tableau5[[#This Row],[Stock Moyen (UVC)]]&gt;0,1,0)</f>
        <v>1</v>
      </c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75" customHeight="1">
      <c r="A543" s="17">
        <v>202210</v>
      </c>
      <c r="B543" s="15">
        <v>5540246181016</v>
      </c>
      <c r="C543" s="11">
        <v>9577</v>
      </c>
      <c r="D543" s="11">
        <v>78233.212800000008</v>
      </c>
      <c r="E543" s="25">
        <f t="shared" si="8"/>
        <v>8.1688642372350433</v>
      </c>
      <c r="F543" s="11">
        <v>22189</v>
      </c>
      <c r="G543" s="17" t="str">
        <f>VLOOKUP(B543, 'Catégorie des articles'!A:E, 4, FALSE)</f>
        <v>VOLAILLE</v>
      </c>
      <c r="H543" s="14">
        <f>IF(Tableau5[[#This Row],[Stock Moyen (UVC)]]&gt;0,1,0)</f>
        <v>1</v>
      </c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75" customHeight="1">
      <c r="A544" s="17">
        <v>202210</v>
      </c>
      <c r="B544" s="13">
        <v>5540246181061</v>
      </c>
      <c r="C544" s="8">
        <v>22342</v>
      </c>
      <c r="D544" s="8">
        <v>26458.617600000001</v>
      </c>
      <c r="E544" s="25">
        <f t="shared" si="8"/>
        <v>1.18425465938591</v>
      </c>
      <c r="F544" s="8">
        <v>85817</v>
      </c>
      <c r="G544" s="17" t="str">
        <f>VLOOKUP(B544, 'Catégorie des articles'!A:E, 4, FALSE)</f>
        <v>VOLAILLE</v>
      </c>
      <c r="H544" s="14">
        <f>IF(Tableau5[[#This Row],[Stock Moyen (UVC)]]&gt;0,1,0)</f>
        <v>1</v>
      </c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75" customHeight="1">
      <c r="A545" s="17">
        <v>202210</v>
      </c>
      <c r="B545" s="15">
        <v>5540246182684</v>
      </c>
      <c r="C545" s="11">
        <v>33</v>
      </c>
      <c r="D545" s="11">
        <v>1629.9360000000001</v>
      </c>
      <c r="E545" s="25">
        <f t="shared" si="8"/>
        <v>49.392000000000003</v>
      </c>
      <c r="F545" s="11">
        <v>553</v>
      </c>
      <c r="G545" s="17" t="str">
        <f>VLOOKUP(B545, 'Catégorie des articles'!A:E, 4, FALSE)</f>
        <v>BOULANGERIE</v>
      </c>
      <c r="H545" s="14">
        <f>IF(Tableau5[[#This Row],[Stock Moyen (UVC)]]&gt;0,1,0)</f>
        <v>1</v>
      </c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75" customHeight="1">
      <c r="A546" s="17">
        <v>202210</v>
      </c>
      <c r="B546" s="15">
        <v>5540246183130</v>
      </c>
      <c r="C546" s="11">
        <v>6202</v>
      </c>
      <c r="D546" s="11">
        <v>26258.688000000002</v>
      </c>
      <c r="E546" s="25">
        <f t="shared" si="8"/>
        <v>4.2339064817800711</v>
      </c>
      <c r="F546" s="11">
        <v>8227</v>
      </c>
      <c r="G546" s="17" t="str">
        <f>VLOOKUP(B546, 'Catégorie des articles'!A:E, 4, FALSE)</f>
        <v>MIX LEGUMES</v>
      </c>
      <c r="H546" s="14">
        <f>IF(Tableau5[[#This Row],[Stock Moyen (UVC)]]&gt;0,1,0)</f>
        <v>1</v>
      </c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75" customHeight="1">
      <c r="A547" s="17">
        <v>202210</v>
      </c>
      <c r="B547" s="15">
        <v>5540246183455</v>
      </c>
      <c r="C547" s="11">
        <v>557</v>
      </c>
      <c r="D547" s="11">
        <v>4375.2960000000003</v>
      </c>
      <c r="E547" s="25">
        <f t="shared" si="8"/>
        <v>7.8551095152603239</v>
      </c>
      <c r="F547" s="11">
        <v>557</v>
      </c>
      <c r="G547" s="17" t="str">
        <f>VLOOKUP(B547, 'Catégorie des articles'!A:E, 4, FALSE)</f>
        <v>MIX LEGUMES</v>
      </c>
      <c r="H547" s="14">
        <f>IF(Tableau5[[#This Row],[Stock Moyen (UVC)]]&gt;0,1,0)</f>
        <v>1</v>
      </c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75" customHeight="1">
      <c r="A548" s="17">
        <v>202210</v>
      </c>
      <c r="B548" s="15">
        <v>5540246183537</v>
      </c>
      <c r="C548" s="11">
        <v>3490</v>
      </c>
      <c r="D548" s="11">
        <v>4905.4463999999998</v>
      </c>
      <c r="E548" s="25">
        <f t="shared" si="8"/>
        <v>1.4055720343839542</v>
      </c>
      <c r="F548" s="11">
        <v>3527</v>
      </c>
      <c r="G548" s="17" t="str">
        <f>VLOOKUP(B548, 'Catégorie des articles'!A:E, 4, FALSE)</f>
        <v>MIX LEGUMES</v>
      </c>
      <c r="H548" s="14">
        <f>IF(Tableau5[[#This Row],[Stock Moyen (UVC)]]&gt;0,1,0)</f>
        <v>1</v>
      </c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75" customHeight="1">
      <c r="A549" s="17">
        <v>202210</v>
      </c>
      <c r="B549" s="13">
        <v>5540246183538</v>
      </c>
      <c r="C549" s="8">
        <v>5550</v>
      </c>
      <c r="D549" s="8">
        <v>8029.0655999999999</v>
      </c>
      <c r="E549" s="25">
        <f t="shared" si="8"/>
        <v>1.4466784864864866</v>
      </c>
      <c r="F549" s="8">
        <v>4065</v>
      </c>
      <c r="G549" s="17" t="str">
        <f>VLOOKUP(B549, 'Catégorie des articles'!A:E, 4, FALSE)</f>
        <v>MIX LEGUMES</v>
      </c>
      <c r="H549" s="14">
        <f>IF(Tableau5[[#This Row],[Stock Moyen (UVC)]]&gt;0,1,0)</f>
        <v>1</v>
      </c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75" customHeight="1">
      <c r="A550" s="17">
        <v>202210</v>
      </c>
      <c r="B550" s="15">
        <v>5540246183541</v>
      </c>
      <c r="C550" s="11">
        <v>1276</v>
      </c>
      <c r="D550" s="11">
        <v>11499.84</v>
      </c>
      <c r="E550" s="25">
        <f t="shared" si="8"/>
        <v>9.0124137931034483</v>
      </c>
      <c r="F550" s="11">
        <v>1439</v>
      </c>
      <c r="G550" s="17" t="str">
        <f>VLOOKUP(B550, 'Catégorie des articles'!A:E, 4, FALSE)</f>
        <v>MIX LEGUMES</v>
      </c>
      <c r="H550" s="14">
        <f>IF(Tableau5[[#This Row],[Stock Moyen (UVC)]]&gt;0,1,0)</f>
        <v>1</v>
      </c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75" customHeight="1">
      <c r="A551" s="17">
        <v>202210</v>
      </c>
      <c r="B551" s="13">
        <v>5540246183542</v>
      </c>
      <c r="C551" s="8">
        <v>2483</v>
      </c>
      <c r="D551" s="8">
        <v>6979.8240000000005</v>
      </c>
      <c r="E551" s="25">
        <f t="shared" si="8"/>
        <v>2.8110447039871125</v>
      </c>
      <c r="F551" s="8">
        <v>511</v>
      </c>
      <c r="G551" s="17" t="str">
        <f>VLOOKUP(B551, 'Catégorie des articles'!A:E, 4, FALSE)</f>
        <v>MIX LEGUMES</v>
      </c>
      <c r="H551" s="14">
        <f>IF(Tableau5[[#This Row],[Stock Moyen (UVC)]]&gt;0,1,0)</f>
        <v>1</v>
      </c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75" customHeight="1">
      <c r="A552" s="17">
        <v>202210</v>
      </c>
      <c r="B552" s="13">
        <v>5540246183547</v>
      </c>
      <c r="C552" s="8">
        <v>7842</v>
      </c>
      <c r="D552" s="8">
        <v>80600.831999999995</v>
      </c>
      <c r="E552" s="25">
        <f t="shared" si="8"/>
        <v>10.278096403978576</v>
      </c>
      <c r="F552" s="8">
        <v>20242</v>
      </c>
      <c r="G552" s="17" t="str">
        <f>VLOOKUP(B552, 'Catégorie des articles'!A:E, 4, FALSE)</f>
        <v>VOLAILLE</v>
      </c>
      <c r="H552" s="14">
        <f>IF(Tableau5[[#This Row],[Stock Moyen (UVC)]]&gt;0,1,0)</f>
        <v>1</v>
      </c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75" customHeight="1">
      <c r="A553" s="17">
        <v>202210</v>
      </c>
      <c r="B553" s="13">
        <v>5540246183552</v>
      </c>
      <c r="C553" s="8">
        <v>1819</v>
      </c>
      <c r="D553" s="8">
        <v>3353.0111999999999</v>
      </c>
      <c r="E553" s="25">
        <f t="shared" si="8"/>
        <v>1.8433266630016492</v>
      </c>
      <c r="F553" s="8">
        <v>279</v>
      </c>
      <c r="G553" s="17" t="str">
        <f>VLOOKUP(B553, 'Catégorie des articles'!A:E, 4, FALSE)</f>
        <v>MIX LEGUMES</v>
      </c>
      <c r="H553" s="14">
        <f>IF(Tableau5[[#This Row],[Stock Moyen (UVC)]]&gt;0,1,0)</f>
        <v>1</v>
      </c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75" customHeight="1">
      <c r="A554" s="17">
        <v>202210</v>
      </c>
      <c r="B554" s="15">
        <v>5540246183554</v>
      </c>
      <c r="C554" s="11">
        <v>1490</v>
      </c>
      <c r="D554" s="11">
        <v>11193.595200000002</v>
      </c>
      <c r="E554" s="25">
        <f t="shared" si="8"/>
        <v>7.5124800000000009</v>
      </c>
      <c r="F554" s="11">
        <v>0</v>
      </c>
      <c r="G554" s="17" t="str">
        <f>VLOOKUP(B554, 'Catégorie des articles'!A:E, 4, FALSE)</f>
        <v>MIX LEGUMES</v>
      </c>
      <c r="H554" s="14">
        <f>IF(Tableau5[[#This Row],[Stock Moyen (UVC)]]&gt;0,1,0)</f>
        <v>1</v>
      </c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75" customHeight="1">
      <c r="A555" s="17">
        <v>202210</v>
      </c>
      <c r="B555" s="13">
        <v>5540246183555</v>
      </c>
      <c r="C555" s="8">
        <v>1133</v>
      </c>
      <c r="D555" s="8">
        <v>1513.6416000000002</v>
      </c>
      <c r="E555" s="25">
        <f t="shared" si="8"/>
        <v>1.3359590467784643</v>
      </c>
      <c r="F555" s="8">
        <v>1207</v>
      </c>
      <c r="G555" s="17" t="str">
        <f>VLOOKUP(B555, 'Catégorie des articles'!A:E, 4, FALSE)</f>
        <v>MIX LEGUMES</v>
      </c>
      <c r="H555" s="14">
        <f>IF(Tableau5[[#This Row],[Stock Moyen (UVC)]]&gt;0,1,0)</f>
        <v>1</v>
      </c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75" customHeight="1">
      <c r="A556" s="17">
        <v>202210</v>
      </c>
      <c r="B556" s="15">
        <v>5540246183558</v>
      </c>
      <c r="C556" s="11">
        <v>3146</v>
      </c>
      <c r="D556" s="11">
        <v>17339.443200000002</v>
      </c>
      <c r="E556" s="25">
        <f t="shared" si="8"/>
        <v>5.5115839796567077</v>
      </c>
      <c r="F556" s="11">
        <v>6752</v>
      </c>
      <c r="G556" s="17" t="str">
        <f>VLOOKUP(B556, 'Catégorie des articles'!A:E, 4, FALSE)</f>
        <v>MIX LEGUMES</v>
      </c>
      <c r="H556" s="14">
        <f>IF(Tableau5[[#This Row],[Stock Moyen (UVC)]]&gt;0,1,0)</f>
        <v>1</v>
      </c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>
      <c r="A557" s="17">
        <v>202210</v>
      </c>
      <c r="B557" s="13">
        <v>5540246183560</v>
      </c>
      <c r="C557" s="8">
        <v>314</v>
      </c>
      <c r="D557" s="8">
        <v>7639.92</v>
      </c>
      <c r="E557" s="25">
        <f t="shared" si="8"/>
        <v>24.330955414012738</v>
      </c>
      <c r="F557" s="8">
        <v>469</v>
      </c>
      <c r="G557" s="17" t="str">
        <f>VLOOKUP(B557, 'Catégorie des articles'!A:E, 4, FALSE)</f>
        <v>MIX LEGUMES</v>
      </c>
      <c r="H557" s="14">
        <f>IF(Tableau5[[#This Row],[Stock Moyen (UVC)]]&gt;0,1,0)</f>
        <v>1</v>
      </c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>
      <c r="A558" s="17">
        <v>202210</v>
      </c>
      <c r="B558" s="15">
        <v>5540246183562</v>
      </c>
      <c r="C558" s="11">
        <v>511</v>
      </c>
      <c r="D558" s="11">
        <v>1644.1920000000002</v>
      </c>
      <c r="E558" s="25">
        <f t="shared" si="8"/>
        <v>3.2175968688845407</v>
      </c>
      <c r="F558" s="11">
        <v>511</v>
      </c>
      <c r="G558" s="17" t="str">
        <f>VLOOKUP(B558, 'Catégorie des articles'!A:E, 4, FALSE)</f>
        <v>MIX LEGUMES</v>
      </c>
      <c r="H558" s="14">
        <f>IF(Tableau5[[#This Row],[Stock Moyen (UVC)]]&gt;0,1,0)</f>
        <v>1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>
      <c r="A559" s="17">
        <v>202210</v>
      </c>
      <c r="B559" s="15">
        <v>5540246183587</v>
      </c>
      <c r="C559" s="11">
        <v>578</v>
      </c>
      <c r="D559" s="11">
        <v>12165.9408</v>
      </c>
      <c r="E559" s="25">
        <f t="shared" si="8"/>
        <v>21.048340484429065</v>
      </c>
      <c r="F559" s="11">
        <v>655</v>
      </c>
      <c r="G559" s="17" t="str">
        <f>VLOOKUP(B559, 'Catégorie des articles'!A:E, 4, FALSE)</f>
        <v>MIX LEGUMES</v>
      </c>
      <c r="H559" s="14">
        <f>IF(Tableau5[[#This Row],[Stock Moyen (UVC)]]&gt;0,1,0)</f>
        <v>1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>
      <c r="A560" s="17">
        <v>202210</v>
      </c>
      <c r="B560" s="13">
        <v>5540246183589</v>
      </c>
      <c r="C560" s="8">
        <v>952</v>
      </c>
      <c r="D560" s="8">
        <v>12540.096000000001</v>
      </c>
      <c r="E560" s="25">
        <f t="shared" si="8"/>
        <v>13.172369747899161</v>
      </c>
      <c r="F560" s="8">
        <v>1369</v>
      </c>
      <c r="G560" s="17" t="str">
        <f>VLOOKUP(B560, 'Catégorie des articles'!A:E, 4, FALSE)</f>
        <v>MIX LEGUMES</v>
      </c>
      <c r="H560" s="14">
        <f>IF(Tableau5[[#This Row],[Stock Moyen (UVC)]]&gt;0,1,0)</f>
        <v>1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>
      <c r="A561" s="17">
        <v>202210</v>
      </c>
      <c r="B561" s="15">
        <v>5540246183844</v>
      </c>
      <c r="C561" s="11">
        <v>307</v>
      </c>
      <c r="D561" s="11">
        <v>8838.7200000000012</v>
      </c>
      <c r="E561" s="25">
        <f t="shared" si="8"/>
        <v>28.790618892508146</v>
      </c>
      <c r="F561" s="11">
        <v>437</v>
      </c>
      <c r="G561" s="17" t="str">
        <f>VLOOKUP(B561, 'Catégorie des articles'!A:E, 4, FALSE)</f>
        <v>BOULANGERIE</v>
      </c>
      <c r="H561" s="14">
        <f>IF(Tableau5[[#This Row],[Stock Moyen (UVC)]]&gt;0,1,0)</f>
        <v>1</v>
      </c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>
      <c r="A562" s="17">
        <v>202210</v>
      </c>
      <c r="B562" s="15">
        <v>5540246184036</v>
      </c>
      <c r="C562" s="11">
        <v>193</v>
      </c>
      <c r="D562" s="11">
        <v>3298.7520000000004</v>
      </c>
      <c r="E562" s="25">
        <f t="shared" si="8"/>
        <v>17.091979274611401</v>
      </c>
      <c r="F562" s="11">
        <v>202</v>
      </c>
      <c r="G562" s="17" t="str">
        <f>VLOOKUP(B562, 'Catégorie des articles'!A:E, 4, FALSE)</f>
        <v>BOULANGERIE</v>
      </c>
      <c r="H562" s="14">
        <f>IF(Tableau5[[#This Row],[Stock Moyen (UVC)]]&gt;0,1,0)</f>
        <v>1</v>
      </c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>
      <c r="A563" s="17">
        <v>202210</v>
      </c>
      <c r="B563" s="15">
        <v>5540246185278</v>
      </c>
      <c r="C563" s="11">
        <v>0</v>
      </c>
      <c r="D563" s="11">
        <v>0</v>
      </c>
      <c r="E563" s="25" t="str">
        <f t="shared" si="8"/>
        <v/>
      </c>
      <c r="F563" s="11">
        <v>48498</v>
      </c>
      <c r="G563" s="17" t="str">
        <f>VLOOKUP(B563, 'Catégorie des articles'!A:E, 4, FALSE)</f>
        <v>VOLAILLE</v>
      </c>
      <c r="H563" s="14">
        <f>IF(Tableau5[[#This Row],[Stock Moyen (UVC)]]&gt;0,1,0)</f>
        <v>0</v>
      </c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>
      <c r="A564" s="17">
        <v>202210</v>
      </c>
      <c r="B564" s="13">
        <v>5540246185429</v>
      </c>
      <c r="C564" s="8">
        <v>168</v>
      </c>
      <c r="D564" s="8">
        <v>883.35360000000003</v>
      </c>
      <c r="E564" s="25">
        <f t="shared" si="8"/>
        <v>5.258057142857143</v>
      </c>
      <c r="F564" s="8">
        <v>265</v>
      </c>
      <c r="G564" s="17" t="str">
        <f>VLOOKUP(B564, 'Catégorie des articles'!A:E, 4, FALSE)</f>
        <v>CREMERIE</v>
      </c>
      <c r="H564" s="14">
        <f>IF(Tableau5[[#This Row],[Stock Moyen (UVC)]]&gt;0,1,0)</f>
        <v>1</v>
      </c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>
      <c r="A565" s="17">
        <v>202210</v>
      </c>
      <c r="B565" s="13">
        <v>5540246185562</v>
      </c>
      <c r="C565" s="8">
        <v>140</v>
      </c>
      <c r="D565" s="8">
        <v>404.35199999999998</v>
      </c>
      <c r="E565" s="25">
        <f t="shared" si="8"/>
        <v>2.8882285714285714</v>
      </c>
      <c r="F565" s="8">
        <v>362</v>
      </c>
      <c r="G565" s="17" t="str">
        <f>VLOOKUP(B565, 'Catégorie des articles'!A:E, 4, FALSE)</f>
        <v>CREMERIE</v>
      </c>
      <c r="H565" s="14">
        <f>IF(Tableau5[[#This Row],[Stock Moyen (UVC)]]&gt;0,1,0)</f>
        <v>1</v>
      </c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>
      <c r="A566" s="17">
        <v>202210</v>
      </c>
      <c r="B566" s="13">
        <v>5540246186010</v>
      </c>
      <c r="C566" s="8">
        <v>98</v>
      </c>
      <c r="D566" s="8">
        <v>14353.7184</v>
      </c>
      <c r="E566" s="25">
        <f t="shared" si="8"/>
        <v>146.46651428571428</v>
      </c>
      <c r="F566" s="8">
        <v>12</v>
      </c>
      <c r="G566" s="17" t="str">
        <f>VLOOKUP(B566, 'Catégorie des articles'!A:E, 4, FALSE)</f>
        <v>EMBALLAGES</v>
      </c>
      <c r="H566" s="14">
        <f>IF(Tableau5[[#This Row],[Stock Moyen (UVC)]]&gt;0,1,0)</f>
        <v>1</v>
      </c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>
      <c r="A567" s="17">
        <v>202210</v>
      </c>
      <c r="B567" s="15">
        <v>5540246186011</v>
      </c>
      <c r="C567" s="11">
        <v>100</v>
      </c>
      <c r="D567" s="11">
        <v>5680.5408000000007</v>
      </c>
      <c r="E567" s="25">
        <f t="shared" si="8"/>
        <v>56.805408000000007</v>
      </c>
      <c r="F567" s="11">
        <v>21</v>
      </c>
      <c r="G567" s="17" t="str">
        <f>VLOOKUP(B567, 'Catégorie des articles'!A:E, 4, FALSE)</f>
        <v>EMBALLAGES</v>
      </c>
      <c r="H567" s="14">
        <f>IF(Tableau5[[#This Row],[Stock Moyen (UVC)]]&gt;0,1,0)</f>
        <v>1</v>
      </c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>
      <c r="A568" s="17">
        <v>202210</v>
      </c>
      <c r="B568" s="13">
        <v>5540246186017</v>
      </c>
      <c r="C568" s="8">
        <v>58</v>
      </c>
      <c r="D568" s="8">
        <v>6140.88</v>
      </c>
      <c r="E568" s="25">
        <f t="shared" si="8"/>
        <v>105.87724137931035</v>
      </c>
      <c r="F568" s="8">
        <v>7</v>
      </c>
      <c r="G568" s="17" t="str">
        <f>VLOOKUP(B568, 'Catégorie des articles'!A:E, 4, FALSE)</f>
        <v>EMBALLAGES</v>
      </c>
      <c r="H568" s="14">
        <f>IF(Tableau5[[#This Row],[Stock Moyen (UVC)]]&gt;0,1,0)</f>
        <v>1</v>
      </c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>
      <c r="A569" s="17">
        <v>202210</v>
      </c>
      <c r="B569" s="15">
        <v>5540246186325</v>
      </c>
      <c r="C569" s="11">
        <v>293</v>
      </c>
      <c r="D569" s="11">
        <v>718.50239999999997</v>
      </c>
      <c r="E569" s="25">
        <f t="shared" si="8"/>
        <v>2.4522266211604093</v>
      </c>
      <c r="F569" s="11">
        <v>669</v>
      </c>
      <c r="G569" s="17" t="str">
        <f>VLOOKUP(B569, 'Catégorie des articles'!A:E, 4, FALSE)</f>
        <v>CREMERIE</v>
      </c>
      <c r="H569" s="14">
        <f>IF(Tableau5[[#This Row],[Stock Moyen (UVC)]]&gt;0,1,0)</f>
        <v>1</v>
      </c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>
      <c r="A570" s="17">
        <v>202210</v>
      </c>
      <c r="B570" s="13">
        <v>5540246186351</v>
      </c>
      <c r="C570" s="8">
        <v>1246</v>
      </c>
      <c r="D570" s="8">
        <v>73840.507200000007</v>
      </c>
      <c r="E570" s="25">
        <f t="shared" si="8"/>
        <v>59.262044301765656</v>
      </c>
      <c r="F570" s="8">
        <v>140</v>
      </c>
      <c r="G570" s="17" t="str">
        <f>VLOOKUP(B570, 'Catégorie des articles'!A:E, 4, FALSE)</f>
        <v>MIX LEGUMES</v>
      </c>
      <c r="H570" s="14">
        <f>IF(Tableau5[[#This Row],[Stock Moyen (UVC)]]&gt;0,1,0)</f>
        <v>1</v>
      </c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>
      <c r="A571" s="17">
        <v>202210</v>
      </c>
      <c r="B571" s="15">
        <v>5540246186352</v>
      </c>
      <c r="C571" s="11">
        <v>4896</v>
      </c>
      <c r="D571" s="11">
        <v>51500.880000000005</v>
      </c>
      <c r="E571" s="25">
        <f t="shared" si="8"/>
        <v>10.518970588235295</v>
      </c>
      <c r="F571" s="11">
        <v>1798</v>
      </c>
      <c r="G571" s="17" t="str">
        <f>VLOOKUP(B571, 'Catégorie des articles'!A:E, 4, FALSE)</f>
        <v>MIX LEGUMES</v>
      </c>
      <c r="H571" s="14">
        <f>IF(Tableau5[[#This Row],[Stock Moyen (UVC)]]&gt;0,1,0)</f>
        <v>1</v>
      </c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>
      <c r="A572" s="17">
        <v>202210</v>
      </c>
      <c r="B572" s="15">
        <v>5540246187882</v>
      </c>
      <c r="C572" s="11">
        <v>42</v>
      </c>
      <c r="D572" s="11">
        <v>1602.0288</v>
      </c>
      <c r="E572" s="25">
        <f t="shared" si="8"/>
        <v>38.143542857142862</v>
      </c>
      <c r="F572" s="11">
        <v>3</v>
      </c>
      <c r="G572" s="17" t="str">
        <f>VLOOKUP(B572, 'Catégorie des articles'!A:E, 4, FALSE)</f>
        <v>EMBALLAGES</v>
      </c>
      <c r="H572" s="14">
        <f>IF(Tableau5[[#This Row],[Stock Moyen (UVC)]]&gt;0,1,0)</f>
        <v>1</v>
      </c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>
      <c r="A573" s="17">
        <v>202210</v>
      </c>
      <c r="B573" s="13">
        <v>5540246187987</v>
      </c>
      <c r="C573" s="8">
        <v>5067</v>
      </c>
      <c r="D573" s="8">
        <v>2519.1215999999999</v>
      </c>
      <c r="E573" s="25">
        <f t="shared" si="8"/>
        <v>0.49716234458259323</v>
      </c>
      <c r="F573" s="8">
        <v>56683</v>
      </c>
      <c r="G573" s="17" t="str">
        <f>VLOOKUP(B573, 'Catégorie des articles'!A:E, 4, FALSE)</f>
        <v>CREMERIE</v>
      </c>
      <c r="H573" s="14">
        <f>IF(Tableau5[[#This Row],[Stock Moyen (UVC)]]&gt;0,1,0)</f>
        <v>1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>
      <c r="A574" s="17">
        <v>202210</v>
      </c>
      <c r="B574" s="15">
        <v>5540246187995</v>
      </c>
      <c r="C574" s="11">
        <v>2123</v>
      </c>
      <c r="D574" s="11">
        <v>186216.40800000002</v>
      </c>
      <c r="E574" s="25">
        <f t="shared" si="8"/>
        <v>87.713804992934541</v>
      </c>
      <c r="F574" s="11">
        <v>1406</v>
      </c>
      <c r="G574" s="17" t="str">
        <f>VLOOKUP(B574, 'Catégorie des articles'!A:E, 4, FALSE)</f>
        <v>EMBALLAGES</v>
      </c>
      <c r="H574" s="14">
        <f>IF(Tableau5[[#This Row],[Stock Moyen (UVC)]]&gt;0,1,0)</f>
        <v>1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>
      <c r="A575" s="17">
        <v>202210</v>
      </c>
      <c r="B575" s="13">
        <v>5540246187996</v>
      </c>
      <c r="C575" s="8">
        <v>295</v>
      </c>
      <c r="D575" s="8">
        <v>13622.7312</v>
      </c>
      <c r="E575" s="25">
        <f t="shared" si="8"/>
        <v>46.178749830508472</v>
      </c>
      <c r="F575" s="8">
        <v>24</v>
      </c>
      <c r="G575" s="17" t="str">
        <f>VLOOKUP(B575, 'Catégorie des articles'!A:E, 4, FALSE)</f>
        <v>EMBALLAGES</v>
      </c>
      <c r="H575" s="14">
        <f>IF(Tableau5[[#This Row],[Stock Moyen (UVC)]]&gt;0,1,0)</f>
        <v>1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>
      <c r="A576" s="17">
        <v>202210</v>
      </c>
      <c r="B576" s="15">
        <v>5540246187997</v>
      </c>
      <c r="C576" s="11">
        <v>31</v>
      </c>
      <c r="D576" s="11">
        <v>1506.7728000000002</v>
      </c>
      <c r="E576" s="25">
        <f t="shared" si="8"/>
        <v>48.605574193548392</v>
      </c>
      <c r="F576" s="11">
        <v>121</v>
      </c>
      <c r="G576" s="17" t="str">
        <f>VLOOKUP(B576, 'Catégorie des articles'!A:E, 4, FALSE)</f>
        <v>EMBALLAGES</v>
      </c>
      <c r="H576" s="14">
        <f>IF(Tableau5[[#This Row],[Stock Moyen (UVC)]]&gt;0,1,0)</f>
        <v>1</v>
      </c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75" customHeight="1">
      <c r="A577" s="17">
        <v>202210</v>
      </c>
      <c r="B577" s="13">
        <v>5540246187998</v>
      </c>
      <c r="C577" s="8">
        <v>966</v>
      </c>
      <c r="D577" s="8">
        <v>49618.483200000002</v>
      </c>
      <c r="E577" s="25">
        <f t="shared" si="8"/>
        <v>51.364889440993792</v>
      </c>
      <c r="F577" s="8">
        <v>467</v>
      </c>
      <c r="G577" s="17" t="str">
        <f>VLOOKUP(B577, 'Catégorie des articles'!A:E, 4, FALSE)</f>
        <v>EMBALLAGES</v>
      </c>
      <c r="H577" s="14">
        <f>IF(Tableau5[[#This Row],[Stock Moyen (UVC)]]&gt;0,1,0)</f>
        <v>1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75" customHeight="1">
      <c r="A578" s="17">
        <v>202210</v>
      </c>
      <c r="B578" s="13">
        <v>5540246188047</v>
      </c>
      <c r="C578" s="8">
        <v>235</v>
      </c>
      <c r="D578" s="8">
        <v>28544.054400000001</v>
      </c>
      <c r="E578" s="25">
        <f t="shared" si="8"/>
        <v>121.46406127659574</v>
      </c>
      <c r="F578" s="8">
        <v>35</v>
      </c>
      <c r="G578" s="17" t="str">
        <f>VLOOKUP(B578, 'Catégorie des articles'!A:E, 4, FALSE)</f>
        <v>EMBALLAGES</v>
      </c>
      <c r="H578" s="14">
        <f>IF(Tableau5[[#This Row],[Stock Moyen (UVC)]]&gt;0,1,0)</f>
        <v>1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75" customHeight="1">
      <c r="A579" s="17">
        <v>202210</v>
      </c>
      <c r="B579" s="15">
        <v>5540246188175</v>
      </c>
      <c r="C579" s="11">
        <v>130</v>
      </c>
      <c r="D579" s="11">
        <v>3773.2175999999999</v>
      </c>
      <c r="E579" s="25">
        <f t="shared" ref="E579:E642" si="9">IF(C579=0,"",D579/C579)</f>
        <v>29.024750769230767</v>
      </c>
      <c r="F579" s="11">
        <v>632</v>
      </c>
      <c r="G579" s="17" t="str">
        <f>VLOOKUP(B579, 'Catégorie des articles'!A:E, 4, FALSE)</f>
        <v>CREMERIE</v>
      </c>
      <c r="H579" s="14">
        <f>IF(Tableau5[[#This Row],[Stock Moyen (UVC)]]&gt;0,1,0)</f>
        <v>1</v>
      </c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>
      <c r="A580" s="17">
        <v>202210</v>
      </c>
      <c r="B580" s="15">
        <v>5540246188200</v>
      </c>
      <c r="C580" s="11">
        <v>75</v>
      </c>
      <c r="D580" s="11">
        <v>139.36320000000001</v>
      </c>
      <c r="E580" s="25">
        <f t="shared" si="9"/>
        <v>1.858176</v>
      </c>
      <c r="F580" s="11">
        <v>18820</v>
      </c>
      <c r="G580" s="17" t="str">
        <f>VLOOKUP(B580, 'Catégorie des articles'!A:E, 4, FALSE)</f>
        <v>CREMERIE</v>
      </c>
      <c r="H580" s="14">
        <f>IF(Tableau5[[#This Row],[Stock Moyen (UVC)]]&gt;0,1,0)</f>
        <v>1</v>
      </c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>
      <c r="A581" s="17">
        <v>202210</v>
      </c>
      <c r="B581" s="15">
        <v>5540246188224</v>
      </c>
      <c r="C581" s="11">
        <v>8816</v>
      </c>
      <c r="D581" s="11">
        <v>10342.08</v>
      </c>
      <c r="E581" s="25">
        <f t="shared" si="9"/>
        <v>1.173103448275862</v>
      </c>
      <c r="F581" s="11">
        <v>57072</v>
      </c>
      <c r="G581" s="17" t="str">
        <f>VLOOKUP(B581, 'Catégorie des articles'!A:E, 4, FALSE)</f>
        <v>VOLAILLE</v>
      </c>
      <c r="H581" s="14">
        <f>IF(Tableau5[[#This Row],[Stock Moyen (UVC)]]&gt;0,1,0)</f>
        <v>1</v>
      </c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75" customHeight="1">
      <c r="A582" s="17">
        <v>202210</v>
      </c>
      <c r="B582" s="15">
        <v>5540246188512</v>
      </c>
      <c r="C582" s="11">
        <v>335</v>
      </c>
      <c r="D582" s="11">
        <v>45797.529600000009</v>
      </c>
      <c r="E582" s="25">
        <f t="shared" si="9"/>
        <v>136.70904358208958</v>
      </c>
      <c r="F582" s="11">
        <v>12</v>
      </c>
      <c r="G582" s="17" t="str">
        <f>VLOOKUP(B582, 'Catégorie des articles'!A:E, 4, FALSE)</f>
        <v>EMBALLAGES</v>
      </c>
      <c r="H582" s="14">
        <f>IF(Tableau5[[#This Row],[Stock Moyen (UVC)]]&gt;0,1,0)</f>
        <v>1</v>
      </c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>
      <c r="A583" s="17">
        <v>202210</v>
      </c>
      <c r="B583" s="15">
        <v>5540246188647</v>
      </c>
      <c r="C583" s="11">
        <v>383</v>
      </c>
      <c r="D583" s="11">
        <v>5666.76</v>
      </c>
      <c r="E583" s="25">
        <f t="shared" si="9"/>
        <v>14.795718015665797</v>
      </c>
      <c r="F583" s="11">
        <v>383</v>
      </c>
      <c r="G583" s="17" t="str">
        <f>VLOOKUP(B583, 'Catégorie des articles'!A:E, 4, FALSE)</f>
        <v>MIX LEGUMES</v>
      </c>
      <c r="H583" s="14">
        <f>IF(Tableau5[[#This Row],[Stock Moyen (UVC)]]&gt;0,1,0)</f>
        <v>1</v>
      </c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75" customHeight="1">
      <c r="A584" s="17">
        <v>202210</v>
      </c>
      <c r="B584" s="15">
        <v>5540246190092</v>
      </c>
      <c r="C584" s="11">
        <v>119</v>
      </c>
      <c r="D584" s="11">
        <v>16374.182400000002</v>
      </c>
      <c r="E584" s="25">
        <f t="shared" si="9"/>
        <v>137.59817142857145</v>
      </c>
      <c r="F584" s="11">
        <v>42</v>
      </c>
      <c r="G584" s="17" t="str">
        <f>VLOOKUP(B584, 'Catégorie des articles'!A:E, 4, FALSE)</f>
        <v>EMBALLAGES</v>
      </c>
      <c r="H584" s="14">
        <f>IF(Tableau5[[#This Row],[Stock Moyen (UVC)]]&gt;0,1,0)</f>
        <v>1</v>
      </c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2.75" customHeight="1">
      <c r="A585" s="17">
        <v>202210</v>
      </c>
      <c r="B585" s="13">
        <v>5540246190727</v>
      </c>
      <c r="C585" s="8">
        <v>1706</v>
      </c>
      <c r="D585" s="8">
        <v>19270.310400000002</v>
      </c>
      <c r="E585" s="25">
        <f t="shared" si="9"/>
        <v>11.295609847596719</v>
      </c>
      <c r="F585" s="8">
        <v>673</v>
      </c>
      <c r="G585" s="17" t="str">
        <f>VLOOKUP(B585, 'Catégorie des articles'!A:E, 4, FALSE)</f>
        <v>BOULANGERIE</v>
      </c>
      <c r="H585" s="14">
        <f>IF(Tableau5[[#This Row],[Stock Moyen (UVC)]]&gt;0,1,0)</f>
        <v>1</v>
      </c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75" customHeight="1">
      <c r="A586" s="17">
        <v>202210</v>
      </c>
      <c r="B586" s="15">
        <v>5540246190743</v>
      </c>
      <c r="C586" s="11">
        <v>335</v>
      </c>
      <c r="D586" s="11">
        <v>2836.6848</v>
      </c>
      <c r="E586" s="25">
        <f t="shared" si="9"/>
        <v>8.4677158208955223</v>
      </c>
      <c r="F586" s="11">
        <v>836</v>
      </c>
      <c r="G586" s="17" t="str">
        <f>VLOOKUP(B586, 'Catégorie des articles'!A:E, 4, FALSE)</f>
        <v>CREMERIE</v>
      </c>
      <c r="H586" s="14">
        <f>IF(Tableau5[[#This Row],[Stock Moyen (UVC)]]&gt;0,1,0)</f>
        <v>1</v>
      </c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>
      <c r="A587" s="17">
        <v>202210</v>
      </c>
      <c r="B587" s="15">
        <v>5540246190831</v>
      </c>
      <c r="C587" s="11">
        <v>743</v>
      </c>
      <c r="D587" s="11">
        <v>5586.2784000000001</v>
      </c>
      <c r="E587" s="25">
        <f t="shared" si="9"/>
        <v>7.5185442799461644</v>
      </c>
      <c r="F587" s="11">
        <v>163</v>
      </c>
      <c r="G587" s="17" t="str">
        <f>VLOOKUP(B587, 'Catégorie des articles'!A:E, 4, FALSE)</f>
        <v>MIX LEGUMES</v>
      </c>
      <c r="H587" s="14">
        <f>IF(Tableau5[[#This Row],[Stock Moyen (UVC)]]&gt;0,1,0)</f>
        <v>1</v>
      </c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>
      <c r="A588" s="17">
        <v>202210</v>
      </c>
      <c r="B588" s="13">
        <v>5540246190835</v>
      </c>
      <c r="C588" s="8">
        <v>112</v>
      </c>
      <c r="D588" s="8">
        <v>23539.5072</v>
      </c>
      <c r="E588" s="25">
        <f t="shared" si="9"/>
        <v>210.17417142857144</v>
      </c>
      <c r="F588" s="8">
        <v>33</v>
      </c>
      <c r="G588" s="17" t="str">
        <f>VLOOKUP(B588, 'Catégorie des articles'!A:E, 4, FALSE)</f>
        <v>BOULANGERIE</v>
      </c>
      <c r="H588" s="14">
        <f>IF(Tableau5[[#This Row],[Stock Moyen (UVC)]]&gt;0,1,0)</f>
        <v>1</v>
      </c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>
      <c r="A589" s="17">
        <v>202210</v>
      </c>
      <c r="B589" s="15">
        <v>5540246191394</v>
      </c>
      <c r="C589" s="11">
        <v>1972</v>
      </c>
      <c r="D589" s="11">
        <v>10531.296000000002</v>
      </c>
      <c r="E589" s="25">
        <f t="shared" si="9"/>
        <v>5.3404137931034494</v>
      </c>
      <c r="F589" s="11">
        <v>232</v>
      </c>
      <c r="G589" s="17" t="str">
        <f>VLOOKUP(B589, 'Catégorie des articles'!A:E, 4, FALSE)</f>
        <v>CREMERIE</v>
      </c>
      <c r="H589" s="14">
        <f>IF(Tableau5[[#This Row],[Stock Moyen (UVC)]]&gt;0,1,0)</f>
        <v>1</v>
      </c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75" customHeight="1">
      <c r="A590" s="17">
        <v>202210</v>
      </c>
      <c r="B590" s="15">
        <v>5540246191594</v>
      </c>
      <c r="C590" s="11">
        <v>808</v>
      </c>
      <c r="D590" s="11">
        <v>1449.2304000000001</v>
      </c>
      <c r="E590" s="25">
        <f t="shared" si="9"/>
        <v>1.7936019801980201</v>
      </c>
      <c r="F590" s="11">
        <v>3815</v>
      </c>
      <c r="G590" s="17" t="str">
        <f>VLOOKUP(B590, 'Catégorie des articles'!A:E, 4, FALSE)</f>
        <v>CREMERIE</v>
      </c>
      <c r="H590" s="14">
        <f>IF(Tableau5[[#This Row],[Stock Moyen (UVC)]]&gt;0,1,0)</f>
        <v>1</v>
      </c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75" customHeight="1">
      <c r="A591" s="17">
        <v>202210</v>
      </c>
      <c r="B591" s="13">
        <v>5540246191596</v>
      </c>
      <c r="C591" s="8">
        <v>209</v>
      </c>
      <c r="D591" s="8">
        <v>11944.3248</v>
      </c>
      <c r="E591" s="25">
        <f t="shared" si="9"/>
        <v>57.14987942583732</v>
      </c>
      <c r="F591" s="8">
        <v>177</v>
      </c>
      <c r="G591" s="17" t="str">
        <f>VLOOKUP(B591, 'Catégorie des articles'!A:E, 4, FALSE)</f>
        <v>BOULANGERIE</v>
      </c>
      <c r="H591" s="14">
        <f>IF(Tableau5[[#This Row],[Stock Moyen (UVC)]]&gt;0,1,0)</f>
        <v>1</v>
      </c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>
      <c r="A592" s="17">
        <v>202210</v>
      </c>
      <c r="B592" s="15">
        <v>5540246191598</v>
      </c>
      <c r="C592" s="11">
        <v>0</v>
      </c>
      <c r="D592" s="11">
        <v>0</v>
      </c>
      <c r="E592" s="25" t="str">
        <f t="shared" si="9"/>
        <v/>
      </c>
      <c r="F592" s="11">
        <v>6404</v>
      </c>
      <c r="G592" s="17" t="str">
        <f>VLOOKUP(B592, 'Catégorie des articles'!A:E, 4, FALSE)</f>
        <v>CREMERIE</v>
      </c>
      <c r="H592" s="14">
        <f>IF(Tableau5[[#This Row],[Stock Moyen (UVC)]]&gt;0,1,0)</f>
        <v>0</v>
      </c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2.75" customHeight="1">
      <c r="A593" s="17">
        <v>202210</v>
      </c>
      <c r="B593" s="13">
        <v>5540246191718</v>
      </c>
      <c r="C593" s="8">
        <v>1949</v>
      </c>
      <c r="D593" s="8">
        <v>5777.0496000000003</v>
      </c>
      <c r="E593" s="25">
        <f t="shared" si="9"/>
        <v>2.9641095946639302</v>
      </c>
      <c r="F593" s="8">
        <v>195</v>
      </c>
      <c r="G593" s="17" t="str">
        <f>VLOOKUP(B593, 'Catégorie des articles'!A:E, 4, FALSE)</f>
        <v>MIX LEGUMES</v>
      </c>
      <c r="H593" s="14">
        <f>IF(Tableau5[[#This Row],[Stock Moyen (UVC)]]&gt;0,1,0)</f>
        <v>1</v>
      </c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75" customHeight="1">
      <c r="A594" s="17">
        <v>202210</v>
      </c>
      <c r="B594" s="13">
        <v>5540246191736</v>
      </c>
      <c r="C594" s="8">
        <v>270</v>
      </c>
      <c r="D594" s="8">
        <v>8704.4544000000005</v>
      </c>
      <c r="E594" s="25">
        <f t="shared" si="9"/>
        <v>32.238720000000001</v>
      </c>
      <c r="F594" s="8">
        <v>21</v>
      </c>
      <c r="G594" s="17" t="str">
        <f>VLOOKUP(B594, 'Catégorie des articles'!A:E, 4, FALSE)</f>
        <v>CREMERIE</v>
      </c>
      <c r="H594" s="14">
        <f>IF(Tableau5[[#This Row],[Stock Moyen (UVC)]]&gt;0,1,0)</f>
        <v>1</v>
      </c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75" customHeight="1">
      <c r="A595" s="17">
        <v>202210</v>
      </c>
      <c r="B595" s="15">
        <v>5540246192102</v>
      </c>
      <c r="C595" s="11">
        <v>6988</v>
      </c>
      <c r="D595" s="11">
        <v>8496.7487999999994</v>
      </c>
      <c r="E595" s="25">
        <f t="shared" si="9"/>
        <v>1.2159056668574699</v>
      </c>
      <c r="F595" s="11">
        <v>11735</v>
      </c>
      <c r="G595" s="17" t="str">
        <f>VLOOKUP(B595, 'Catégorie des articles'!A:E, 4, FALSE)</f>
        <v>CREMERIE</v>
      </c>
      <c r="H595" s="14">
        <f>IF(Tableau5[[#This Row],[Stock Moyen (UVC)]]&gt;0,1,0)</f>
        <v>1</v>
      </c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>
      <c r="A596" s="17">
        <v>202210</v>
      </c>
      <c r="B596" s="15">
        <v>5540246192148</v>
      </c>
      <c r="C596" s="11">
        <v>7239</v>
      </c>
      <c r="D596" s="11">
        <v>26323.315200000001</v>
      </c>
      <c r="E596" s="25">
        <f t="shared" si="9"/>
        <v>3.6363192706174887</v>
      </c>
      <c r="F596" s="11">
        <v>68475</v>
      </c>
      <c r="G596" s="17" t="str">
        <f>VLOOKUP(B596, 'Catégorie des articles'!A:E, 4, FALSE)</f>
        <v>MIX LEGUMES</v>
      </c>
      <c r="H596" s="14">
        <f>IF(Tableau5[[#This Row],[Stock Moyen (UVC)]]&gt;0,1,0)</f>
        <v>1</v>
      </c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>
      <c r="A597" s="17">
        <v>202210</v>
      </c>
      <c r="B597" s="13">
        <v>5540246192209</v>
      </c>
      <c r="C597" s="8">
        <v>1142</v>
      </c>
      <c r="D597" s="8">
        <v>5738.688000000001</v>
      </c>
      <c r="E597" s="25">
        <f t="shared" si="9"/>
        <v>5.0251208406304739</v>
      </c>
      <c r="F597" s="8">
        <v>2993</v>
      </c>
      <c r="G597" s="17" t="str">
        <f>VLOOKUP(B597, 'Catégorie des articles'!A:E, 4, FALSE)</f>
        <v>MIX LEGUMES</v>
      </c>
      <c r="H597" s="14">
        <f>IF(Tableau5[[#This Row],[Stock Moyen (UVC)]]&gt;0,1,0)</f>
        <v>1</v>
      </c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75" customHeight="1">
      <c r="A598" s="17">
        <v>202210</v>
      </c>
      <c r="B598" s="15">
        <v>5540246192264</v>
      </c>
      <c r="C598" s="11">
        <v>1225</v>
      </c>
      <c r="D598" s="11">
        <v>17791.488000000001</v>
      </c>
      <c r="E598" s="25">
        <f t="shared" si="9"/>
        <v>14.52366367346939</v>
      </c>
      <c r="F598" s="11">
        <v>1225</v>
      </c>
      <c r="G598" s="17" t="str">
        <f>VLOOKUP(B598, 'Catégorie des articles'!A:E, 4, FALSE)</f>
        <v>CREMERIE</v>
      </c>
      <c r="H598" s="14">
        <f>IF(Tableau5[[#This Row],[Stock Moyen (UVC)]]&gt;0,1,0)</f>
        <v>1</v>
      </c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>
      <c r="A599" s="17">
        <v>202210</v>
      </c>
      <c r="B599" s="13">
        <v>5540246192265</v>
      </c>
      <c r="C599" s="8">
        <v>687</v>
      </c>
      <c r="D599" s="8">
        <v>9193.996799999999</v>
      </c>
      <c r="E599" s="25">
        <f t="shared" si="9"/>
        <v>13.382819213973798</v>
      </c>
      <c r="F599" s="8">
        <v>819</v>
      </c>
      <c r="G599" s="17" t="str">
        <f>VLOOKUP(B599, 'Catégorie des articles'!A:E, 4, FALSE)</f>
        <v>CREMERIE</v>
      </c>
      <c r="H599" s="14">
        <f>IF(Tableau5[[#This Row],[Stock Moyen (UVC)]]&gt;0,1,0)</f>
        <v>1</v>
      </c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>
      <c r="A600" s="17">
        <v>202210</v>
      </c>
      <c r="B600" s="15">
        <v>5540246192462</v>
      </c>
      <c r="C600" s="11">
        <v>251</v>
      </c>
      <c r="D600" s="11">
        <v>1779.9264000000001</v>
      </c>
      <c r="E600" s="25">
        <f t="shared" si="9"/>
        <v>7.0913402390438245</v>
      </c>
      <c r="F600" s="11">
        <v>743</v>
      </c>
      <c r="G600" s="17" t="str">
        <f>VLOOKUP(B600, 'Catégorie des articles'!A:E, 4, FALSE)</f>
        <v>MIX LEGUMES</v>
      </c>
      <c r="H600" s="14">
        <f>IF(Tableau5[[#This Row],[Stock Moyen (UVC)]]&gt;0,1,0)</f>
        <v>1</v>
      </c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2.75" customHeight="1">
      <c r="A601" s="17">
        <v>202210</v>
      </c>
      <c r="B601" s="15">
        <v>5540246192518</v>
      </c>
      <c r="C601" s="11">
        <v>3332</v>
      </c>
      <c r="D601" s="11">
        <v>23374.872000000003</v>
      </c>
      <c r="E601" s="25">
        <f t="shared" si="9"/>
        <v>7.0152677070828338</v>
      </c>
      <c r="F601" s="11">
        <v>13447</v>
      </c>
      <c r="G601" s="17" t="str">
        <f>VLOOKUP(B601, 'Catégorie des articles'!A:E, 4, FALSE)</f>
        <v>MIX LEGUMES</v>
      </c>
      <c r="H601" s="14">
        <f>IF(Tableau5[[#This Row],[Stock Moyen (UVC)]]&gt;0,1,0)</f>
        <v>1</v>
      </c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75" customHeight="1">
      <c r="A602" s="17">
        <v>202210</v>
      </c>
      <c r="B602" s="13">
        <v>5540246192571</v>
      </c>
      <c r="C602" s="8">
        <v>961</v>
      </c>
      <c r="D602" s="8">
        <v>4070.5632000000001</v>
      </c>
      <c r="E602" s="25">
        <f t="shared" si="9"/>
        <v>4.2357577523413115</v>
      </c>
      <c r="F602" s="8">
        <v>1685</v>
      </c>
      <c r="G602" s="17" t="str">
        <f>VLOOKUP(B602, 'Catégorie des articles'!A:E, 4, FALSE)</f>
        <v>MIX LEGUMES</v>
      </c>
      <c r="H602" s="14">
        <f>IF(Tableau5[[#This Row],[Stock Moyen (UVC)]]&gt;0,1,0)</f>
        <v>1</v>
      </c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75" customHeight="1">
      <c r="A603" s="17">
        <v>202210</v>
      </c>
      <c r="B603" s="15">
        <v>5540246192594</v>
      </c>
      <c r="C603" s="11">
        <v>112</v>
      </c>
      <c r="D603" s="11">
        <v>736.12800000000004</v>
      </c>
      <c r="E603" s="25">
        <f t="shared" si="9"/>
        <v>6.572571428571429</v>
      </c>
      <c r="F603" s="11">
        <v>214</v>
      </c>
      <c r="G603" s="17" t="str">
        <f>VLOOKUP(B603, 'Catégorie des articles'!A:E, 4, FALSE)</f>
        <v>MIX LEGUMES</v>
      </c>
      <c r="H603" s="14">
        <f>IF(Tableau5[[#This Row],[Stock Moyen (UVC)]]&gt;0,1,0)</f>
        <v>1</v>
      </c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75" customHeight="1">
      <c r="A604" s="17">
        <v>202210</v>
      </c>
      <c r="B604" s="13">
        <v>5540246192831</v>
      </c>
      <c r="C604" s="8">
        <v>372</v>
      </c>
      <c r="D604" s="8">
        <v>3290.1120000000005</v>
      </c>
      <c r="E604" s="25">
        <f t="shared" si="9"/>
        <v>8.8443870967741951</v>
      </c>
      <c r="F604" s="8">
        <v>696</v>
      </c>
      <c r="G604" s="17" t="str">
        <f>VLOOKUP(B604, 'Catégorie des articles'!A:E, 4, FALSE)</f>
        <v>MIX LEGUMES</v>
      </c>
      <c r="H604" s="14">
        <f>IF(Tableau5[[#This Row],[Stock Moyen (UVC)]]&gt;0,1,0)</f>
        <v>1</v>
      </c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>
      <c r="A605" s="17">
        <v>202210</v>
      </c>
      <c r="B605" s="13">
        <v>5540246192907</v>
      </c>
      <c r="C605" s="8">
        <v>1365</v>
      </c>
      <c r="D605" s="8">
        <v>38292.912000000004</v>
      </c>
      <c r="E605" s="25">
        <f t="shared" si="9"/>
        <v>28.053415384615388</v>
      </c>
      <c r="F605" s="8">
        <v>4529</v>
      </c>
      <c r="G605" s="17" t="str">
        <f>VLOOKUP(B605, 'Catégorie des articles'!A:E, 4, FALSE)</f>
        <v>VOLAILLE</v>
      </c>
      <c r="H605" s="14">
        <f>IF(Tableau5[[#This Row],[Stock Moyen (UVC)]]&gt;0,1,0)</f>
        <v>1</v>
      </c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>
      <c r="A606" s="17">
        <v>202210</v>
      </c>
      <c r="B606" s="15">
        <v>5540246193316</v>
      </c>
      <c r="C606" s="11">
        <v>469</v>
      </c>
      <c r="D606" s="11">
        <v>15875.049600000002</v>
      </c>
      <c r="E606" s="25">
        <f t="shared" si="9"/>
        <v>33.848719829424311</v>
      </c>
      <c r="F606" s="11">
        <v>539</v>
      </c>
      <c r="G606" s="17" t="str">
        <f>VLOOKUP(B606, 'Catégorie des articles'!A:E, 4, FALSE)</f>
        <v>BOULANGERIE</v>
      </c>
      <c r="H606" s="14">
        <f>IF(Tableau5[[#This Row],[Stock Moyen (UVC)]]&gt;0,1,0)</f>
        <v>1</v>
      </c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75" customHeight="1">
      <c r="A607" s="17">
        <v>202210</v>
      </c>
      <c r="B607" s="13">
        <v>5540246193409</v>
      </c>
      <c r="C607" s="8">
        <v>100</v>
      </c>
      <c r="D607" s="8">
        <v>5126.9760000000006</v>
      </c>
      <c r="E607" s="25">
        <f t="shared" si="9"/>
        <v>51.269760000000005</v>
      </c>
      <c r="F607" s="8">
        <v>19</v>
      </c>
      <c r="G607" s="17" t="str">
        <f>VLOOKUP(B607, 'Catégorie des articles'!A:E, 4, FALSE)</f>
        <v>BOULANGERIE</v>
      </c>
      <c r="H607" s="14">
        <f>IF(Tableau5[[#This Row],[Stock Moyen (UVC)]]&gt;0,1,0)</f>
        <v>1</v>
      </c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75" customHeight="1">
      <c r="A608" s="17">
        <v>202210</v>
      </c>
      <c r="B608" s="13">
        <v>5540246193878</v>
      </c>
      <c r="C608" s="8">
        <v>12842</v>
      </c>
      <c r="D608" s="8">
        <v>90862.560000000012</v>
      </c>
      <c r="E608" s="25">
        <f t="shared" si="9"/>
        <v>7.075421273944869</v>
      </c>
      <c r="F608" s="8">
        <v>9106</v>
      </c>
      <c r="G608" s="17" t="str">
        <f>VLOOKUP(B608, 'Catégorie des articles'!A:E, 4, FALSE)</f>
        <v>VOLAILLE</v>
      </c>
      <c r="H608" s="14">
        <f>IF(Tableau5[[#This Row],[Stock Moyen (UVC)]]&gt;0,1,0)</f>
        <v>1</v>
      </c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2.75" customHeight="1">
      <c r="A609" s="17">
        <v>202210</v>
      </c>
      <c r="B609" s="13">
        <v>5540246194467</v>
      </c>
      <c r="C609" s="8">
        <v>40536</v>
      </c>
      <c r="D609" s="8">
        <v>40834.152000000002</v>
      </c>
      <c r="E609" s="25">
        <f t="shared" si="9"/>
        <v>1.0073552397868561</v>
      </c>
      <c r="F609" s="8">
        <v>51226</v>
      </c>
      <c r="G609" s="17" t="str">
        <f>VLOOKUP(B609, 'Catégorie des articles'!A:E, 4, FALSE)</f>
        <v>BOULANGERIE</v>
      </c>
      <c r="H609" s="14">
        <f>IF(Tableau5[[#This Row],[Stock Moyen (UVC)]]&gt;0,1,0)</f>
        <v>1</v>
      </c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>
      <c r="A610" s="17">
        <v>202210</v>
      </c>
      <c r="B610" s="13">
        <v>5540246194478</v>
      </c>
      <c r="C610" s="8">
        <v>1341</v>
      </c>
      <c r="D610" s="8">
        <v>58353.955200000004</v>
      </c>
      <c r="E610" s="25">
        <f t="shared" si="9"/>
        <v>43.51525369127517</v>
      </c>
      <c r="F610" s="8">
        <v>722</v>
      </c>
      <c r="G610" s="17" t="str">
        <f>VLOOKUP(B610, 'Catégorie des articles'!A:E, 4, FALSE)</f>
        <v>EMBALLAGES</v>
      </c>
      <c r="H610" s="14">
        <f>IF(Tableau5[[#This Row],[Stock Moyen (UVC)]]&gt;0,1,0)</f>
        <v>1</v>
      </c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>
      <c r="A611" s="17">
        <v>202210</v>
      </c>
      <c r="B611" s="13">
        <v>5540246194632</v>
      </c>
      <c r="C611" s="8">
        <v>2140</v>
      </c>
      <c r="D611" s="8">
        <v>27642.297600000002</v>
      </c>
      <c r="E611" s="25">
        <f t="shared" si="9"/>
        <v>12.916961495327104</v>
      </c>
      <c r="F611" s="8">
        <v>10311</v>
      </c>
      <c r="G611" s="17" t="str">
        <f>VLOOKUP(B611, 'Catégorie des articles'!A:E, 4, FALSE)</f>
        <v>BOULANGERIE</v>
      </c>
      <c r="H611" s="14">
        <f>IF(Tableau5[[#This Row],[Stock Moyen (UVC)]]&gt;0,1,0)</f>
        <v>1</v>
      </c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>
      <c r="A612" s="17">
        <v>202210</v>
      </c>
      <c r="B612" s="15">
        <v>5540246194790</v>
      </c>
      <c r="C612" s="11">
        <v>1984</v>
      </c>
      <c r="D612" s="11">
        <v>22900.32</v>
      </c>
      <c r="E612" s="25">
        <f t="shared" si="9"/>
        <v>11.5425</v>
      </c>
      <c r="F612" s="11">
        <v>2276</v>
      </c>
      <c r="G612" s="17" t="str">
        <f>VLOOKUP(B612, 'Catégorie des articles'!A:E, 4, FALSE)</f>
        <v>MIX LEGUMES</v>
      </c>
      <c r="H612" s="14">
        <f>IF(Tableau5[[#This Row],[Stock Moyen (UVC)]]&gt;0,1,0)</f>
        <v>1</v>
      </c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>
      <c r="A613" s="17">
        <v>202210</v>
      </c>
      <c r="B613" s="13">
        <v>5540246194947</v>
      </c>
      <c r="C613" s="8">
        <v>0</v>
      </c>
      <c r="D613" s="8">
        <v>0</v>
      </c>
      <c r="E613" s="25" t="str">
        <f t="shared" si="9"/>
        <v/>
      </c>
      <c r="F613" s="8">
        <v>24</v>
      </c>
      <c r="G613" s="17" t="str">
        <f>VLOOKUP(B613, 'Catégorie des articles'!A:E, 4, FALSE)</f>
        <v>EMBALLAGES</v>
      </c>
      <c r="H613" s="14">
        <f>IF(Tableau5[[#This Row],[Stock Moyen (UVC)]]&gt;0,1,0)</f>
        <v>0</v>
      </c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>
      <c r="A614" s="17">
        <v>202210</v>
      </c>
      <c r="B614" s="15">
        <v>5540246195096</v>
      </c>
      <c r="C614" s="11">
        <v>1699</v>
      </c>
      <c r="D614" s="11">
        <v>10103.3568</v>
      </c>
      <c r="E614" s="25">
        <f t="shared" si="9"/>
        <v>5.9466490876986464</v>
      </c>
      <c r="F614" s="11">
        <v>140</v>
      </c>
      <c r="G614" s="17" t="str">
        <f>VLOOKUP(B614, 'Catégorie des articles'!A:E, 4, FALSE)</f>
        <v>MIX LEGUMES</v>
      </c>
      <c r="H614" s="14">
        <f>IF(Tableau5[[#This Row],[Stock Moyen (UVC)]]&gt;0,1,0)</f>
        <v>1</v>
      </c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>
      <c r="A615" s="17">
        <v>202210</v>
      </c>
      <c r="B615" s="15">
        <v>5540246195195</v>
      </c>
      <c r="C615" s="11">
        <v>0</v>
      </c>
      <c r="D615" s="11">
        <v>0</v>
      </c>
      <c r="E615" s="25" t="str">
        <f t="shared" si="9"/>
        <v/>
      </c>
      <c r="F615" s="11">
        <v>0</v>
      </c>
      <c r="G615" s="17" t="str">
        <f>VLOOKUP(B615, 'Catégorie des articles'!A:E, 4, FALSE)</f>
        <v>EMBALLAGES</v>
      </c>
      <c r="H615" s="14">
        <f>IF(Tableau5[[#This Row],[Stock Moyen (UVC)]]&gt;0,1,0)</f>
        <v>0</v>
      </c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>
      <c r="A616" s="17">
        <v>202210</v>
      </c>
      <c r="B616" s="13">
        <v>5540246195241</v>
      </c>
      <c r="C616" s="8">
        <v>395</v>
      </c>
      <c r="D616" s="8">
        <v>11787.12</v>
      </c>
      <c r="E616" s="25">
        <f t="shared" si="9"/>
        <v>29.84081012658228</v>
      </c>
      <c r="F616" s="8">
        <v>720</v>
      </c>
      <c r="G616" s="17" t="str">
        <f>VLOOKUP(B616, 'Catégorie des articles'!A:E, 4, FALSE)</f>
        <v>MIX LEGUMES</v>
      </c>
      <c r="H616" s="14">
        <f>IF(Tableau5[[#This Row],[Stock Moyen (UVC)]]&gt;0,1,0)</f>
        <v>1</v>
      </c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75" customHeight="1">
      <c r="A617" s="17">
        <v>202210</v>
      </c>
      <c r="B617" s="15">
        <v>5540246195242</v>
      </c>
      <c r="C617" s="11">
        <v>996</v>
      </c>
      <c r="D617" s="11">
        <v>34378.344000000005</v>
      </c>
      <c r="E617" s="25">
        <f t="shared" si="9"/>
        <v>34.516409638554222</v>
      </c>
      <c r="F617" s="11">
        <v>720</v>
      </c>
      <c r="G617" s="17" t="str">
        <f>VLOOKUP(B617, 'Catégorie des articles'!A:E, 4, FALSE)</f>
        <v>MIX LEGUMES</v>
      </c>
      <c r="H617" s="14">
        <f>IF(Tableau5[[#This Row],[Stock Moyen (UVC)]]&gt;0,1,0)</f>
        <v>1</v>
      </c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>
      <c r="A618" s="17">
        <v>202210</v>
      </c>
      <c r="B618" s="15">
        <v>5540246195250</v>
      </c>
      <c r="C618" s="11">
        <v>242</v>
      </c>
      <c r="D618" s="11">
        <v>9466.3296000000009</v>
      </c>
      <c r="E618" s="25">
        <f t="shared" si="9"/>
        <v>39.117064462809921</v>
      </c>
      <c r="F618" s="11">
        <v>729</v>
      </c>
      <c r="G618" s="17" t="str">
        <f>VLOOKUP(B618, 'Catégorie des articles'!A:E, 4, FALSE)</f>
        <v>BOULANGERIE</v>
      </c>
      <c r="H618" s="14">
        <f>IF(Tableau5[[#This Row],[Stock Moyen (UVC)]]&gt;0,1,0)</f>
        <v>1</v>
      </c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75" customHeight="1">
      <c r="A619" s="17">
        <v>202210</v>
      </c>
      <c r="B619" s="15">
        <v>5540246195653</v>
      </c>
      <c r="C619" s="11">
        <v>404</v>
      </c>
      <c r="D619" s="11">
        <v>13815.8784</v>
      </c>
      <c r="E619" s="25">
        <f t="shared" si="9"/>
        <v>34.197718811881188</v>
      </c>
      <c r="F619" s="11">
        <v>200</v>
      </c>
      <c r="G619" s="17" t="str">
        <f>VLOOKUP(B619, 'Catégorie des articles'!A:E, 4, FALSE)</f>
        <v>EMBALLAGES</v>
      </c>
      <c r="H619" s="14">
        <f>IF(Tableau5[[#This Row],[Stock Moyen (UVC)]]&gt;0,1,0)</f>
        <v>1</v>
      </c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75" customHeight="1">
      <c r="A620" s="17">
        <v>202210</v>
      </c>
      <c r="B620" s="13">
        <v>5540246195943</v>
      </c>
      <c r="C620" s="8">
        <v>0</v>
      </c>
      <c r="D620" s="8">
        <v>0</v>
      </c>
      <c r="E620" s="25" t="str">
        <f t="shared" si="9"/>
        <v/>
      </c>
      <c r="F620" s="8">
        <v>232</v>
      </c>
      <c r="G620" s="17" t="str">
        <f>VLOOKUP(B620, 'Catégorie des articles'!A:E, 4, FALSE)</f>
        <v>CREMERIE</v>
      </c>
      <c r="H620" s="14">
        <f>IF(Tableau5[[#This Row],[Stock Moyen (UVC)]]&gt;0,1,0)</f>
        <v>0</v>
      </c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>
      <c r="A621" s="17">
        <v>202210</v>
      </c>
      <c r="B621" s="15">
        <v>5540246195944</v>
      </c>
      <c r="C621" s="11">
        <v>0</v>
      </c>
      <c r="D621" s="11">
        <v>0</v>
      </c>
      <c r="E621" s="25" t="str">
        <f t="shared" si="9"/>
        <v/>
      </c>
      <c r="F621" s="11">
        <v>116</v>
      </c>
      <c r="G621" s="17" t="str">
        <f>VLOOKUP(B621, 'Catégorie des articles'!A:E, 4, FALSE)</f>
        <v>CREMERIE</v>
      </c>
      <c r="H621" s="14">
        <f>IF(Tableau5[[#This Row],[Stock Moyen (UVC)]]&gt;0,1,0)</f>
        <v>0</v>
      </c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>
      <c r="A622" s="17">
        <v>202210</v>
      </c>
      <c r="B622" s="13">
        <v>5540246196046</v>
      </c>
      <c r="C622" s="8">
        <v>0</v>
      </c>
      <c r="D622" s="8">
        <v>0</v>
      </c>
      <c r="E622" s="25" t="str">
        <f t="shared" si="9"/>
        <v/>
      </c>
      <c r="F622" s="8">
        <v>89</v>
      </c>
      <c r="G622" s="17" t="str">
        <f>VLOOKUP(B622, 'Catégorie des articles'!A:E, 4, FALSE)</f>
        <v>BOULANGERIE</v>
      </c>
      <c r="H622" s="14">
        <f>IF(Tableau5[[#This Row],[Stock Moyen (UVC)]]&gt;0,1,0)</f>
        <v>0</v>
      </c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>
      <c r="A623" s="17">
        <v>202210</v>
      </c>
      <c r="B623" s="15">
        <v>5540246196092</v>
      </c>
      <c r="C623" s="11">
        <v>0</v>
      </c>
      <c r="D623" s="11">
        <v>0</v>
      </c>
      <c r="E623" s="25" t="str">
        <f t="shared" si="9"/>
        <v/>
      </c>
      <c r="F623" s="11">
        <v>353</v>
      </c>
      <c r="G623" s="17" t="str">
        <f>VLOOKUP(B623, 'Catégorie des articles'!A:E, 4, FALSE)</f>
        <v>VOLAILLE</v>
      </c>
      <c r="H623" s="14">
        <f>IF(Tableau5[[#This Row],[Stock Moyen (UVC)]]&gt;0,1,0)</f>
        <v>0</v>
      </c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>
      <c r="A624" s="17">
        <v>202211</v>
      </c>
      <c r="B624" s="13">
        <v>5540246170256</v>
      </c>
      <c r="C624" s="8">
        <v>3951</v>
      </c>
      <c r="D624" s="8">
        <v>26558.625600000003</v>
      </c>
      <c r="E624" s="25">
        <f t="shared" si="9"/>
        <v>6.7220009111617323</v>
      </c>
      <c r="F624" s="8">
        <v>10366</v>
      </c>
      <c r="G624" s="17" t="str">
        <f>VLOOKUP(B624, 'Catégorie des articles'!A:E, 4, FALSE)</f>
        <v>BOULANGERIE</v>
      </c>
      <c r="H624" s="14">
        <f>IF(Tableau5[[#This Row],[Stock Moyen (UVC)]]&gt;0,1,0)</f>
        <v>1</v>
      </c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75" customHeight="1">
      <c r="A625" s="17">
        <v>202211</v>
      </c>
      <c r="B625" s="15">
        <v>5540246171759</v>
      </c>
      <c r="C625" s="11">
        <v>5188</v>
      </c>
      <c r="D625" s="11">
        <v>28495.584000000003</v>
      </c>
      <c r="E625" s="25">
        <f t="shared" si="9"/>
        <v>5.4925952197378569</v>
      </c>
      <c r="F625" s="11">
        <v>6415</v>
      </c>
      <c r="G625" s="17" t="str">
        <f>VLOOKUP(B625, 'Catégorie des articles'!A:E, 4, FALSE)</f>
        <v>MIX LEGUMES</v>
      </c>
      <c r="H625" s="14">
        <f>IF(Tableau5[[#This Row],[Stock Moyen (UVC)]]&gt;0,1,0)</f>
        <v>1</v>
      </c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75" customHeight="1">
      <c r="A626" s="17">
        <v>202211</v>
      </c>
      <c r="B626" s="15">
        <v>5540246171888</v>
      </c>
      <c r="C626" s="11">
        <v>1293</v>
      </c>
      <c r="D626" s="11">
        <v>21776.472000000002</v>
      </c>
      <c r="E626" s="25">
        <f t="shared" si="9"/>
        <v>16.841819025522042</v>
      </c>
      <c r="F626" s="11">
        <v>2383</v>
      </c>
      <c r="G626" s="17" t="str">
        <f>VLOOKUP(B626, 'Catégorie des articles'!A:E, 4, FALSE)</f>
        <v>BOULANGERIE</v>
      </c>
      <c r="H626" s="14">
        <f>IF(Tableau5[[#This Row],[Stock Moyen (UVC)]]&gt;0,1,0)</f>
        <v>1</v>
      </c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75" customHeight="1">
      <c r="A627" s="17">
        <v>202211</v>
      </c>
      <c r="B627" s="13">
        <v>5540246171933</v>
      </c>
      <c r="C627" s="8">
        <v>0</v>
      </c>
      <c r="D627" s="8">
        <v>0</v>
      </c>
      <c r="E627" s="25" t="str">
        <f t="shared" si="9"/>
        <v/>
      </c>
      <c r="F627" s="8">
        <v>13141</v>
      </c>
      <c r="G627" s="17" t="str">
        <f>VLOOKUP(B627, 'Catégorie des articles'!A:E, 4, FALSE)</f>
        <v>CREMERIE</v>
      </c>
      <c r="H627" s="14">
        <f>IF(Tableau5[[#This Row],[Stock Moyen (UVC)]]&gt;0,1,0)</f>
        <v>0</v>
      </c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75" customHeight="1">
      <c r="A628" s="17">
        <v>202211</v>
      </c>
      <c r="B628" s="13">
        <v>5540246172539</v>
      </c>
      <c r="C628" s="8">
        <v>75</v>
      </c>
      <c r="D628" s="8">
        <v>1621.8144000000002</v>
      </c>
      <c r="E628" s="25">
        <f t="shared" si="9"/>
        <v>21.624192000000004</v>
      </c>
      <c r="F628" s="8">
        <v>158</v>
      </c>
      <c r="G628" s="17" t="str">
        <f>VLOOKUP(B628, 'Catégorie des articles'!A:E, 4, FALSE)</f>
        <v>CREMERIE</v>
      </c>
      <c r="H628" s="14">
        <f>IF(Tableau5[[#This Row],[Stock Moyen (UVC)]]&gt;0,1,0)</f>
        <v>1</v>
      </c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75" customHeight="1">
      <c r="A629" s="17">
        <v>202211</v>
      </c>
      <c r="B629" s="15">
        <v>5540246172669</v>
      </c>
      <c r="C629" s="11">
        <v>251</v>
      </c>
      <c r="D629" s="11">
        <v>3511.8144000000002</v>
      </c>
      <c r="E629" s="25">
        <f t="shared" si="9"/>
        <v>13.991292430278886</v>
      </c>
      <c r="F629" s="11">
        <v>1337</v>
      </c>
      <c r="G629" s="17" t="str">
        <f>VLOOKUP(B629, 'Catégorie des articles'!A:E, 4, FALSE)</f>
        <v>CREMERIE</v>
      </c>
      <c r="H629" s="14">
        <f>IF(Tableau5[[#This Row],[Stock Moyen (UVC)]]&gt;0,1,0)</f>
        <v>1</v>
      </c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75" customHeight="1">
      <c r="A630" s="17">
        <v>202211</v>
      </c>
      <c r="B630" s="13">
        <v>5540246172978</v>
      </c>
      <c r="C630" s="8">
        <v>335</v>
      </c>
      <c r="D630" s="8">
        <v>269.35200000000003</v>
      </c>
      <c r="E630" s="25">
        <f t="shared" si="9"/>
        <v>0.8040358208955225</v>
      </c>
      <c r="F630" s="8">
        <v>16120</v>
      </c>
      <c r="G630" s="17" t="str">
        <f>VLOOKUP(B630, 'Catégorie des articles'!A:E, 4, FALSE)</f>
        <v>CREMERIE</v>
      </c>
      <c r="H630" s="14">
        <f>IF(Tableau5[[#This Row],[Stock Moyen (UVC)]]&gt;0,1,0)</f>
        <v>1</v>
      </c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75" customHeight="1">
      <c r="A631" s="17">
        <v>202211</v>
      </c>
      <c r="B631" s="15">
        <v>5540246173472</v>
      </c>
      <c r="C631" s="11">
        <v>307</v>
      </c>
      <c r="D631" s="11">
        <v>7070.9760000000006</v>
      </c>
      <c r="E631" s="25">
        <f t="shared" si="9"/>
        <v>23.032495114006515</v>
      </c>
      <c r="F631" s="11">
        <v>696</v>
      </c>
      <c r="G631" s="17" t="str">
        <f>VLOOKUP(B631, 'Catégorie des articles'!A:E, 4, FALSE)</f>
        <v>CREMERIE</v>
      </c>
      <c r="H631" s="14">
        <f>IF(Tableau5[[#This Row],[Stock Moyen (UVC)]]&gt;0,1,0)</f>
        <v>1</v>
      </c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75" customHeight="1">
      <c r="A632" s="17">
        <v>202211</v>
      </c>
      <c r="B632" s="13">
        <v>5540246173492</v>
      </c>
      <c r="C632" s="8">
        <v>3675</v>
      </c>
      <c r="D632" s="8">
        <v>57309.120000000003</v>
      </c>
      <c r="E632" s="25">
        <f t="shared" si="9"/>
        <v>15.59431836734694</v>
      </c>
      <c r="F632" s="8">
        <v>1448</v>
      </c>
      <c r="G632" s="17" t="str">
        <f>VLOOKUP(B632, 'Catégorie des articles'!A:E, 4, FALSE)</f>
        <v>VOLAILLE</v>
      </c>
      <c r="H632" s="14">
        <f>IF(Tableau5[[#This Row],[Stock Moyen (UVC)]]&gt;0,1,0)</f>
        <v>1</v>
      </c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2.75" customHeight="1">
      <c r="A633" s="17">
        <v>202211</v>
      </c>
      <c r="B633" s="15">
        <v>5540246173685</v>
      </c>
      <c r="C633" s="11">
        <v>49</v>
      </c>
      <c r="D633" s="11">
        <v>1270.7280000000001</v>
      </c>
      <c r="E633" s="25">
        <f t="shared" si="9"/>
        <v>25.933224489795919</v>
      </c>
      <c r="F633" s="11">
        <v>49</v>
      </c>
      <c r="G633" s="17" t="str">
        <f>VLOOKUP(B633, 'Catégorie des articles'!A:E, 4, FALSE)</f>
        <v>EMBALLAGES</v>
      </c>
      <c r="H633" s="14">
        <f>IF(Tableau5[[#This Row],[Stock Moyen (UVC)]]&gt;0,1,0)</f>
        <v>1</v>
      </c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75" customHeight="1">
      <c r="A634" s="17">
        <v>202211</v>
      </c>
      <c r="B634" s="13">
        <v>5540246173686</v>
      </c>
      <c r="C634" s="8">
        <v>151</v>
      </c>
      <c r="D634" s="8">
        <v>3903.9840000000004</v>
      </c>
      <c r="E634" s="25">
        <f t="shared" si="9"/>
        <v>25.85419867549669</v>
      </c>
      <c r="F634" s="8">
        <v>154</v>
      </c>
      <c r="G634" s="17" t="str">
        <f>VLOOKUP(B634, 'Catégorie des articles'!A:E, 4, FALSE)</f>
        <v>EMBALLAGES</v>
      </c>
      <c r="H634" s="14">
        <f>IF(Tableau5[[#This Row],[Stock Moyen (UVC)]]&gt;0,1,0)</f>
        <v>1</v>
      </c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75" customHeight="1">
      <c r="A635" s="17">
        <v>202211</v>
      </c>
      <c r="B635" s="13">
        <v>5540246173906</v>
      </c>
      <c r="C635" s="8">
        <v>3429</v>
      </c>
      <c r="D635" s="8">
        <v>67527.345600000001</v>
      </c>
      <c r="E635" s="25">
        <f t="shared" si="9"/>
        <v>19.693014173228345</v>
      </c>
      <c r="F635" s="8">
        <v>2896</v>
      </c>
      <c r="G635" s="17" t="str">
        <f>VLOOKUP(B635, 'Catégorie des articles'!A:E, 4, FALSE)</f>
        <v>VOLAILLE</v>
      </c>
      <c r="H635" s="14">
        <f>IF(Tableau5[[#This Row],[Stock Moyen (UVC)]]&gt;0,1,0)</f>
        <v>1</v>
      </c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75" customHeight="1">
      <c r="A636" s="17">
        <v>202211</v>
      </c>
      <c r="B636" s="15">
        <v>5540246174095</v>
      </c>
      <c r="C636" s="11">
        <v>98</v>
      </c>
      <c r="D636" s="11">
        <v>3040.9344000000001</v>
      </c>
      <c r="E636" s="25">
        <f t="shared" si="9"/>
        <v>31.029942857142856</v>
      </c>
      <c r="F636" s="11">
        <v>181</v>
      </c>
      <c r="G636" s="17" t="str">
        <f>VLOOKUP(B636, 'Catégorie des articles'!A:E, 4, FALSE)</f>
        <v>CREMERIE</v>
      </c>
      <c r="H636" s="14">
        <f>IF(Tableau5[[#This Row],[Stock Moyen (UVC)]]&gt;0,1,0)</f>
        <v>1</v>
      </c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75" customHeight="1">
      <c r="A637" s="17">
        <v>202211</v>
      </c>
      <c r="B637" s="13">
        <v>5540246174174</v>
      </c>
      <c r="C637" s="8">
        <v>137</v>
      </c>
      <c r="D637" s="8">
        <v>1893.7584000000002</v>
      </c>
      <c r="E637" s="25">
        <f t="shared" si="9"/>
        <v>13.823054014598542</v>
      </c>
      <c r="F637" s="8">
        <v>752</v>
      </c>
      <c r="G637" s="17" t="str">
        <f>VLOOKUP(B637, 'Catégorie des articles'!A:E, 4, FALSE)</f>
        <v>CREMERIE</v>
      </c>
      <c r="H637" s="14">
        <f>IF(Tableau5[[#This Row],[Stock Moyen (UVC)]]&gt;0,1,0)</f>
        <v>1</v>
      </c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75" customHeight="1">
      <c r="A638" s="17">
        <v>202211</v>
      </c>
      <c r="B638" s="15">
        <v>5540246175047</v>
      </c>
      <c r="C638" s="11">
        <v>529</v>
      </c>
      <c r="D638" s="11">
        <v>5604.4224000000004</v>
      </c>
      <c r="E638" s="25">
        <f t="shared" si="9"/>
        <v>10.594371266540643</v>
      </c>
      <c r="F638" s="11">
        <v>947</v>
      </c>
      <c r="G638" s="17" t="str">
        <f>VLOOKUP(B638, 'Catégorie des articles'!A:E, 4, FALSE)</f>
        <v>CREMERIE</v>
      </c>
      <c r="H638" s="14">
        <f>IF(Tableau5[[#This Row],[Stock Moyen (UVC)]]&gt;0,1,0)</f>
        <v>1</v>
      </c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75" customHeight="1">
      <c r="A639" s="17">
        <v>202211</v>
      </c>
      <c r="B639" s="13">
        <v>5540246175049</v>
      </c>
      <c r="C639" s="8">
        <v>947</v>
      </c>
      <c r="D639" s="8">
        <v>9852.7103999999999</v>
      </c>
      <c r="E639" s="25">
        <f t="shared" si="9"/>
        <v>10.404129250263992</v>
      </c>
      <c r="F639" s="8">
        <v>5095</v>
      </c>
      <c r="G639" s="17" t="str">
        <f>VLOOKUP(B639, 'Catégorie des articles'!A:E, 4, FALSE)</f>
        <v>CREMERIE</v>
      </c>
      <c r="H639" s="14">
        <f>IF(Tableau5[[#This Row],[Stock Moyen (UVC)]]&gt;0,1,0)</f>
        <v>1</v>
      </c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75" customHeight="1">
      <c r="A640" s="17">
        <v>202211</v>
      </c>
      <c r="B640" s="15">
        <v>5540246175050</v>
      </c>
      <c r="C640" s="11">
        <v>1379</v>
      </c>
      <c r="D640" s="11">
        <v>15961.017600000001</v>
      </c>
      <c r="E640" s="25">
        <f t="shared" si="9"/>
        <v>11.574341986947063</v>
      </c>
      <c r="F640" s="11">
        <v>3494</v>
      </c>
      <c r="G640" s="17" t="str">
        <f>VLOOKUP(B640, 'Catégorie des articles'!A:E, 4, FALSE)</f>
        <v>CREMERIE</v>
      </c>
      <c r="H640" s="14">
        <f>IF(Tableau5[[#This Row],[Stock Moyen (UVC)]]&gt;0,1,0)</f>
        <v>1</v>
      </c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2.75" customHeight="1">
      <c r="A641" s="17">
        <v>202211</v>
      </c>
      <c r="B641" s="15">
        <v>5540246175372</v>
      </c>
      <c r="C641" s="11">
        <v>1462</v>
      </c>
      <c r="D641" s="11">
        <v>5715.3600000000006</v>
      </c>
      <c r="E641" s="25">
        <f t="shared" si="9"/>
        <v>3.9092749658002739</v>
      </c>
      <c r="F641" s="11">
        <v>140</v>
      </c>
      <c r="G641" s="17" t="str">
        <f>VLOOKUP(B641, 'Catégorie des articles'!A:E, 4, FALSE)</f>
        <v>BOULANGERIE</v>
      </c>
      <c r="H641" s="14">
        <f>IF(Tableau5[[#This Row],[Stock Moyen (UVC)]]&gt;0,1,0)</f>
        <v>1</v>
      </c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75" customHeight="1">
      <c r="A642" s="17">
        <v>202211</v>
      </c>
      <c r="B642" s="13">
        <v>5540246176294</v>
      </c>
      <c r="C642" s="8">
        <v>483</v>
      </c>
      <c r="D642" s="8">
        <v>457.35840000000007</v>
      </c>
      <c r="E642" s="25">
        <f t="shared" si="9"/>
        <v>0.94691180124223617</v>
      </c>
      <c r="F642" s="8">
        <v>10691</v>
      </c>
      <c r="G642" s="17" t="str">
        <f>VLOOKUP(B642, 'Catégorie des articles'!A:E, 4, FALSE)</f>
        <v>CREMERIE</v>
      </c>
      <c r="H642" s="14">
        <f>IF(Tableau5[[#This Row],[Stock Moyen (UVC)]]&gt;0,1,0)</f>
        <v>1</v>
      </c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75" customHeight="1">
      <c r="A643" s="17">
        <v>202211</v>
      </c>
      <c r="B643" s="15">
        <v>5540246176295</v>
      </c>
      <c r="C643" s="11">
        <v>6905</v>
      </c>
      <c r="D643" s="11">
        <v>6543.8496000000005</v>
      </c>
      <c r="E643" s="25">
        <f t="shared" ref="E643:E706" si="10">IF(C643=0,"",D643/C643)</f>
        <v>0.94769726285300515</v>
      </c>
      <c r="F643" s="11">
        <v>89200</v>
      </c>
      <c r="G643" s="17" t="str">
        <f>VLOOKUP(B643, 'Catégorie des articles'!A:E, 4, FALSE)</f>
        <v>CREMERIE</v>
      </c>
      <c r="H643" s="14">
        <f>IF(Tableau5[[#This Row],[Stock Moyen (UVC)]]&gt;0,1,0)</f>
        <v>1</v>
      </c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75" customHeight="1">
      <c r="A644" s="17">
        <v>202211</v>
      </c>
      <c r="B644" s="15">
        <v>5540246176699</v>
      </c>
      <c r="C644" s="11">
        <v>7517</v>
      </c>
      <c r="D644" s="11">
        <v>3835.1232</v>
      </c>
      <c r="E644" s="25">
        <f t="shared" si="10"/>
        <v>0.51019332180391108</v>
      </c>
      <c r="F644" s="11">
        <v>72245</v>
      </c>
      <c r="G644" s="17" t="str">
        <f>VLOOKUP(B644, 'Catégorie des articles'!A:E, 4, FALSE)</f>
        <v>CREMERIE</v>
      </c>
      <c r="H644" s="14">
        <f>IF(Tableau5[[#This Row],[Stock Moyen (UVC)]]&gt;0,1,0)</f>
        <v>1</v>
      </c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75" customHeight="1">
      <c r="A645" s="17">
        <v>202211</v>
      </c>
      <c r="B645" s="15">
        <v>5540246177133</v>
      </c>
      <c r="C645" s="11">
        <v>10707</v>
      </c>
      <c r="D645" s="11">
        <v>38876.76</v>
      </c>
      <c r="E645" s="25">
        <f t="shared" si="10"/>
        <v>3.6309666573269825</v>
      </c>
      <c r="F645" s="11">
        <v>34313</v>
      </c>
      <c r="G645" s="17" t="str">
        <f>VLOOKUP(B645, 'Catégorie des articles'!A:E, 4, FALSE)</f>
        <v>MIX LEGUMES</v>
      </c>
      <c r="H645" s="14">
        <f>IF(Tableau5[[#This Row],[Stock Moyen (UVC)]]&gt;0,1,0)</f>
        <v>1</v>
      </c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75" customHeight="1">
      <c r="A646" s="17">
        <v>202211</v>
      </c>
      <c r="B646" s="15">
        <v>5540246177376</v>
      </c>
      <c r="C646" s="11">
        <v>1692</v>
      </c>
      <c r="D646" s="11">
        <v>67936.276800000007</v>
      </c>
      <c r="E646" s="25">
        <f t="shared" si="10"/>
        <v>40.151463829787239</v>
      </c>
      <c r="F646" s="11">
        <v>1167</v>
      </c>
      <c r="G646" s="17" t="str">
        <f>VLOOKUP(B646, 'Catégorie des articles'!A:E, 4, FALSE)</f>
        <v>BOULANGERIE</v>
      </c>
      <c r="H646" s="14">
        <f>IF(Tableau5[[#This Row],[Stock Moyen (UVC)]]&gt;0,1,0)</f>
        <v>1</v>
      </c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75" customHeight="1">
      <c r="A647" s="17">
        <v>202211</v>
      </c>
      <c r="B647" s="15">
        <v>5540246180522</v>
      </c>
      <c r="C647" s="11">
        <v>1337</v>
      </c>
      <c r="D647" s="11">
        <v>25241.500800000002</v>
      </c>
      <c r="E647" s="25">
        <f t="shared" si="10"/>
        <v>18.879207778608826</v>
      </c>
      <c r="F647" s="11">
        <v>1722</v>
      </c>
      <c r="G647" s="17" t="str">
        <f>VLOOKUP(B647, 'Catégorie des articles'!A:E, 4, FALSE)</f>
        <v>BOULANGERIE</v>
      </c>
      <c r="H647" s="14">
        <f>IF(Tableau5[[#This Row],[Stock Moyen (UVC)]]&gt;0,1,0)</f>
        <v>1</v>
      </c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75" customHeight="1">
      <c r="A648" s="17">
        <v>202211</v>
      </c>
      <c r="B648" s="13">
        <v>5540246181016</v>
      </c>
      <c r="C648" s="8">
        <v>16788</v>
      </c>
      <c r="D648" s="8">
        <v>144075.11040000001</v>
      </c>
      <c r="E648" s="25">
        <f t="shared" si="10"/>
        <v>8.5820294496068623</v>
      </c>
      <c r="F648" s="8">
        <v>24110</v>
      </c>
      <c r="G648" s="17" t="str">
        <f>VLOOKUP(B648, 'Catégorie des articles'!A:E, 4, FALSE)</f>
        <v>VOLAILLE</v>
      </c>
      <c r="H648" s="14">
        <f>IF(Tableau5[[#This Row],[Stock Moyen (UVC)]]&gt;0,1,0)</f>
        <v>1</v>
      </c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75" customHeight="1">
      <c r="A649" s="17">
        <v>202211</v>
      </c>
      <c r="B649" s="15">
        <v>5540246181061</v>
      </c>
      <c r="C649" s="11">
        <v>76839</v>
      </c>
      <c r="D649" s="11">
        <v>108596.50560000002</v>
      </c>
      <c r="E649" s="25">
        <f t="shared" si="10"/>
        <v>1.4132993089446768</v>
      </c>
      <c r="F649" s="11">
        <v>87905</v>
      </c>
      <c r="G649" s="17" t="str">
        <f>VLOOKUP(B649, 'Catégorie des articles'!A:E, 4, FALSE)</f>
        <v>VOLAILLE</v>
      </c>
      <c r="H649" s="14">
        <f>IF(Tableau5[[#This Row],[Stock Moyen (UVC)]]&gt;0,1,0)</f>
        <v>1</v>
      </c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75" customHeight="1">
      <c r="A650" s="17">
        <v>202211</v>
      </c>
      <c r="B650" s="15">
        <v>5540246182684</v>
      </c>
      <c r="C650" s="11">
        <v>455</v>
      </c>
      <c r="D650" s="11">
        <v>22819.103999999999</v>
      </c>
      <c r="E650" s="25">
        <f t="shared" si="10"/>
        <v>50.151876923076919</v>
      </c>
      <c r="F650" s="11">
        <v>557</v>
      </c>
      <c r="G650" s="17" t="str">
        <f>VLOOKUP(B650, 'Catégorie des articles'!A:E, 4, FALSE)</f>
        <v>BOULANGERIE</v>
      </c>
      <c r="H650" s="14">
        <f>IF(Tableau5[[#This Row],[Stock Moyen (UVC)]]&gt;0,1,0)</f>
        <v>1</v>
      </c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75" customHeight="1">
      <c r="A651" s="17">
        <v>202211</v>
      </c>
      <c r="B651" s="15">
        <v>5540246183130</v>
      </c>
      <c r="C651" s="11">
        <v>5680</v>
      </c>
      <c r="D651" s="11">
        <v>24048.36</v>
      </c>
      <c r="E651" s="25">
        <f t="shared" si="10"/>
        <v>4.2338661971830991</v>
      </c>
      <c r="F651" s="11">
        <v>8666</v>
      </c>
      <c r="G651" s="17" t="str">
        <f>VLOOKUP(B651, 'Catégorie des articles'!A:E, 4, FALSE)</f>
        <v>MIX LEGUMES</v>
      </c>
      <c r="H651" s="14">
        <f>IF(Tableau5[[#This Row],[Stock Moyen (UVC)]]&gt;0,1,0)</f>
        <v>1</v>
      </c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75" customHeight="1">
      <c r="A652" s="17">
        <v>202211</v>
      </c>
      <c r="B652" s="15">
        <v>5540246183455</v>
      </c>
      <c r="C652" s="11">
        <v>1044</v>
      </c>
      <c r="D652" s="11">
        <v>8353.3680000000004</v>
      </c>
      <c r="E652" s="25">
        <f t="shared" si="10"/>
        <v>8.0013103448275871</v>
      </c>
      <c r="F652" s="11">
        <v>627</v>
      </c>
      <c r="G652" s="17" t="str">
        <f>VLOOKUP(B652, 'Catégorie des articles'!A:E, 4, FALSE)</f>
        <v>MIX LEGUMES</v>
      </c>
      <c r="H652" s="14">
        <f>IF(Tableau5[[#This Row],[Stock Moyen (UVC)]]&gt;0,1,0)</f>
        <v>1</v>
      </c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75" customHeight="1">
      <c r="A653" s="17">
        <v>202211</v>
      </c>
      <c r="B653" s="15">
        <v>5540246183537</v>
      </c>
      <c r="C653" s="11">
        <v>6478</v>
      </c>
      <c r="D653" s="11">
        <v>9106.387200000001</v>
      </c>
      <c r="E653" s="25">
        <f t="shared" si="10"/>
        <v>1.4057405372028406</v>
      </c>
      <c r="F653" s="11">
        <v>3731</v>
      </c>
      <c r="G653" s="17" t="str">
        <f>VLOOKUP(B653, 'Catégorie des articles'!A:E, 4, FALSE)</f>
        <v>MIX LEGUMES</v>
      </c>
      <c r="H653" s="14">
        <f>IF(Tableau5[[#This Row],[Stock Moyen (UVC)]]&gt;0,1,0)</f>
        <v>1</v>
      </c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75" customHeight="1">
      <c r="A654" s="17">
        <v>202211</v>
      </c>
      <c r="B654" s="13">
        <v>5540246183538</v>
      </c>
      <c r="C654" s="8">
        <v>5160</v>
      </c>
      <c r="D654" s="8">
        <v>7686.1440000000011</v>
      </c>
      <c r="E654" s="25">
        <f t="shared" si="10"/>
        <v>1.4895627906976747</v>
      </c>
      <c r="F654" s="8">
        <v>4288</v>
      </c>
      <c r="G654" s="17" t="str">
        <f>VLOOKUP(B654, 'Catégorie des articles'!A:E, 4, FALSE)</f>
        <v>MIX LEGUMES</v>
      </c>
      <c r="H654" s="14">
        <f>IF(Tableau5[[#This Row],[Stock Moyen (UVC)]]&gt;0,1,0)</f>
        <v>1</v>
      </c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75" customHeight="1">
      <c r="A655" s="17">
        <v>202211</v>
      </c>
      <c r="B655" s="15">
        <v>5540246183541</v>
      </c>
      <c r="C655" s="11">
        <v>766</v>
      </c>
      <c r="D655" s="11">
        <v>6899.9040000000005</v>
      </c>
      <c r="E655" s="25">
        <f t="shared" si="10"/>
        <v>9.0077075718015678</v>
      </c>
      <c r="F655" s="11">
        <v>1439</v>
      </c>
      <c r="G655" s="17" t="str">
        <f>VLOOKUP(B655, 'Catégorie des articles'!A:E, 4, FALSE)</f>
        <v>MIX LEGUMES</v>
      </c>
      <c r="H655" s="14">
        <f>IF(Tableau5[[#This Row],[Stock Moyen (UVC)]]&gt;0,1,0)</f>
        <v>1</v>
      </c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75" customHeight="1">
      <c r="A656" s="17">
        <v>202211</v>
      </c>
      <c r="B656" s="13">
        <v>5540246183542</v>
      </c>
      <c r="C656" s="8">
        <v>1972</v>
      </c>
      <c r="D656" s="8">
        <v>5544.72</v>
      </c>
      <c r="E656" s="25">
        <f t="shared" si="10"/>
        <v>2.8117241379310345</v>
      </c>
      <c r="F656" s="8">
        <v>859</v>
      </c>
      <c r="G656" s="17" t="str">
        <f>VLOOKUP(B656, 'Catégorie des articles'!A:E, 4, FALSE)</f>
        <v>MIX LEGUMES</v>
      </c>
      <c r="H656" s="14">
        <f>IF(Tableau5[[#This Row],[Stock Moyen (UVC)]]&gt;0,1,0)</f>
        <v>1</v>
      </c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75" customHeight="1">
      <c r="A657" s="17">
        <v>202211</v>
      </c>
      <c r="B657" s="13">
        <v>5540246183547</v>
      </c>
      <c r="C657" s="8">
        <v>0</v>
      </c>
      <c r="D657" s="8">
        <v>0</v>
      </c>
      <c r="E657" s="25" t="str">
        <f t="shared" si="10"/>
        <v/>
      </c>
      <c r="F657" s="8">
        <v>14814</v>
      </c>
      <c r="G657" s="17" t="str">
        <f>VLOOKUP(B657, 'Catégorie des articles'!A:E, 4, FALSE)</f>
        <v>VOLAILLE</v>
      </c>
      <c r="H657" s="14">
        <f>IF(Tableau5[[#This Row],[Stock Moyen (UVC)]]&gt;0,1,0)</f>
        <v>0</v>
      </c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75" customHeight="1">
      <c r="A658" s="17">
        <v>202211</v>
      </c>
      <c r="B658" s="13">
        <v>5540246183552</v>
      </c>
      <c r="C658" s="8">
        <v>1541</v>
      </c>
      <c r="D658" s="8">
        <v>2839.7952</v>
      </c>
      <c r="E658" s="25">
        <f t="shared" si="10"/>
        <v>1.842826216742375</v>
      </c>
      <c r="F658" s="8">
        <v>223</v>
      </c>
      <c r="G658" s="17" t="str">
        <f>VLOOKUP(B658, 'Catégorie des articles'!A:E, 4, FALSE)</f>
        <v>MIX LEGUMES</v>
      </c>
      <c r="H658" s="14">
        <f>IF(Tableau5[[#This Row],[Stock Moyen (UVC)]]&gt;0,1,0)</f>
        <v>1</v>
      </c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75" customHeight="1">
      <c r="A659" s="17">
        <v>202211</v>
      </c>
      <c r="B659" s="15">
        <v>5540246183554</v>
      </c>
      <c r="C659" s="11">
        <v>1490</v>
      </c>
      <c r="D659" s="11">
        <v>11193.595200000002</v>
      </c>
      <c r="E659" s="25">
        <f t="shared" si="10"/>
        <v>7.5124800000000009</v>
      </c>
      <c r="F659" s="11">
        <v>84</v>
      </c>
      <c r="G659" s="17" t="str">
        <f>VLOOKUP(B659, 'Catégorie des articles'!A:E, 4, FALSE)</f>
        <v>MIX LEGUMES</v>
      </c>
      <c r="H659" s="14">
        <f>IF(Tableau5[[#This Row],[Stock Moyen (UVC)]]&gt;0,1,0)</f>
        <v>1</v>
      </c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75" customHeight="1">
      <c r="A660" s="17">
        <v>202211</v>
      </c>
      <c r="B660" s="13">
        <v>5540246183555</v>
      </c>
      <c r="C660" s="8">
        <v>2098</v>
      </c>
      <c r="D660" s="8">
        <v>2803.9824000000003</v>
      </c>
      <c r="E660" s="25">
        <f t="shared" si="10"/>
        <v>1.3365025738798857</v>
      </c>
      <c r="F660" s="8">
        <v>1522</v>
      </c>
      <c r="G660" s="17" t="str">
        <f>VLOOKUP(B660, 'Catégorie des articles'!A:E, 4, FALSE)</f>
        <v>MIX LEGUMES</v>
      </c>
      <c r="H660" s="14">
        <f>IF(Tableau5[[#This Row],[Stock Moyen (UVC)]]&gt;0,1,0)</f>
        <v>1</v>
      </c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75" customHeight="1">
      <c r="A661" s="17">
        <v>202211</v>
      </c>
      <c r="B661" s="15">
        <v>5540246183558</v>
      </c>
      <c r="C661" s="11">
        <v>4190</v>
      </c>
      <c r="D661" s="11">
        <v>23093.683200000003</v>
      </c>
      <c r="E661" s="25">
        <f t="shared" si="10"/>
        <v>5.5116189021479718</v>
      </c>
      <c r="F661" s="11">
        <v>6496</v>
      </c>
      <c r="G661" s="17" t="str">
        <f>VLOOKUP(B661, 'Catégorie des articles'!A:E, 4, FALSE)</f>
        <v>MIX LEGUMES</v>
      </c>
      <c r="H661" s="14">
        <f>IF(Tableau5[[#This Row],[Stock Moyen (UVC)]]&gt;0,1,0)</f>
        <v>1</v>
      </c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75" customHeight="1">
      <c r="A662" s="17">
        <v>202211</v>
      </c>
      <c r="B662" s="13">
        <v>5540246183560</v>
      </c>
      <c r="C662" s="8">
        <v>290</v>
      </c>
      <c r="D662" s="8">
        <v>7074.0000000000009</v>
      </c>
      <c r="E662" s="25">
        <f t="shared" si="10"/>
        <v>24.393103448275866</v>
      </c>
      <c r="F662" s="8">
        <v>288</v>
      </c>
      <c r="G662" s="17" t="str">
        <f>VLOOKUP(B662, 'Catégorie des articles'!A:E, 4, FALSE)</f>
        <v>MIX LEGUMES</v>
      </c>
      <c r="H662" s="14">
        <f>IF(Tableau5[[#This Row],[Stock Moyen (UVC)]]&gt;0,1,0)</f>
        <v>1</v>
      </c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75" customHeight="1">
      <c r="A663" s="17">
        <v>202211</v>
      </c>
      <c r="B663" s="15">
        <v>5540246183587</v>
      </c>
      <c r="C663" s="11">
        <v>926</v>
      </c>
      <c r="D663" s="11">
        <v>19494.820800000001</v>
      </c>
      <c r="E663" s="25">
        <f t="shared" si="10"/>
        <v>21.052722246220302</v>
      </c>
      <c r="F663" s="11">
        <v>759</v>
      </c>
      <c r="G663" s="17" t="str">
        <f>VLOOKUP(B663, 'Catégorie des articles'!A:E, 4, FALSE)</f>
        <v>MIX LEGUMES</v>
      </c>
      <c r="H663" s="14">
        <f>IF(Tableau5[[#This Row],[Stock Moyen (UVC)]]&gt;0,1,0)</f>
        <v>1</v>
      </c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75" customHeight="1">
      <c r="A664" s="17">
        <v>202211</v>
      </c>
      <c r="B664" s="13">
        <v>5540246183589</v>
      </c>
      <c r="C664" s="8">
        <v>882</v>
      </c>
      <c r="D664" s="8">
        <v>11622.528000000002</v>
      </c>
      <c r="E664" s="25">
        <f t="shared" si="10"/>
        <v>13.177469387755105</v>
      </c>
      <c r="F664" s="8">
        <v>1764</v>
      </c>
      <c r="G664" s="17" t="str">
        <f>VLOOKUP(B664, 'Catégorie des articles'!A:E, 4, FALSE)</f>
        <v>MIX LEGUMES</v>
      </c>
      <c r="H664" s="14">
        <f>IF(Tableau5[[#This Row],[Stock Moyen (UVC)]]&gt;0,1,0)</f>
        <v>1</v>
      </c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75" customHeight="1">
      <c r="A665" s="17">
        <v>202211</v>
      </c>
      <c r="B665" s="15">
        <v>5540246183844</v>
      </c>
      <c r="C665" s="11">
        <v>471</v>
      </c>
      <c r="D665" s="11">
        <v>13592.880000000001</v>
      </c>
      <c r="E665" s="25">
        <f t="shared" si="10"/>
        <v>28.859617834394907</v>
      </c>
      <c r="F665" s="11">
        <v>455</v>
      </c>
      <c r="G665" s="17" t="str">
        <f>VLOOKUP(B665, 'Catégorie des articles'!A:E, 4, FALSE)</f>
        <v>BOULANGERIE</v>
      </c>
      <c r="H665" s="14">
        <f>IF(Tableau5[[#This Row],[Stock Moyen (UVC)]]&gt;0,1,0)</f>
        <v>1</v>
      </c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75" customHeight="1">
      <c r="A666" s="17">
        <v>202211</v>
      </c>
      <c r="B666" s="15">
        <v>5540246184036</v>
      </c>
      <c r="C666" s="11">
        <v>72</v>
      </c>
      <c r="D666" s="11">
        <v>1348.3152000000002</v>
      </c>
      <c r="E666" s="25">
        <f t="shared" si="10"/>
        <v>18.726600000000005</v>
      </c>
      <c r="F666" s="11">
        <v>65</v>
      </c>
      <c r="G666" s="17" t="str">
        <f>VLOOKUP(B666, 'Catégorie des articles'!A:E, 4, FALSE)</f>
        <v>BOULANGERIE</v>
      </c>
      <c r="H666" s="14">
        <f>IF(Tableau5[[#This Row],[Stock Moyen (UVC)]]&gt;0,1,0)</f>
        <v>1</v>
      </c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75" customHeight="1">
      <c r="A667" s="17">
        <v>202211</v>
      </c>
      <c r="B667" s="13">
        <v>5540246185278</v>
      </c>
      <c r="C667" s="8">
        <v>78498</v>
      </c>
      <c r="D667" s="8">
        <v>109479.25440000001</v>
      </c>
      <c r="E667" s="25">
        <f t="shared" si="10"/>
        <v>1.3946757165787664</v>
      </c>
      <c r="F667" s="8">
        <v>82073</v>
      </c>
      <c r="G667" s="17" t="str">
        <f>VLOOKUP(B667, 'Catégorie des articles'!A:E, 4, FALSE)</f>
        <v>VOLAILLE</v>
      </c>
      <c r="H667" s="14">
        <f>IF(Tableau5[[#This Row],[Stock Moyen (UVC)]]&gt;0,1,0)</f>
        <v>1</v>
      </c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75" customHeight="1">
      <c r="A668" s="17">
        <v>202211</v>
      </c>
      <c r="B668" s="15">
        <v>5540246185429</v>
      </c>
      <c r="C668" s="11">
        <v>56</v>
      </c>
      <c r="D668" s="11">
        <v>294.45120000000003</v>
      </c>
      <c r="E668" s="25">
        <f t="shared" si="10"/>
        <v>5.258057142857143</v>
      </c>
      <c r="F668" s="11">
        <v>307</v>
      </c>
      <c r="G668" s="17" t="str">
        <f>VLOOKUP(B668, 'Catégorie des articles'!A:E, 4, FALSE)</f>
        <v>CREMERIE</v>
      </c>
      <c r="H668" s="14">
        <f>IF(Tableau5[[#This Row],[Stock Moyen (UVC)]]&gt;0,1,0)</f>
        <v>1</v>
      </c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75" customHeight="1">
      <c r="A669" s="17">
        <v>202211</v>
      </c>
      <c r="B669" s="15">
        <v>5540246185562</v>
      </c>
      <c r="C669" s="11">
        <v>265</v>
      </c>
      <c r="D669" s="11">
        <v>768.26880000000006</v>
      </c>
      <c r="E669" s="25">
        <f t="shared" si="10"/>
        <v>2.8991275471698117</v>
      </c>
      <c r="F669" s="11">
        <v>362</v>
      </c>
      <c r="G669" s="17" t="str">
        <f>VLOOKUP(B669, 'Catégorie des articles'!A:E, 4, FALSE)</f>
        <v>CREMERIE</v>
      </c>
      <c r="H669" s="14">
        <f>IF(Tableau5[[#This Row],[Stock Moyen (UVC)]]&gt;0,1,0)</f>
        <v>1</v>
      </c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75" customHeight="1">
      <c r="A670" s="17">
        <v>202211</v>
      </c>
      <c r="B670" s="13">
        <v>5540246186010</v>
      </c>
      <c r="C670" s="8">
        <v>86</v>
      </c>
      <c r="D670" s="8">
        <v>12644.942400000002</v>
      </c>
      <c r="E670" s="25">
        <f t="shared" si="10"/>
        <v>147.0342139534884</v>
      </c>
      <c r="F670" s="8">
        <v>17</v>
      </c>
      <c r="G670" s="17" t="str">
        <f>VLOOKUP(B670, 'Catégorie des articles'!A:E, 4, FALSE)</f>
        <v>EMBALLAGES</v>
      </c>
      <c r="H670" s="14">
        <f>IF(Tableau5[[#This Row],[Stock Moyen (UVC)]]&gt;0,1,0)</f>
        <v>1</v>
      </c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75" customHeight="1">
      <c r="A671" s="17">
        <v>202211</v>
      </c>
      <c r="B671" s="15">
        <v>5540246186011</v>
      </c>
      <c r="C671" s="11">
        <v>79</v>
      </c>
      <c r="D671" s="11">
        <v>4491.5904</v>
      </c>
      <c r="E671" s="25">
        <f t="shared" si="10"/>
        <v>56.855574683544305</v>
      </c>
      <c r="F671" s="11">
        <v>17</v>
      </c>
      <c r="G671" s="17" t="str">
        <f>VLOOKUP(B671, 'Catégorie des articles'!A:E, 4, FALSE)</f>
        <v>EMBALLAGES</v>
      </c>
      <c r="H671" s="14">
        <f>IF(Tableau5[[#This Row],[Stock Moyen (UVC)]]&gt;0,1,0)</f>
        <v>1</v>
      </c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75" customHeight="1">
      <c r="A672" s="17">
        <v>202211</v>
      </c>
      <c r="B672" s="13">
        <v>5540246186017</v>
      </c>
      <c r="C672" s="8">
        <v>52</v>
      </c>
      <c r="D672" s="8">
        <v>5403.974400000001</v>
      </c>
      <c r="E672" s="25">
        <f t="shared" si="10"/>
        <v>103.92258461538464</v>
      </c>
      <c r="F672" s="8">
        <v>7</v>
      </c>
      <c r="G672" s="17" t="str">
        <f>VLOOKUP(B672, 'Catégorie des articles'!A:E, 4, FALSE)</f>
        <v>EMBALLAGES</v>
      </c>
      <c r="H672" s="14">
        <f>IF(Tableau5[[#This Row],[Stock Moyen (UVC)]]&gt;0,1,0)</f>
        <v>1</v>
      </c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75" customHeight="1">
      <c r="A673" s="17">
        <v>202211</v>
      </c>
      <c r="B673" s="15">
        <v>5540246186325</v>
      </c>
      <c r="C673" s="11">
        <v>279</v>
      </c>
      <c r="D673" s="11">
        <v>684.28800000000012</v>
      </c>
      <c r="E673" s="25">
        <f t="shared" si="10"/>
        <v>2.4526451612903228</v>
      </c>
      <c r="F673" s="11">
        <v>655</v>
      </c>
      <c r="G673" s="17" t="str">
        <f>VLOOKUP(B673, 'Catégorie des articles'!A:E, 4, FALSE)</f>
        <v>CREMERIE</v>
      </c>
      <c r="H673" s="14">
        <f>IF(Tableau5[[#This Row],[Stock Moyen (UVC)]]&gt;0,1,0)</f>
        <v>1</v>
      </c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75" customHeight="1">
      <c r="A674" s="17">
        <v>202211</v>
      </c>
      <c r="B674" s="13">
        <v>5540246186351</v>
      </c>
      <c r="C674" s="8">
        <v>1107</v>
      </c>
      <c r="D674" s="8">
        <v>65590.171199999997</v>
      </c>
      <c r="E674" s="25">
        <f t="shared" si="10"/>
        <v>59.250380487804875</v>
      </c>
      <c r="F674" s="8">
        <v>188</v>
      </c>
      <c r="G674" s="17" t="str">
        <f>VLOOKUP(B674, 'Catégorie des articles'!A:E, 4, FALSE)</f>
        <v>MIX LEGUMES</v>
      </c>
      <c r="H674" s="14">
        <f>IF(Tableau5[[#This Row],[Stock Moyen (UVC)]]&gt;0,1,0)</f>
        <v>1</v>
      </c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75" customHeight="1">
      <c r="A675" s="17">
        <v>202211</v>
      </c>
      <c r="B675" s="15">
        <v>5540246186352</v>
      </c>
      <c r="C675" s="11">
        <v>4037</v>
      </c>
      <c r="D675" s="11">
        <v>42469.920000000006</v>
      </c>
      <c r="E675" s="25">
        <f t="shared" si="10"/>
        <v>10.520168441912313</v>
      </c>
      <c r="F675" s="11">
        <v>1996</v>
      </c>
      <c r="G675" s="17" t="str">
        <f>VLOOKUP(B675, 'Catégorie des articles'!A:E, 4, FALSE)</f>
        <v>MIX LEGUMES</v>
      </c>
      <c r="H675" s="14">
        <f>IF(Tableau5[[#This Row],[Stock Moyen (UVC)]]&gt;0,1,0)</f>
        <v>1</v>
      </c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75" customHeight="1">
      <c r="A676" s="17">
        <v>202211</v>
      </c>
      <c r="B676" s="13">
        <v>5540246187882</v>
      </c>
      <c r="C676" s="8">
        <v>40</v>
      </c>
      <c r="D676" s="8">
        <v>1512.9936000000002</v>
      </c>
      <c r="E676" s="25">
        <f t="shared" si="10"/>
        <v>37.824840000000009</v>
      </c>
      <c r="F676" s="8">
        <v>7</v>
      </c>
      <c r="G676" s="17" t="str">
        <f>VLOOKUP(B676, 'Catégorie des articles'!A:E, 4, FALSE)</f>
        <v>EMBALLAGES</v>
      </c>
      <c r="H676" s="14">
        <f>IF(Tableau5[[#This Row],[Stock Moyen (UVC)]]&gt;0,1,0)</f>
        <v>1</v>
      </c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75" customHeight="1">
      <c r="A677" s="17">
        <v>202211</v>
      </c>
      <c r="B677" s="15">
        <v>5540246187987</v>
      </c>
      <c r="C677" s="11">
        <v>2395</v>
      </c>
      <c r="D677" s="11">
        <v>1190.3328000000001</v>
      </c>
      <c r="E677" s="25">
        <f t="shared" si="10"/>
        <v>0.49700743215031323</v>
      </c>
      <c r="F677" s="11">
        <v>60859</v>
      </c>
      <c r="G677" s="17" t="str">
        <f>VLOOKUP(B677, 'Catégorie des articles'!A:E, 4, FALSE)</f>
        <v>CREMERIE</v>
      </c>
      <c r="H677" s="14">
        <f>IF(Tableau5[[#This Row],[Stock Moyen (UVC)]]&gt;0,1,0)</f>
        <v>1</v>
      </c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>
      <c r="A678" s="17">
        <v>202211</v>
      </c>
      <c r="B678" s="13">
        <v>5540246187995</v>
      </c>
      <c r="C678" s="8">
        <v>1889</v>
      </c>
      <c r="D678" s="8">
        <v>165661.37280000001</v>
      </c>
      <c r="E678" s="25">
        <f t="shared" si="10"/>
        <v>87.697921016410803</v>
      </c>
      <c r="F678" s="8">
        <v>1469</v>
      </c>
      <c r="G678" s="17" t="str">
        <f>VLOOKUP(B678, 'Catégorie des articles'!A:E, 4, FALSE)</f>
        <v>EMBALLAGES</v>
      </c>
      <c r="H678" s="14">
        <f>IF(Tableau5[[#This Row],[Stock Moyen (UVC)]]&gt;0,1,0)</f>
        <v>1</v>
      </c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>
      <c r="A679" s="17">
        <v>202211</v>
      </c>
      <c r="B679" s="15">
        <v>5540246187996</v>
      </c>
      <c r="C679" s="11">
        <v>272</v>
      </c>
      <c r="D679" s="11">
        <v>12550.075200000001</v>
      </c>
      <c r="E679" s="25">
        <f t="shared" si="10"/>
        <v>46.139982352941182</v>
      </c>
      <c r="F679" s="11">
        <v>24</v>
      </c>
      <c r="G679" s="17" t="str">
        <f>VLOOKUP(B679, 'Catégorie des articles'!A:E, 4, FALSE)</f>
        <v>EMBALLAGES</v>
      </c>
      <c r="H679" s="14">
        <f>IF(Tableau5[[#This Row],[Stock Moyen (UVC)]]&gt;0,1,0)</f>
        <v>1</v>
      </c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>
      <c r="A680" s="17">
        <v>202211</v>
      </c>
      <c r="B680" s="13">
        <v>5540246187997</v>
      </c>
      <c r="C680" s="8">
        <v>286</v>
      </c>
      <c r="D680" s="8">
        <v>14256.388800000002</v>
      </c>
      <c r="E680" s="25">
        <f t="shared" si="10"/>
        <v>49.847513286713294</v>
      </c>
      <c r="F680" s="8">
        <v>128</v>
      </c>
      <c r="G680" s="17" t="str">
        <f>VLOOKUP(B680, 'Catégorie des articles'!A:E, 4, FALSE)</f>
        <v>EMBALLAGES</v>
      </c>
      <c r="H680" s="14">
        <f>IF(Tableau5[[#This Row],[Stock Moyen (UVC)]]&gt;0,1,0)</f>
        <v>1</v>
      </c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75" customHeight="1">
      <c r="A681" s="17">
        <v>202211</v>
      </c>
      <c r="B681" s="15">
        <v>5540246187998</v>
      </c>
      <c r="C681" s="11">
        <v>1126</v>
      </c>
      <c r="D681" s="11">
        <v>57848.472000000009</v>
      </c>
      <c r="E681" s="25">
        <f t="shared" si="10"/>
        <v>51.375197158081711</v>
      </c>
      <c r="F681" s="11">
        <v>462</v>
      </c>
      <c r="G681" s="17" t="str">
        <f>VLOOKUP(B681, 'Catégorie des articles'!A:E, 4, FALSE)</f>
        <v>EMBALLAGES</v>
      </c>
      <c r="H681" s="14">
        <f>IF(Tableau5[[#This Row],[Stock Moyen (UVC)]]&gt;0,1,0)</f>
        <v>1</v>
      </c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>
      <c r="A682" s="17">
        <v>202211</v>
      </c>
      <c r="B682" s="15">
        <v>5540246188047</v>
      </c>
      <c r="C682" s="11">
        <v>195</v>
      </c>
      <c r="D682" s="11">
        <v>23739.6096</v>
      </c>
      <c r="E682" s="25">
        <f t="shared" si="10"/>
        <v>121.74158769230769</v>
      </c>
      <c r="F682" s="11">
        <v>38</v>
      </c>
      <c r="G682" s="17" t="str">
        <f>VLOOKUP(B682, 'Catégorie des articles'!A:E, 4, FALSE)</f>
        <v>EMBALLAGES</v>
      </c>
      <c r="H682" s="14">
        <f>IF(Tableau5[[#This Row],[Stock Moyen (UVC)]]&gt;0,1,0)</f>
        <v>1</v>
      </c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>
      <c r="A683" s="17">
        <v>202211</v>
      </c>
      <c r="B683" s="13">
        <v>5540246188175</v>
      </c>
      <c r="C683" s="8">
        <v>93</v>
      </c>
      <c r="D683" s="8">
        <v>2697.7536000000005</v>
      </c>
      <c r="E683" s="25">
        <f t="shared" si="10"/>
        <v>29.008103225806458</v>
      </c>
      <c r="F683" s="8">
        <v>632</v>
      </c>
      <c r="G683" s="17" t="str">
        <f>VLOOKUP(B683, 'Catégorie des articles'!A:E, 4, FALSE)</f>
        <v>CREMERIE</v>
      </c>
      <c r="H683" s="14">
        <f>IF(Tableau5[[#This Row],[Stock Moyen (UVC)]]&gt;0,1,0)</f>
        <v>1</v>
      </c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>
      <c r="A684" s="17">
        <v>202211</v>
      </c>
      <c r="B684" s="13">
        <v>5540246188200</v>
      </c>
      <c r="C684" s="8">
        <v>2265</v>
      </c>
      <c r="D684" s="8">
        <v>4250.0591999999997</v>
      </c>
      <c r="E684" s="25">
        <f t="shared" si="10"/>
        <v>1.8764058278145694</v>
      </c>
      <c r="F684" s="8">
        <v>20194</v>
      </c>
      <c r="G684" s="17" t="str">
        <f>VLOOKUP(B684, 'Catégorie des articles'!A:E, 4, FALSE)</f>
        <v>CREMERIE</v>
      </c>
      <c r="H684" s="14">
        <f>IF(Tableau5[[#This Row],[Stock Moyen (UVC)]]&gt;0,1,0)</f>
        <v>1</v>
      </c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>
      <c r="A685" s="17">
        <v>202211</v>
      </c>
      <c r="B685" s="15">
        <v>5540246188512</v>
      </c>
      <c r="C685" s="11">
        <v>323</v>
      </c>
      <c r="D685" s="11">
        <v>44207.337600000006</v>
      </c>
      <c r="E685" s="25">
        <f t="shared" si="10"/>
        <v>136.86482229102168</v>
      </c>
      <c r="F685" s="11">
        <v>0</v>
      </c>
      <c r="G685" s="17" t="str">
        <f>VLOOKUP(B685, 'Catégorie des articles'!A:E, 4, FALSE)</f>
        <v>EMBALLAGES</v>
      </c>
      <c r="H685" s="14">
        <f>IF(Tableau5[[#This Row],[Stock Moyen (UVC)]]&gt;0,1,0)</f>
        <v>1</v>
      </c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75" customHeight="1">
      <c r="A686" s="17">
        <v>202211</v>
      </c>
      <c r="B686" s="13">
        <v>5540246190092</v>
      </c>
      <c r="C686" s="8">
        <v>307</v>
      </c>
      <c r="D686" s="8">
        <v>40035.988800000006</v>
      </c>
      <c r="E686" s="25">
        <f t="shared" si="10"/>
        <v>130.41038697068407</v>
      </c>
      <c r="F686" s="8">
        <v>35</v>
      </c>
      <c r="G686" s="17" t="str">
        <f>VLOOKUP(B686, 'Catégorie des articles'!A:E, 4, FALSE)</f>
        <v>EMBALLAGES</v>
      </c>
      <c r="H686" s="14">
        <f>IF(Tableau5[[#This Row],[Stock Moyen (UVC)]]&gt;0,1,0)</f>
        <v>1</v>
      </c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2.75" customHeight="1">
      <c r="A687" s="17">
        <v>202211</v>
      </c>
      <c r="B687" s="15">
        <v>5540246190727</v>
      </c>
      <c r="C687" s="11">
        <v>1033</v>
      </c>
      <c r="D687" s="11">
        <v>11667.067200000001</v>
      </c>
      <c r="E687" s="25">
        <f t="shared" si="10"/>
        <v>11.294353533397871</v>
      </c>
      <c r="F687" s="11">
        <v>952</v>
      </c>
      <c r="G687" s="17" t="str">
        <f>VLOOKUP(B687, 'Catégorie des articles'!A:E, 4, FALSE)</f>
        <v>BOULANGERIE</v>
      </c>
      <c r="H687" s="14">
        <f>IF(Tableau5[[#This Row],[Stock Moyen (UVC)]]&gt;0,1,0)</f>
        <v>1</v>
      </c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2.75" customHeight="1">
      <c r="A688" s="17">
        <v>202211</v>
      </c>
      <c r="B688" s="15">
        <v>5540246190743</v>
      </c>
      <c r="C688" s="11">
        <v>335</v>
      </c>
      <c r="D688" s="11">
        <v>2836.6848</v>
      </c>
      <c r="E688" s="25">
        <f t="shared" si="10"/>
        <v>8.4677158208955223</v>
      </c>
      <c r="F688" s="11">
        <v>543</v>
      </c>
      <c r="G688" s="17" t="str">
        <f>VLOOKUP(B688, 'Catégorie des articles'!A:E, 4, FALSE)</f>
        <v>CREMERIE</v>
      </c>
      <c r="H688" s="14">
        <f>IF(Tableau5[[#This Row],[Stock Moyen (UVC)]]&gt;0,1,0)</f>
        <v>1</v>
      </c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2.75" customHeight="1">
      <c r="A689" s="17">
        <v>202211</v>
      </c>
      <c r="B689" s="15">
        <v>5540246190831</v>
      </c>
      <c r="C689" s="11">
        <v>580</v>
      </c>
      <c r="D689" s="11">
        <v>4364.2800000000007</v>
      </c>
      <c r="E689" s="25">
        <f t="shared" si="10"/>
        <v>7.5246206896551735</v>
      </c>
      <c r="F689" s="11">
        <v>0</v>
      </c>
      <c r="G689" s="17" t="str">
        <f>VLOOKUP(B689, 'Catégorie des articles'!A:E, 4, FALSE)</f>
        <v>MIX LEGUMES</v>
      </c>
      <c r="H689" s="14">
        <f>IF(Tableau5[[#This Row],[Stock Moyen (UVC)]]&gt;0,1,0)</f>
        <v>1</v>
      </c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2.75" customHeight="1">
      <c r="A690" s="17">
        <v>202211</v>
      </c>
      <c r="B690" s="13">
        <v>5540246190835</v>
      </c>
      <c r="C690" s="8">
        <v>79</v>
      </c>
      <c r="D690" s="8">
        <v>16673.817600000002</v>
      </c>
      <c r="E690" s="25">
        <f t="shared" si="10"/>
        <v>211.06098227848105</v>
      </c>
      <c r="F690" s="8">
        <v>28</v>
      </c>
      <c r="G690" s="17" t="str">
        <f>VLOOKUP(B690, 'Catégorie des articles'!A:E, 4, FALSE)</f>
        <v>BOULANGERIE</v>
      </c>
      <c r="H690" s="14">
        <f>IF(Tableau5[[#This Row],[Stock Moyen (UVC)]]&gt;0,1,0)</f>
        <v>1</v>
      </c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2.75" customHeight="1">
      <c r="A691" s="17">
        <v>202211</v>
      </c>
      <c r="B691" s="15">
        <v>5540246191394</v>
      </c>
      <c r="C691" s="11">
        <v>1740</v>
      </c>
      <c r="D691" s="11">
        <v>9292.32</v>
      </c>
      <c r="E691" s="25">
        <f t="shared" si="10"/>
        <v>5.3404137931034485</v>
      </c>
      <c r="F691" s="11">
        <v>232</v>
      </c>
      <c r="G691" s="17" t="str">
        <f>VLOOKUP(B691, 'Catégorie des articles'!A:E, 4, FALSE)</f>
        <v>CREMERIE</v>
      </c>
      <c r="H691" s="14">
        <f>IF(Tableau5[[#This Row],[Stock Moyen (UVC)]]&gt;0,1,0)</f>
        <v>1</v>
      </c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2.75" customHeight="1">
      <c r="A692" s="17">
        <v>202211</v>
      </c>
      <c r="B692" s="15">
        <v>5540246191594</v>
      </c>
      <c r="C692" s="11">
        <v>1504</v>
      </c>
      <c r="D692" s="11">
        <v>2698.5744</v>
      </c>
      <c r="E692" s="25">
        <f t="shared" si="10"/>
        <v>1.7942648936170214</v>
      </c>
      <c r="F692" s="11">
        <v>3007</v>
      </c>
      <c r="G692" s="17" t="str">
        <f>VLOOKUP(B692, 'Catégorie des articles'!A:E, 4, FALSE)</f>
        <v>CREMERIE</v>
      </c>
      <c r="H692" s="14">
        <f>IF(Tableau5[[#This Row],[Stock Moyen (UVC)]]&gt;0,1,0)</f>
        <v>1</v>
      </c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2.75" customHeight="1">
      <c r="A693" s="17">
        <v>202211</v>
      </c>
      <c r="B693" s="13">
        <v>5540246191596</v>
      </c>
      <c r="C693" s="8">
        <v>330</v>
      </c>
      <c r="D693" s="8">
        <v>20022.681600000004</v>
      </c>
      <c r="E693" s="25">
        <f t="shared" si="10"/>
        <v>60.674792727272738</v>
      </c>
      <c r="F693" s="8">
        <v>184</v>
      </c>
      <c r="G693" s="17" t="str">
        <f>VLOOKUP(B693, 'Catégorie des articles'!A:E, 4, FALSE)</f>
        <v>BOULANGERIE</v>
      </c>
      <c r="H693" s="14">
        <f>IF(Tableau5[[#This Row],[Stock Moyen (UVC)]]&gt;0,1,0)</f>
        <v>1</v>
      </c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2.75" customHeight="1">
      <c r="A694" s="17">
        <v>202211</v>
      </c>
      <c r="B694" s="15">
        <v>5540246191598</v>
      </c>
      <c r="C694" s="11">
        <v>1601</v>
      </c>
      <c r="D694" s="11">
        <v>3061.2816000000003</v>
      </c>
      <c r="E694" s="25">
        <f t="shared" si="10"/>
        <v>1.9121059337913806</v>
      </c>
      <c r="F694" s="11">
        <v>6404</v>
      </c>
      <c r="G694" s="17" t="str">
        <f>VLOOKUP(B694, 'Catégorie des articles'!A:E, 4, FALSE)</f>
        <v>CREMERIE</v>
      </c>
      <c r="H694" s="14">
        <f>IF(Tableau5[[#This Row],[Stock Moyen (UVC)]]&gt;0,1,0)</f>
        <v>1</v>
      </c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75" customHeight="1">
      <c r="A695" s="17">
        <v>202211</v>
      </c>
      <c r="B695" s="13">
        <v>5540246191718</v>
      </c>
      <c r="C695" s="8">
        <v>1754</v>
      </c>
      <c r="D695" s="8">
        <v>5199.3360000000002</v>
      </c>
      <c r="E695" s="25">
        <f t="shared" si="10"/>
        <v>2.9642736602052451</v>
      </c>
      <c r="F695" s="8">
        <v>0</v>
      </c>
      <c r="G695" s="17" t="str">
        <f>VLOOKUP(B695, 'Catégorie des articles'!A:E, 4, FALSE)</f>
        <v>MIX LEGUMES</v>
      </c>
      <c r="H695" s="14">
        <f>IF(Tableau5[[#This Row],[Stock Moyen (UVC)]]&gt;0,1,0)</f>
        <v>1</v>
      </c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75" customHeight="1">
      <c r="A696" s="17">
        <v>202211</v>
      </c>
      <c r="B696" s="13">
        <v>5540246191736</v>
      </c>
      <c r="C696" s="8">
        <v>249</v>
      </c>
      <c r="D696" s="8">
        <v>8029.1088</v>
      </c>
      <c r="E696" s="25">
        <f t="shared" si="10"/>
        <v>32.245416867469878</v>
      </c>
      <c r="F696" s="8">
        <v>0</v>
      </c>
      <c r="G696" s="17" t="str">
        <f>VLOOKUP(B696, 'Catégorie des articles'!A:E, 4, FALSE)</f>
        <v>CREMERIE</v>
      </c>
      <c r="H696" s="14">
        <f>IF(Tableau5[[#This Row],[Stock Moyen (UVC)]]&gt;0,1,0)</f>
        <v>1</v>
      </c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75" customHeight="1">
      <c r="A697" s="17">
        <v>202211</v>
      </c>
      <c r="B697" s="13">
        <v>5540246192102</v>
      </c>
      <c r="C697" s="8">
        <v>7237</v>
      </c>
      <c r="D697" s="8">
        <v>8879.4144000000015</v>
      </c>
      <c r="E697" s="25">
        <f t="shared" si="10"/>
        <v>1.2269468564322235</v>
      </c>
      <c r="F697" s="8">
        <v>11921</v>
      </c>
      <c r="G697" s="17" t="str">
        <f>VLOOKUP(B697, 'Catégorie des articles'!A:E, 4, FALSE)</f>
        <v>CREMERIE</v>
      </c>
      <c r="H697" s="14">
        <f>IF(Tableau5[[#This Row],[Stock Moyen (UVC)]]&gt;0,1,0)</f>
        <v>1</v>
      </c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75" customHeight="1">
      <c r="A698" s="17">
        <v>202211</v>
      </c>
      <c r="B698" s="13">
        <v>5540246192148</v>
      </c>
      <c r="C698" s="8">
        <v>20045</v>
      </c>
      <c r="D698" s="8">
        <v>72895.334399999992</v>
      </c>
      <c r="E698" s="25">
        <f t="shared" si="10"/>
        <v>3.6365844050885503</v>
      </c>
      <c r="F698" s="8">
        <v>65703</v>
      </c>
      <c r="G698" s="17" t="str">
        <f>VLOOKUP(B698, 'Catégorie des articles'!A:E, 4, FALSE)</f>
        <v>MIX LEGUMES</v>
      </c>
      <c r="H698" s="14">
        <f>IF(Tableau5[[#This Row],[Stock Moyen (UVC)]]&gt;0,1,0)</f>
        <v>1</v>
      </c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75" customHeight="1">
      <c r="A699" s="17">
        <v>202211</v>
      </c>
      <c r="B699" s="15">
        <v>5540246192209</v>
      </c>
      <c r="C699" s="11">
        <v>2604</v>
      </c>
      <c r="D699" s="11">
        <v>13087.008000000002</v>
      </c>
      <c r="E699" s="25">
        <f t="shared" si="10"/>
        <v>5.0257327188940097</v>
      </c>
      <c r="F699" s="11">
        <v>3425</v>
      </c>
      <c r="G699" s="17" t="str">
        <f>VLOOKUP(B699, 'Catégorie des articles'!A:E, 4, FALSE)</f>
        <v>MIX LEGUMES</v>
      </c>
      <c r="H699" s="14">
        <f>IF(Tableau5[[#This Row],[Stock Moyen (UVC)]]&gt;0,1,0)</f>
        <v>1</v>
      </c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2.75" customHeight="1">
      <c r="A700" s="17">
        <v>202211</v>
      </c>
      <c r="B700" s="13">
        <v>5540246192264</v>
      </c>
      <c r="C700" s="8">
        <v>0</v>
      </c>
      <c r="D700" s="8">
        <v>0</v>
      </c>
      <c r="E700" s="25" t="str">
        <f t="shared" si="10"/>
        <v/>
      </c>
      <c r="F700" s="8">
        <v>0</v>
      </c>
      <c r="G700" s="17" t="str">
        <f>VLOOKUP(B700, 'Catégorie des articles'!A:E, 4, FALSE)</f>
        <v>CREMERIE</v>
      </c>
      <c r="H700" s="14">
        <f>IF(Tableau5[[#This Row],[Stock Moyen (UVC)]]&gt;0,1,0)</f>
        <v>0</v>
      </c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2.75" customHeight="1">
      <c r="A701" s="17">
        <v>202211</v>
      </c>
      <c r="B701" s="15">
        <v>5540246192265</v>
      </c>
      <c r="C701" s="11">
        <v>0</v>
      </c>
      <c r="D701" s="11">
        <v>0</v>
      </c>
      <c r="E701" s="25" t="str">
        <f t="shared" si="10"/>
        <v/>
      </c>
      <c r="F701" s="11">
        <v>0</v>
      </c>
      <c r="G701" s="17" t="str">
        <f>VLOOKUP(B701, 'Catégorie des articles'!A:E, 4, FALSE)</f>
        <v>CREMERIE</v>
      </c>
      <c r="H701" s="14">
        <f>IF(Tableau5[[#This Row],[Stock Moyen (UVC)]]&gt;0,1,0)</f>
        <v>0</v>
      </c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2.75" customHeight="1">
      <c r="A702" s="17">
        <v>202211</v>
      </c>
      <c r="B702" s="15">
        <v>5540246192462</v>
      </c>
      <c r="C702" s="11">
        <v>1068</v>
      </c>
      <c r="D702" s="11">
        <v>7626.8736000000008</v>
      </c>
      <c r="E702" s="25">
        <f t="shared" si="10"/>
        <v>7.1412674157303382</v>
      </c>
      <c r="F702" s="11">
        <v>632</v>
      </c>
      <c r="G702" s="17" t="str">
        <f>VLOOKUP(B702, 'Catégorie des articles'!A:E, 4, FALSE)</f>
        <v>MIX LEGUMES</v>
      </c>
      <c r="H702" s="14">
        <f>IF(Tableau5[[#This Row],[Stock Moyen (UVC)]]&gt;0,1,0)</f>
        <v>1</v>
      </c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2.75" customHeight="1">
      <c r="A703" s="17">
        <v>202211</v>
      </c>
      <c r="B703" s="15">
        <v>5540246192518</v>
      </c>
      <c r="C703" s="11">
        <v>1253</v>
      </c>
      <c r="D703" s="11">
        <v>8799.3216000000011</v>
      </c>
      <c r="E703" s="25">
        <f t="shared" si="10"/>
        <v>7.0226030327214692</v>
      </c>
      <c r="F703" s="11">
        <v>10942</v>
      </c>
      <c r="G703" s="17" t="str">
        <f>VLOOKUP(B703, 'Catégorie des articles'!A:E, 4, FALSE)</f>
        <v>MIX LEGUMES</v>
      </c>
      <c r="H703" s="14">
        <f>IF(Tableau5[[#This Row],[Stock Moyen (UVC)]]&gt;0,1,0)</f>
        <v>1</v>
      </c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2.75" customHeight="1">
      <c r="A704" s="17">
        <v>202211</v>
      </c>
      <c r="B704" s="13">
        <v>5540246192571</v>
      </c>
      <c r="C704" s="8">
        <v>2534</v>
      </c>
      <c r="D704" s="8">
        <v>11293.560000000001</v>
      </c>
      <c r="E704" s="25">
        <f t="shared" si="10"/>
        <v>4.4568113654301502</v>
      </c>
      <c r="F704" s="8">
        <v>1657</v>
      </c>
      <c r="G704" s="17" t="str">
        <f>VLOOKUP(B704, 'Catégorie des articles'!A:E, 4, FALSE)</f>
        <v>MIX LEGUMES</v>
      </c>
      <c r="H704" s="14">
        <f>IF(Tableau5[[#This Row],[Stock Moyen (UVC)]]&gt;0,1,0)</f>
        <v>1</v>
      </c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2.75" customHeight="1">
      <c r="A705" s="17">
        <v>202211</v>
      </c>
      <c r="B705" s="15">
        <v>5540246192594</v>
      </c>
      <c r="C705" s="11">
        <v>195</v>
      </c>
      <c r="D705" s="11">
        <v>1398.5568000000001</v>
      </c>
      <c r="E705" s="25">
        <f t="shared" si="10"/>
        <v>7.1720861538461538</v>
      </c>
      <c r="F705" s="11">
        <v>242</v>
      </c>
      <c r="G705" s="17" t="str">
        <f>VLOOKUP(B705, 'Catégorie des articles'!A:E, 4, FALSE)</f>
        <v>MIX LEGUMES</v>
      </c>
      <c r="H705" s="14">
        <f>IF(Tableau5[[#This Row],[Stock Moyen (UVC)]]&gt;0,1,0)</f>
        <v>1</v>
      </c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2.75" customHeight="1">
      <c r="A706" s="17">
        <v>202211</v>
      </c>
      <c r="B706" s="13">
        <v>5540246192831</v>
      </c>
      <c r="C706" s="8">
        <v>1235</v>
      </c>
      <c r="D706" s="8">
        <v>10939.622400000002</v>
      </c>
      <c r="E706" s="25">
        <f t="shared" si="10"/>
        <v>8.8579938461538479</v>
      </c>
      <c r="F706" s="8">
        <v>659</v>
      </c>
      <c r="G706" s="17" t="str">
        <f>VLOOKUP(B706, 'Catégorie des articles'!A:E, 4, FALSE)</f>
        <v>MIX LEGUMES</v>
      </c>
      <c r="H706" s="14">
        <f>IF(Tableau5[[#This Row],[Stock Moyen (UVC)]]&gt;0,1,0)</f>
        <v>1</v>
      </c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2.75" customHeight="1">
      <c r="A707" s="17">
        <v>202211</v>
      </c>
      <c r="B707" s="13">
        <v>5540246192907</v>
      </c>
      <c r="C707" s="8">
        <v>1300</v>
      </c>
      <c r="D707" s="8">
        <v>36469.440000000002</v>
      </c>
      <c r="E707" s="25">
        <f t="shared" ref="E707:E770" si="11">IF(C707=0,"",D707/C707)</f>
        <v>28.053415384615388</v>
      </c>
      <c r="F707" s="8">
        <v>3351</v>
      </c>
      <c r="G707" s="17" t="str">
        <f>VLOOKUP(B707, 'Catégorie des articles'!A:E, 4, FALSE)</f>
        <v>VOLAILLE</v>
      </c>
      <c r="H707" s="14">
        <f>IF(Tableau5[[#This Row],[Stock Moyen (UVC)]]&gt;0,1,0)</f>
        <v>1</v>
      </c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75" customHeight="1">
      <c r="A708" s="17">
        <v>202211</v>
      </c>
      <c r="B708" s="15">
        <v>5540246193316</v>
      </c>
      <c r="C708" s="11">
        <v>265</v>
      </c>
      <c r="D708" s="11">
        <v>8992.6848000000009</v>
      </c>
      <c r="E708" s="25">
        <f t="shared" si="11"/>
        <v>33.934659622641512</v>
      </c>
      <c r="F708" s="11">
        <v>516</v>
      </c>
      <c r="G708" s="17" t="str">
        <f>VLOOKUP(B708, 'Catégorie des articles'!A:E, 4, FALSE)</f>
        <v>BOULANGERIE</v>
      </c>
      <c r="H708" s="14">
        <f>IF(Tableau5[[#This Row],[Stock Moyen (UVC)]]&gt;0,1,0)</f>
        <v>1</v>
      </c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75" customHeight="1">
      <c r="A709" s="17">
        <v>202211</v>
      </c>
      <c r="B709" s="13">
        <v>5540246193409</v>
      </c>
      <c r="C709" s="8">
        <v>82</v>
      </c>
      <c r="D709" s="8">
        <v>4173.12</v>
      </c>
      <c r="E709" s="25">
        <f t="shared" si="11"/>
        <v>50.89170731707317</v>
      </c>
      <c r="F709" s="8">
        <v>5</v>
      </c>
      <c r="G709" s="17" t="str">
        <f>VLOOKUP(B709, 'Catégorie des articles'!A:E, 4, FALSE)</f>
        <v>BOULANGERIE</v>
      </c>
      <c r="H709" s="14">
        <f>IF(Tableau5[[#This Row],[Stock Moyen (UVC)]]&gt;0,1,0)</f>
        <v>1</v>
      </c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2.75" customHeight="1">
      <c r="A710" s="17">
        <v>202211</v>
      </c>
      <c r="B710" s="15">
        <v>5540246193878</v>
      </c>
      <c r="C710" s="11">
        <v>3736</v>
      </c>
      <c r="D710" s="11">
        <v>26429.760000000002</v>
      </c>
      <c r="E710" s="25">
        <f t="shared" si="11"/>
        <v>7.0743468950749469</v>
      </c>
      <c r="F710" s="11">
        <v>6682</v>
      </c>
      <c r="G710" s="17" t="str">
        <f>VLOOKUP(B710, 'Catégorie des articles'!A:E, 4, FALSE)</f>
        <v>VOLAILLE</v>
      </c>
      <c r="H710" s="14">
        <f>IF(Tableau5[[#This Row],[Stock Moyen (UVC)]]&gt;0,1,0)</f>
        <v>1</v>
      </c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2.75" customHeight="1">
      <c r="A711" s="17">
        <v>202211</v>
      </c>
      <c r="B711" s="13">
        <v>5540246194467</v>
      </c>
      <c r="C711" s="8">
        <v>61694</v>
      </c>
      <c r="D711" s="8">
        <v>62148.686400000006</v>
      </c>
      <c r="E711" s="25">
        <f t="shared" si="11"/>
        <v>1.0073700262586314</v>
      </c>
      <c r="F711" s="8">
        <v>55848</v>
      </c>
      <c r="G711" s="17" t="str">
        <f>VLOOKUP(B711, 'Catégorie des articles'!A:E, 4, FALSE)</f>
        <v>BOULANGERIE</v>
      </c>
      <c r="H711" s="14">
        <f>IF(Tableau5[[#This Row],[Stock Moyen (UVC)]]&gt;0,1,0)</f>
        <v>1</v>
      </c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2.75" customHeight="1">
      <c r="A712" s="17">
        <v>202211</v>
      </c>
      <c r="B712" s="13">
        <v>5540246194478</v>
      </c>
      <c r="C712" s="8">
        <v>615</v>
      </c>
      <c r="D712" s="8">
        <v>26753.976000000002</v>
      </c>
      <c r="E712" s="25">
        <f t="shared" si="11"/>
        <v>43.502400000000002</v>
      </c>
      <c r="F712" s="8">
        <v>701</v>
      </c>
      <c r="G712" s="17" t="str">
        <f>VLOOKUP(B712, 'Catégorie des articles'!A:E, 4, FALSE)</f>
        <v>EMBALLAGES</v>
      </c>
      <c r="H712" s="14">
        <f>IF(Tableau5[[#This Row],[Stock Moyen (UVC)]]&gt;0,1,0)</f>
        <v>1</v>
      </c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2.75" customHeight="1">
      <c r="A713" s="17">
        <v>202211</v>
      </c>
      <c r="B713" s="15">
        <v>5540246194632</v>
      </c>
      <c r="C713" s="11">
        <v>2963</v>
      </c>
      <c r="D713" s="11">
        <v>38285.481599999999</v>
      </c>
      <c r="E713" s="25">
        <f t="shared" si="11"/>
        <v>12.921188525143435</v>
      </c>
      <c r="F713" s="11">
        <v>10656</v>
      </c>
      <c r="G713" s="17" t="str">
        <f>VLOOKUP(B713, 'Catégorie des articles'!A:E, 4, FALSE)</f>
        <v>BOULANGERIE</v>
      </c>
      <c r="H713" s="14">
        <f>IF(Tableau5[[#This Row],[Stock Moyen (UVC)]]&gt;0,1,0)</f>
        <v>1</v>
      </c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2.75" customHeight="1">
      <c r="A714" s="17">
        <v>202211</v>
      </c>
      <c r="B714" s="15">
        <v>5540246194790</v>
      </c>
      <c r="C714" s="11">
        <v>4970</v>
      </c>
      <c r="D714" s="11">
        <v>57371.328000000001</v>
      </c>
      <c r="E714" s="25">
        <f t="shared" si="11"/>
        <v>11.543526760563381</v>
      </c>
      <c r="F714" s="11">
        <v>1775</v>
      </c>
      <c r="G714" s="17" t="str">
        <f>VLOOKUP(B714, 'Catégorie des articles'!A:E, 4, FALSE)</f>
        <v>MIX LEGUMES</v>
      </c>
      <c r="H714" s="14">
        <f>IF(Tableau5[[#This Row],[Stock Moyen (UVC)]]&gt;0,1,0)</f>
        <v>1</v>
      </c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2.75" customHeight="1">
      <c r="A715" s="17">
        <v>202211</v>
      </c>
      <c r="B715" s="13">
        <v>5540246194947</v>
      </c>
      <c r="C715" s="8">
        <v>209</v>
      </c>
      <c r="D715" s="8">
        <v>5579.2800000000007</v>
      </c>
      <c r="E715" s="25">
        <f t="shared" si="11"/>
        <v>26.695119617224883</v>
      </c>
      <c r="F715" s="8">
        <v>142</v>
      </c>
      <c r="G715" s="17" t="str">
        <f>VLOOKUP(B715, 'Catégorie des articles'!A:E, 4, FALSE)</f>
        <v>EMBALLAGES</v>
      </c>
      <c r="H715" s="14">
        <f>IF(Tableau5[[#This Row],[Stock Moyen (UVC)]]&gt;0,1,0)</f>
        <v>1</v>
      </c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2.75" customHeight="1">
      <c r="A716" s="17">
        <v>202211</v>
      </c>
      <c r="B716" s="15">
        <v>5540246195096</v>
      </c>
      <c r="C716" s="11">
        <v>1560</v>
      </c>
      <c r="D716" s="11">
        <v>9275.2128000000012</v>
      </c>
      <c r="E716" s="25">
        <f t="shared" si="11"/>
        <v>5.9456492307692317</v>
      </c>
      <c r="F716" s="11">
        <v>186</v>
      </c>
      <c r="G716" s="17" t="str">
        <f>VLOOKUP(B716, 'Catégorie des articles'!A:E, 4, FALSE)</f>
        <v>MIX LEGUMES</v>
      </c>
      <c r="H716" s="14">
        <f>IF(Tableau5[[#This Row],[Stock Moyen (UVC)]]&gt;0,1,0)</f>
        <v>1</v>
      </c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2.75" customHeight="1">
      <c r="A717" s="17">
        <v>202211</v>
      </c>
      <c r="B717" s="15">
        <v>5540246195195</v>
      </c>
      <c r="C717" s="11">
        <v>54</v>
      </c>
      <c r="D717" s="11">
        <v>5010.7248000000009</v>
      </c>
      <c r="E717" s="25">
        <f t="shared" si="11"/>
        <v>92.791200000000018</v>
      </c>
      <c r="F717" s="11">
        <v>0</v>
      </c>
      <c r="G717" s="17" t="str">
        <f>VLOOKUP(B717, 'Catégorie des articles'!A:E, 4, FALSE)</f>
        <v>EMBALLAGES</v>
      </c>
      <c r="H717" s="14">
        <f>IF(Tableau5[[#This Row],[Stock Moyen (UVC)]]&gt;0,1,0)</f>
        <v>1</v>
      </c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2.75" customHeight="1">
      <c r="A718" s="17">
        <v>202211</v>
      </c>
      <c r="B718" s="13">
        <v>5540246195241</v>
      </c>
      <c r="C718" s="8">
        <v>1160</v>
      </c>
      <c r="D718" s="8">
        <v>34668</v>
      </c>
      <c r="E718" s="25">
        <f t="shared" si="11"/>
        <v>29.886206896551723</v>
      </c>
      <c r="F718" s="8">
        <v>743</v>
      </c>
      <c r="G718" s="17" t="str">
        <f>VLOOKUP(B718, 'Catégorie des articles'!A:E, 4, FALSE)</f>
        <v>MIX LEGUMES</v>
      </c>
      <c r="H718" s="14">
        <f>IF(Tableau5[[#This Row],[Stock Moyen (UVC)]]&gt;0,1,0)</f>
        <v>1</v>
      </c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2.75" customHeight="1">
      <c r="A719" s="17">
        <v>202211</v>
      </c>
      <c r="B719" s="15">
        <v>5540246195242</v>
      </c>
      <c r="C719" s="11">
        <v>1506</v>
      </c>
      <c r="D719" s="11">
        <v>52569</v>
      </c>
      <c r="E719" s="25">
        <f t="shared" si="11"/>
        <v>34.906374501992033</v>
      </c>
      <c r="F719" s="11">
        <v>696</v>
      </c>
      <c r="G719" s="17" t="str">
        <f>VLOOKUP(B719, 'Catégorie des articles'!A:E, 4, FALSE)</f>
        <v>MIX LEGUMES</v>
      </c>
      <c r="H719" s="14">
        <f>IF(Tableau5[[#This Row],[Stock Moyen (UVC)]]&gt;0,1,0)</f>
        <v>1</v>
      </c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2.75" customHeight="1">
      <c r="A720" s="17">
        <v>202211</v>
      </c>
      <c r="B720" s="15">
        <v>5540246195250</v>
      </c>
      <c r="C720" s="11">
        <v>516</v>
      </c>
      <c r="D720" s="11">
        <v>20206.9728</v>
      </c>
      <c r="E720" s="25">
        <f t="shared" si="11"/>
        <v>39.160800000000002</v>
      </c>
      <c r="F720" s="11">
        <v>613</v>
      </c>
      <c r="G720" s="17" t="str">
        <f>VLOOKUP(B720, 'Catégorie des articles'!A:E, 4, FALSE)</f>
        <v>BOULANGERIE</v>
      </c>
      <c r="H720" s="14">
        <f>IF(Tableau5[[#This Row],[Stock Moyen (UVC)]]&gt;0,1,0)</f>
        <v>1</v>
      </c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2.75" customHeight="1">
      <c r="A721" s="17">
        <v>202211</v>
      </c>
      <c r="B721" s="13">
        <v>5540246195653</v>
      </c>
      <c r="C721" s="8">
        <v>205</v>
      </c>
      <c r="D721" s="8">
        <v>6987.3408000000009</v>
      </c>
      <c r="E721" s="25">
        <f t="shared" si="11"/>
        <v>34.084589268292689</v>
      </c>
      <c r="F721" s="8">
        <v>151</v>
      </c>
      <c r="G721" s="17" t="str">
        <f>VLOOKUP(B721, 'Catégorie des articles'!A:E, 4, FALSE)</f>
        <v>EMBALLAGES</v>
      </c>
      <c r="H721" s="14">
        <f>IF(Tableau5[[#This Row],[Stock Moyen (UVC)]]&gt;0,1,0)</f>
        <v>1</v>
      </c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2.75" customHeight="1">
      <c r="A722" s="17">
        <v>202211</v>
      </c>
      <c r="B722" s="15">
        <v>5540246195943</v>
      </c>
      <c r="C722" s="11">
        <v>0</v>
      </c>
      <c r="D722" s="11">
        <v>0</v>
      </c>
      <c r="E722" s="25" t="str">
        <f t="shared" si="11"/>
        <v/>
      </c>
      <c r="F722" s="11">
        <v>1369</v>
      </c>
      <c r="G722" s="17" t="str">
        <f>VLOOKUP(B722, 'Catégorie des articles'!A:E, 4, FALSE)</f>
        <v>CREMERIE</v>
      </c>
      <c r="H722" s="14">
        <f>IF(Tableau5[[#This Row],[Stock Moyen (UVC)]]&gt;0,1,0)</f>
        <v>0</v>
      </c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2.75" customHeight="1">
      <c r="A723" s="17">
        <v>202211</v>
      </c>
      <c r="B723" s="13">
        <v>5540246195944</v>
      </c>
      <c r="C723" s="8">
        <v>812</v>
      </c>
      <c r="D723" s="8">
        <v>22271.760000000002</v>
      </c>
      <c r="E723" s="25">
        <f t="shared" si="11"/>
        <v>27.428275862068968</v>
      </c>
      <c r="F723" s="8">
        <v>1137</v>
      </c>
      <c r="G723" s="17" t="str">
        <f>VLOOKUP(B723, 'Catégorie des articles'!A:E, 4, FALSE)</f>
        <v>CREMERIE</v>
      </c>
      <c r="H723" s="14">
        <f>IF(Tableau5[[#This Row],[Stock Moyen (UVC)]]&gt;0,1,0)</f>
        <v>1</v>
      </c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2.75" customHeight="1">
      <c r="A724" s="17">
        <v>202211</v>
      </c>
      <c r="B724" s="13">
        <v>5540246195999</v>
      </c>
      <c r="C724" s="8">
        <v>0</v>
      </c>
      <c r="D724" s="8">
        <v>0</v>
      </c>
      <c r="E724" s="25" t="str">
        <f t="shared" si="11"/>
        <v/>
      </c>
      <c r="F724" s="8">
        <v>0</v>
      </c>
      <c r="G724" s="17" t="str">
        <f>VLOOKUP(B724, 'Catégorie des articles'!A:E, 4, FALSE)</f>
        <v>MIX LEGUMES</v>
      </c>
      <c r="H724" s="14">
        <f>IF(Tableau5[[#This Row],[Stock Moyen (UVC)]]&gt;0,1,0)</f>
        <v>0</v>
      </c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2.75" customHeight="1">
      <c r="A725" s="17">
        <v>202211</v>
      </c>
      <c r="B725" s="15">
        <v>5540246196002</v>
      </c>
      <c r="C725" s="11">
        <v>0</v>
      </c>
      <c r="D725" s="11">
        <v>0</v>
      </c>
      <c r="E725" s="25" t="str">
        <f t="shared" si="11"/>
        <v/>
      </c>
      <c r="F725" s="11">
        <v>0</v>
      </c>
      <c r="G725" s="17" t="str">
        <f>VLOOKUP(B725, 'Catégorie des articles'!A:E, 4, FALSE)</f>
        <v>CREMERIE</v>
      </c>
      <c r="H725" s="14">
        <f>IF(Tableau5[[#This Row],[Stock Moyen (UVC)]]&gt;0,1,0)</f>
        <v>0</v>
      </c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2.75" customHeight="1">
      <c r="A726" s="17">
        <v>202211</v>
      </c>
      <c r="B726" s="15">
        <v>5540246196046</v>
      </c>
      <c r="C726" s="11">
        <v>239</v>
      </c>
      <c r="D726" s="11">
        <v>4341.0384000000004</v>
      </c>
      <c r="E726" s="25">
        <f t="shared" si="11"/>
        <v>18.163340585774058</v>
      </c>
      <c r="F726" s="11">
        <v>799</v>
      </c>
      <c r="G726" s="17" t="str">
        <f>VLOOKUP(B726, 'Catégorie des articles'!A:E, 4, FALSE)</f>
        <v>BOULANGERIE</v>
      </c>
      <c r="H726" s="14">
        <f>IF(Tableau5[[#This Row],[Stock Moyen (UVC)]]&gt;0,1,0)</f>
        <v>1</v>
      </c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2.75" customHeight="1">
      <c r="A727" s="17">
        <v>202211</v>
      </c>
      <c r="B727" s="15">
        <v>5540246196065</v>
      </c>
      <c r="C727" s="11">
        <v>0</v>
      </c>
      <c r="D727" s="11">
        <v>0</v>
      </c>
      <c r="E727" s="25" t="str">
        <f t="shared" si="11"/>
        <v/>
      </c>
      <c r="F727" s="11">
        <v>0</v>
      </c>
      <c r="G727" s="17" t="str">
        <f>VLOOKUP(B727, 'Catégorie des articles'!A:E, 4, FALSE)</f>
        <v>BOULANGERIE</v>
      </c>
      <c r="H727" s="14">
        <f>IF(Tableau5[[#This Row],[Stock Moyen (UVC)]]&gt;0,1,0)</f>
        <v>0</v>
      </c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2.75" customHeight="1">
      <c r="A728" s="17">
        <v>202211</v>
      </c>
      <c r="B728" s="15">
        <v>5540246196092</v>
      </c>
      <c r="C728" s="11">
        <v>1096</v>
      </c>
      <c r="D728" s="11">
        <v>47254.752000000008</v>
      </c>
      <c r="E728" s="25">
        <f t="shared" si="11"/>
        <v>43.115649635036505</v>
      </c>
      <c r="F728" s="11">
        <v>1244</v>
      </c>
      <c r="G728" s="17" t="str">
        <f>VLOOKUP(B728, 'Catégorie des articles'!A:E, 4, FALSE)</f>
        <v>VOLAILLE</v>
      </c>
      <c r="H728" s="14">
        <f>IF(Tableau5[[#This Row],[Stock Moyen (UVC)]]&gt;0,1,0)</f>
        <v>1</v>
      </c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2.75" customHeight="1">
      <c r="A729" s="17">
        <v>202211</v>
      </c>
      <c r="B729" s="13">
        <v>5540246196148</v>
      </c>
      <c r="C729" s="8">
        <v>0</v>
      </c>
      <c r="D729" s="8">
        <v>0</v>
      </c>
      <c r="E729" s="25" t="str">
        <f t="shared" si="11"/>
        <v/>
      </c>
      <c r="F729" s="8">
        <v>418</v>
      </c>
      <c r="G729" s="17" t="str">
        <f>VLOOKUP(B729, 'Catégorie des articles'!A:E, 4, FALSE)</f>
        <v>EMBALLAGES</v>
      </c>
      <c r="H729" s="14">
        <f>IF(Tableau5[[#This Row],[Stock Moyen (UVC)]]&gt;0,1,0)</f>
        <v>0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75" customHeight="1">
      <c r="A730" s="17">
        <v>202212</v>
      </c>
      <c r="B730" s="15">
        <v>5540246170256</v>
      </c>
      <c r="C730" s="11">
        <v>5390</v>
      </c>
      <c r="D730" s="11">
        <v>38746.512000000002</v>
      </c>
      <c r="E730" s="25">
        <f t="shared" si="11"/>
        <v>7.1885922077922082</v>
      </c>
      <c r="F730" s="11">
        <v>9691</v>
      </c>
      <c r="G730" s="17" t="str">
        <f>VLOOKUP(B730, 'Catégorie des articles'!A:E, 4, FALSE)</f>
        <v>BOULANGERIE</v>
      </c>
      <c r="H730" s="14">
        <f>IF(Tableau5[[#This Row],[Stock Moyen (UVC)]]&gt;0,1,0)</f>
        <v>1</v>
      </c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75" customHeight="1">
      <c r="A731" s="17">
        <v>202212</v>
      </c>
      <c r="B731" s="13">
        <v>5540246171759</v>
      </c>
      <c r="C731" s="8">
        <v>5455</v>
      </c>
      <c r="D731" s="8">
        <v>32439.268800000002</v>
      </c>
      <c r="E731" s="25">
        <f t="shared" si="11"/>
        <v>5.9467037213565543</v>
      </c>
      <c r="F731" s="8">
        <v>7508</v>
      </c>
      <c r="G731" s="17" t="str">
        <f>VLOOKUP(B731, 'Catégorie des articles'!A:E, 4, FALSE)</f>
        <v>MIX LEGUMES</v>
      </c>
      <c r="H731" s="14">
        <f>IF(Tableau5[[#This Row],[Stock Moyen (UVC)]]&gt;0,1,0)</f>
        <v>1</v>
      </c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75" customHeight="1">
      <c r="A732" s="17">
        <v>202212</v>
      </c>
      <c r="B732" s="13">
        <v>5540246171888</v>
      </c>
      <c r="C732" s="8">
        <v>1641</v>
      </c>
      <c r="D732" s="8">
        <v>29189.376000000004</v>
      </c>
      <c r="E732" s="25">
        <f t="shared" si="11"/>
        <v>17.787553930530166</v>
      </c>
      <c r="F732" s="8">
        <v>2441</v>
      </c>
      <c r="G732" s="17" t="str">
        <f>VLOOKUP(B732, 'Catégorie des articles'!A:E, 4, FALSE)</f>
        <v>BOULANGERIE</v>
      </c>
      <c r="H732" s="14">
        <f>IF(Tableau5[[#This Row],[Stock Moyen (UVC)]]&gt;0,1,0)</f>
        <v>1</v>
      </c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2.75" customHeight="1">
      <c r="A733" s="17">
        <v>202212</v>
      </c>
      <c r="B733" s="15">
        <v>5540246171933</v>
      </c>
      <c r="C733" s="11">
        <v>0</v>
      </c>
      <c r="D733" s="11">
        <v>0</v>
      </c>
      <c r="E733" s="25" t="str">
        <f t="shared" si="11"/>
        <v/>
      </c>
      <c r="F733" s="11">
        <v>12139</v>
      </c>
      <c r="G733" s="17" t="str">
        <f>VLOOKUP(B733, 'Catégorie des articles'!A:E, 4, FALSE)</f>
        <v>CREMERIE</v>
      </c>
      <c r="H733" s="14">
        <f>IF(Tableau5[[#This Row],[Stock Moyen (UVC)]]&gt;0,1,0)</f>
        <v>0</v>
      </c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75" customHeight="1">
      <c r="A734" s="17">
        <v>202212</v>
      </c>
      <c r="B734" s="15">
        <v>5540246172539</v>
      </c>
      <c r="C734" s="11">
        <v>33</v>
      </c>
      <c r="D734" s="11">
        <v>710.0784000000001</v>
      </c>
      <c r="E734" s="25">
        <f t="shared" si="11"/>
        <v>21.517527272727275</v>
      </c>
      <c r="F734" s="11">
        <v>184</v>
      </c>
      <c r="G734" s="17" t="str">
        <f>VLOOKUP(B734, 'Catégorie des articles'!A:E, 4, FALSE)</f>
        <v>CREMERIE</v>
      </c>
      <c r="H734" s="14">
        <f>IF(Tableau5[[#This Row],[Stock Moyen (UVC)]]&gt;0,1,0)</f>
        <v>1</v>
      </c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75" customHeight="1">
      <c r="A735" s="17">
        <v>202212</v>
      </c>
      <c r="B735" s="13">
        <v>5540246172669</v>
      </c>
      <c r="C735" s="8">
        <v>28</v>
      </c>
      <c r="D735" s="8">
        <v>390.18239999999997</v>
      </c>
      <c r="E735" s="25">
        <f t="shared" si="11"/>
        <v>13.935085714285714</v>
      </c>
      <c r="F735" s="8">
        <v>1657</v>
      </c>
      <c r="G735" s="17" t="str">
        <f>VLOOKUP(B735, 'Catégorie des articles'!A:E, 4, FALSE)</f>
        <v>CREMERIE</v>
      </c>
      <c r="H735" s="14">
        <f>IF(Tableau5[[#This Row],[Stock Moyen (UVC)]]&gt;0,1,0)</f>
        <v>1</v>
      </c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75" customHeight="1">
      <c r="A736" s="17">
        <v>202212</v>
      </c>
      <c r="B736" s="15">
        <v>5540246172978</v>
      </c>
      <c r="C736" s="11">
        <v>1587</v>
      </c>
      <c r="D736" s="11">
        <v>1279.4544000000001</v>
      </c>
      <c r="E736" s="25">
        <f t="shared" si="11"/>
        <v>0.80620945179584125</v>
      </c>
      <c r="F736" s="11">
        <v>15452</v>
      </c>
      <c r="G736" s="17" t="str">
        <f>VLOOKUP(B736, 'Catégorie des articles'!A:E, 4, FALSE)</f>
        <v>CREMERIE</v>
      </c>
      <c r="H736" s="14">
        <f>IF(Tableau5[[#This Row],[Stock Moyen (UVC)]]&gt;0,1,0)</f>
        <v>1</v>
      </c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75" customHeight="1">
      <c r="A737" s="17">
        <v>202212</v>
      </c>
      <c r="B737" s="13">
        <v>5540246173472</v>
      </c>
      <c r="C737" s="8">
        <v>446</v>
      </c>
      <c r="D737" s="8">
        <v>10511.510399999999</v>
      </c>
      <c r="E737" s="25">
        <f t="shared" si="11"/>
        <v>23.568408968609862</v>
      </c>
      <c r="F737" s="8">
        <v>933</v>
      </c>
      <c r="G737" s="17" t="str">
        <f>VLOOKUP(B737, 'Catégorie des articles'!A:E, 4, FALSE)</f>
        <v>CREMERIE</v>
      </c>
      <c r="H737" s="14">
        <f>IF(Tableau5[[#This Row],[Stock Moyen (UVC)]]&gt;0,1,0)</f>
        <v>1</v>
      </c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75" customHeight="1">
      <c r="A738" s="17">
        <v>202212</v>
      </c>
      <c r="B738" s="15">
        <v>5540246173492</v>
      </c>
      <c r="C738" s="11">
        <v>2228</v>
      </c>
      <c r="D738" s="11">
        <v>34732.800000000003</v>
      </c>
      <c r="E738" s="25">
        <f t="shared" si="11"/>
        <v>15.58922800718133</v>
      </c>
      <c r="F738" s="11">
        <v>1337</v>
      </c>
      <c r="G738" s="17" t="str">
        <f>VLOOKUP(B738, 'Catégorie des articles'!A:E, 4, FALSE)</f>
        <v>VOLAILLE</v>
      </c>
      <c r="H738" s="14">
        <f>IF(Tableau5[[#This Row],[Stock Moyen (UVC)]]&gt;0,1,0)</f>
        <v>1</v>
      </c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2.75" customHeight="1">
      <c r="A739" s="17">
        <v>202212</v>
      </c>
      <c r="B739" s="15">
        <v>5540246173906</v>
      </c>
      <c r="C739" s="11">
        <v>3392</v>
      </c>
      <c r="D739" s="11">
        <v>66808.972800000003</v>
      </c>
      <c r="E739" s="25">
        <f t="shared" si="11"/>
        <v>19.696041509433964</v>
      </c>
      <c r="F739" s="11">
        <v>2562</v>
      </c>
      <c r="G739" s="17" t="str">
        <f>VLOOKUP(B739, 'Catégorie des articles'!A:E, 4, FALSE)</f>
        <v>VOLAILLE</v>
      </c>
      <c r="H739" s="14">
        <f>IF(Tableau5[[#This Row],[Stock Moyen (UVC)]]&gt;0,1,0)</f>
        <v>1</v>
      </c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2.75" customHeight="1">
      <c r="A740" s="17">
        <v>202212</v>
      </c>
      <c r="B740" s="13">
        <v>5540246174095</v>
      </c>
      <c r="C740" s="8">
        <v>56</v>
      </c>
      <c r="D740" s="8">
        <v>1777.5936000000002</v>
      </c>
      <c r="E740" s="25">
        <f t="shared" si="11"/>
        <v>31.742742857142861</v>
      </c>
      <c r="F740" s="8">
        <v>230</v>
      </c>
      <c r="G740" s="17" t="str">
        <f>VLOOKUP(B740, 'Catégorie des articles'!A:E, 4, FALSE)</f>
        <v>CREMERIE</v>
      </c>
      <c r="H740" s="14">
        <f>IF(Tableau5[[#This Row],[Stock Moyen (UVC)]]&gt;0,1,0)</f>
        <v>1</v>
      </c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2.75" customHeight="1">
      <c r="A741" s="17">
        <v>202212</v>
      </c>
      <c r="B741" s="15">
        <v>5540246174174</v>
      </c>
      <c r="C741" s="11">
        <v>35</v>
      </c>
      <c r="D741" s="11">
        <v>481.46400000000006</v>
      </c>
      <c r="E741" s="25">
        <f t="shared" si="11"/>
        <v>13.756114285714288</v>
      </c>
      <c r="F741" s="11">
        <v>826</v>
      </c>
      <c r="G741" s="17" t="str">
        <f>VLOOKUP(B741, 'Catégorie des articles'!A:E, 4, FALSE)</f>
        <v>CREMERIE</v>
      </c>
      <c r="H741" s="14">
        <f>IF(Tableau5[[#This Row],[Stock Moyen (UVC)]]&gt;0,1,0)</f>
        <v>1</v>
      </c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2.75" customHeight="1">
      <c r="A742" s="17">
        <v>202212</v>
      </c>
      <c r="B742" s="13">
        <v>5540246175047</v>
      </c>
      <c r="C742" s="8">
        <v>140</v>
      </c>
      <c r="D742" s="8">
        <v>1503.3600000000001</v>
      </c>
      <c r="E742" s="25">
        <f t="shared" si="11"/>
        <v>10.738285714285714</v>
      </c>
      <c r="F742" s="8">
        <v>1142</v>
      </c>
      <c r="G742" s="17" t="str">
        <f>VLOOKUP(B742, 'Catégorie des articles'!A:E, 4, FALSE)</f>
        <v>CREMERIE</v>
      </c>
      <c r="H742" s="14">
        <f>IF(Tableau5[[#This Row],[Stock Moyen (UVC)]]&gt;0,1,0)</f>
        <v>1</v>
      </c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2.75" customHeight="1">
      <c r="A743" s="17">
        <v>202212</v>
      </c>
      <c r="B743" s="15">
        <v>5540246175049</v>
      </c>
      <c r="C743" s="11">
        <v>585</v>
      </c>
      <c r="D743" s="11">
        <v>6237.9072000000006</v>
      </c>
      <c r="E743" s="25">
        <f t="shared" si="11"/>
        <v>10.663089230769232</v>
      </c>
      <c r="F743" s="11">
        <v>5861</v>
      </c>
      <c r="G743" s="17" t="str">
        <f>VLOOKUP(B743, 'Catégorie des articles'!A:E, 4, FALSE)</f>
        <v>CREMERIE</v>
      </c>
      <c r="H743" s="14">
        <f>IF(Tableau5[[#This Row],[Stock Moyen (UVC)]]&gt;0,1,0)</f>
        <v>1</v>
      </c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2.75" customHeight="1">
      <c r="A744" s="17">
        <v>202212</v>
      </c>
      <c r="B744" s="13">
        <v>5540246175050</v>
      </c>
      <c r="C744" s="8">
        <v>1086</v>
      </c>
      <c r="D744" s="8">
        <v>12890.750400000001</v>
      </c>
      <c r="E744" s="25">
        <f t="shared" si="11"/>
        <v>11.869935911602211</v>
      </c>
      <c r="F744" s="8">
        <v>4135</v>
      </c>
      <c r="G744" s="17" t="str">
        <f>VLOOKUP(B744, 'Catégorie des articles'!A:E, 4, FALSE)</f>
        <v>CREMERIE</v>
      </c>
      <c r="H744" s="14">
        <f>IF(Tableau5[[#This Row],[Stock Moyen (UVC)]]&gt;0,1,0)</f>
        <v>1</v>
      </c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2.75" customHeight="1">
      <c r="A745" s="17">
        <v>202212</v>
      </c>
      <c r="B745" s="13">
        <v>5540246176294</v>
      </c>
      <c r="C745" s="8">
        <v>1300</v>
      </c>
      <c r="D745" s="8">
        <v>1231.3728000000001</v>
      </c>
      <c r="E745" s="25">
        <f t="shared" si="11"/>
        <v>0.94720984615384618</v>
      </c>
      <c r="F745" s="8">
        <v>10617</v>
      </c>
      <c r="G745" s="17" t="str">
        <f>VLOOKUP(B745, 'Catégorie des articles'!A:E, 4, FALSE)</f>
        <v>CREMERIE</v>
      </c>
      <c r="H745" s="14">
        <f>IF(Tableau5[[#This Row],[Stock Moyen (UVC)]]&gt;0,1,0)</f>
        <v>1</v>
      </c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2.75" customHeight="1">
      <c r="A746" s="17">
        <v>202212</v>
      </c>
      <c r="B746" s="15">
        <v>5540246176295</v>
      </c>
      <c r="C746" s="11">
        <v>6200</v>
      </c>
      <c r="D746" s="11">
        <v>5875.4160000000002</v>
      </c>
      <c r="E746" s="25">
        <f t="shared" si="11"/>
        <v>0.94764774193548384</v>
      </c>
      <c r="F746" s="11">
        <v>87669</v>
      </c>
      <c r="G746" s="17" t="str">
        <f>VLOOKUP(B746, 'Catégorie des articles'!A:E, 4, FALSE)</f>
        <v>CREMERIE</v>
      </c>
      <c r="H746" s="14">
        <f>IF(Tableau5[[#This Row],[Stock Moyen (UVC)]]&gt;0,1,0)</f>
        <v>1</v>
      </c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2.75" customHeight="1">
      <c r="A747" s="17">
        <v>202212</v>
      </c>
      <c r="B747" s="15">
        <v>5540246176699</v>
      </c>
      <c r="C747" s="11">
        <v>627</v>
      </c>
      <c r="D747" s="11">
        <v>320.76000000000005</v>
      </c>
      <c r="E747" s="25">
        <f t="shared" si="11"/>
        <v>0.51157894736842113</v>
      </c>
      <c r="F747" s="11">
        <v>80806</v>
      </c>
      <c r="G747" s="17" t="str">
        <f>VLOOKUP(B747, 'Catégorie des articles'!A:E, 4, FALSE)</f>
        <v>CREMERIE</v>
      </c>
      <c r="H747" s="14">
        <f>IF(Tableau5[[#This Row],[Stock Moyen (UVC)]]&gt;0,1,0)</f>
        <v>1</v>
      </c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2.75" customHeight="1">
      <c r="A748" s="17">
        <v>202212</v>
      </c>
      <c r="B748" s="15">
        <v>5540246177133</v>
      </c>
      <c r="C748" s="11">
        <v>20846</v>
      </c>
      <c r="D748" s="11">
        <v>86480.265600000013</v>
      </c>
      <c r="E748" s="25">
        <f t="shared" si="11"/>
        <v>4.1485304422910874</v>
      </c>
      <c r="F748" s="11">
        <v>36817</v>
      </c>
      <c r="G748" s="17" t="str">
        <f>VLOOKUP(B748, 'Catégorie des articles'!A:E, 4, FALSE)</f>
        <v>MIX LEGUMES</v>
      </c>
      <c r="H748" s="14">
        <f>IF(Tableau5[[#This Row],[Stock Moyen (UVC)]]&gt;0,1,0)</f>
        <v>1</v>
      </c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2.75" customHeight="1">
      <c r="A749" s="17">
        <v>202212</v>
      </c>
      <c r="B749" s="15">
        <v>5540246177376</v>
      </c>
      <c r="C749" s="11">
        <v>1945</v>
      </c>
      <c r="D749" s="11">
        <v>78166.512000000002</v>
      </c>
      <c r="E749" s="25">
        <f t="shared" si="11"/>
        <v>40.188438046272495</v>
      </c>
      <c r="F749" s="11">
        <v>1017</v>
      </c>
      <c r="G749" s="17" t="str">
        <f>VLOOKUP(B749, 'Catégorie des articles'!A:E, 4, FALSE)</f>
        <v>BOULANGERIE</v>
      </c>
      <c r="H749" s="14">
        <f>IF(Tableau5[[#This Row],[Stock Moyen (UVC)]]&gt;0,1,0)</f>
        <v>1</v>
      </c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2.75" customHeight="1">
      <c r="A750" s="17">
        <v>202212</v>
      </c>
      <c r="B750" s="15">
        <v>5540246180522</v>
      </c>
      <c r="C750" s="11">
        <v>729</v>
      </c>
      <c r="D750" s="11">
        <v>14005.656000000001</v>
      </c>
      <c r="E750" s="25">
        <f t="shared" si="11"/>
        <v>19.212148148148149</v>
      </c>
      <c r="F750" s="11">
        <v>1856</v>
      </c>
      <c r="G750" s="17" t="str">
        <f>VLOOKUP(B750, 'Catégorie des articles'!A:E, 4, FALSE)</f>
        <v>BOULANGERIE</v>
      </c>
      <c r="H750" s="14">
        <f>IF(Tableau5[[#This Row],[Stock Moyen (UVC)]]&gt;0,1,0)</f>
        <v>1</v>
      </c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2.75" customHeight="1">
      <c r="A751" s="17">
        <v>202212</v>
      </c>
      <c r="B751" s="13">
        <v>5540246181016</v>
      </c>
      <c r="C751" s="8">
        <v>29427</v>
      </c>
      <c r="D751" s="8">
        <v>256275.6624</v>
      </c>
      <c r="E751" s="25">
        <f t="shared" si="11"/>
        <v>8.7088613314303185</v>
      </c>
      <c r="F751" s="8">
        <v>19656</v>
      </c>
      <c r="G751" s="17" t="str">
        <f>VLOOKUP(B751, 'Catégorie des articles'!A:E, 4, FALSE)</f>
        <v>VOLAILLE</v>
      </c>
      <c r="H751" s="14">
        <f>IF(Tableau5[[#This Row],[Stock Moyen (UVC)]]&gt;0,1,0)</f>
        <v>1</v>
      </c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2.75" customHeight="1">
      <c r="A752" s="17">
        <v>202212</v>
      </c>
      <c r="B752" s="15">
        <v>5540246181061</v>
      </c>
      <c r="C752" s="11">
        <v>80388</v>
      </c>
      <c r="D752" s="11">
        <v>117954.14400000001</v>
      </c>
      <c r="E752" s="25">
        <f t="shared" si="11"/>
        <v>1.4673103448275864</v>
      </c>
      <c r="F752" s="11">
        <v>84356</v>
      </c>
      <c r="G752" s="17" t="str">
        <f>VLOOKUP(B752, 'Catégorie des articles'!A:E, 4, FALSE)</f>
        <v>VOLAILLE</v>
      </c>
      <c r="H752" s="14">
        <f>IF(Tableau5[[#This Row],[Stock Moyen (UVC)]]&gt;0,1,0)</f>
        <v>1</v>
      </c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2.75" customHeight="1">
      <c r="A753" s="17">
        <v>202212</v>
      </c>
      <c r="B753" s="15">
        <v>5540246182684</v>
      </c>
      <c r="C753" s="11">
        <v>362</v>
      </c>
      <c r="D753" s="11">
        <v>18162.144</v>
      </c>
      <c r="E753" s="25">
        <f t="shared" si="11"/>
        <v>50.17166850828729</v>
      </c>
      <c r="F753" s="11">
        <v>601</v>
      </c>
      <c r="G753" s="17" t="str">
        <f>VLOOKUP(B753, 'Catégorie des articles'!A:E, 4, FALSE)</f>
        <v>BOULANGERIE</v>
      </c>
      <c r="H753" s="14">
        <f>IF(Tableau5[[#This Row],[Stock Moyen (UVC)]]&gt;0,1,0)</f>
        <v>1</v>
      </c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2.75" customHeight="1">
      <c r="A754" s="17">
        <v>202212</v>
      </c>
      <c r="B754" s="15">
        <v>5540246183130</v>
      </c>
      <c r="C754" s="11">
        <v>4511</v>
      </c>
      <c r="D754" s="11">
        <v>19097.251200000002</v>
      </c>
      <c r="E754" s="25">
        <f t="shared" si="11"/>
        <v>4.2334850809133231</v>
      </c>
      <c r="F754" s="11">
        <v>9438</v>
      </c>
      <c r="G754" s="17" t="str">
        <f>VLOOKUP(B754, 'Catégorie des articles'!A:E, 4, FALSE)</f>
        <v>MIX LEGUMES</v>
      </c>
      <c r="H754" s="14">
        <f>IF(Tableau5[[#This Row],[Stock Moyen (UVC)]]&gt;0,1,0)</f>
        <v>1</v>
      </c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2.75" customHeight="1">
      <c r="A755" s="17">
        <v>202212</v>
      </c>
      <c r="B755" s="15">
        <v>5540246183455</v>
      </c>
      <c r="C755" s="11">
        <v>418</v>
      </c>
      <c r="D755" s="11">
        <v>3341.3472000000002</v>
      </c>
      <c r="E755" s="25">
        <f t="shared" si="11"/>
        <v>7.9936535885167466</v>
      </c>
      <c r="F755" s="11">
        <v>604</v>
      </c>
      <c r="G755" s="17" t="str">
        <f>VLOOKUP(B755, 'Catégorie des articles'!A:E, 4, FALSE)</f>
        <v>MIX LEGUMES</v>
      </c>
      <c r="H755" s="14">
        <f>IF(Tableau5[[#This Row],[Stock Moyen (UVC)]]&gt;0,1,0)</f>
        <v>1</v>
      </c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2.75" customHeight="1">
      <c r="A756" s="17">
        <v>202212</v>
      </c>
      <c r="B756" s="15">
        <v>5540246183537</v>
      </c>
      <c r="C756" s="11">
        <v>2747</v>
      </c>
      <c r="D756" s="11">
        <v>3861.7344000000003</v>
      </c>
      <c r="E756" s="25">
        <f t="shared" si="11"/>
        <v>1.405800655260284</v>
      </c>
      <c r="F756" s="11">
        <v>4251</v>
      </c>
      <c r="G756" s="17" t="str">
        <f>VLOOKUP(B756, 'Catégorie des articles'!A:E, 4, FALSE)</f>
        <v>MIX LEGUMES</v>
      </c>
      <c r="H756" s="14">
        <f>IF(Tableau5[[#This Row],[Stock Moyen (UVC)]]&gt;0,1,0)</f>
        <v>1</v>
      </c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2.75" customHeight="1">
      <c r="A757" s="17">
        <v>202212</v>
      </c>
      <c r="B757" s="13">
        <v>5540246183538</v>
      </c>
      <c r="C757" s="8">
        <v>4548</v>
      </c>
      <c r="D757" s="8">
        <v>6858.4319999999998</v>
      </c>
      <c r="E757" s="25">
        <f t="shared" si="11"/>
        <v>1.5080105540897097</v>
      </c>
      <c r="F757" s="8">
        <v>4808</v>
      </c>
      <c r="G757" s="17" t="str">
        <f>VLOOKUP(B757, 'Catégorie des articles'!A:E, 4, FALSE)</f>
        <v>MIX LEGUMES</v>
      </c>
      <c r="H757" s="14">
        <f>IF(Tableau5[[#This Row],[Stock Moyen (UVC)]]&gt;0,1,0)</f>
        <v>1</v>
      </c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2.75" customHeight="1">
      <c r="A758" s="17">
        <v>202212</v>
      </c>
      <c r="B758" s="15">
        <v>5540246183541</v>
      </c>
      <c r="C758" s="11">
        <v>2112</v>
      </c>
      <c r="D758" s="11">
        <v>19027.007999999998</v>
      </c>
      <c r="E758" s="25">
        <f t="shared" si="11"/>
        <v>9.0089999999999986</v>
      </c>
      <c r="F758" s="11">
        <v>1392</v>
      </c>
      <c r="G758" s="17" t="str">
        <f>VLOOKUP(B758, 'Catégorie des articles'!A:E, 4, FALSE)</f>
        <v>MIX LEGUMES</v>
      </c>
      <c r="H758" s="14">
        <f>IF(Tableau5[[#This Row],[Stock Moyen (UVC)]]&gt;0,1,0)</f>
        <v>1</v>
      </c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2.75" customHeight="1">
      <c r="A759" s="17">
        <v>202212</v>
      </c>
      <c r="B759" s="13">
        <v>5540246183542</v>
      </c>
      <c r="C759" s="8">
        <v>1114</v>
      </c>
      <c r="D759" s="8">
        <v>3131.136</v>
      </c>
      <c r="E759" s="25">
        <f t="shared" si="11"/>
        <v>2.810714542190305</v>
      </c>
      <c r="F759" s="8">
        <v>1114</v>
      </c>
      <c r="G759" s="17" t="str">
        <f>VLOOKUP(B759, 'Catégorie des articles'!A:E, 4, FALSE)</f>
        <v>MIX LEGUMES</v>
      </c>
      <c r="H759" s="14">
        <f>IF(Tableau5[[#This Row],[Stock Moyen (UVC)]]&gt;0,1,0)</f>
        <v>1</v>
      </c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2.75" customHeight="1">
      <c r="A760" s="17">
        <v>202212</v>
      </c>
      <c r="B760" s="13">
        <v>5540246183547</v>
      </c>
      <c r="C760" s="8">
        <v>9802</v>
      </c>
      <c r="D760" s="8">
        <v>141270.48000000001</v>
      </c>
      <c r="E760" s="25">
        <f t="shared" si="11"/>
        <v>14.412413793103449</v>
      </c>
      <c r="F760" s="8">
        <v>17505</v>
      </c>
      <c r="G760" s="17" t="str">
        <f>VLOOKUP(B760, 'Catégorie des articles'!A:E, 4, FALSE)</f>
        <v>VOLAILLE</v>
      </c>
      <c r="H760" s="14">
        <f>IF(Tableau5[[#This Row],[Stock Moyen (UVC)]]&gt;0,1,0)</f>
        <v>1</v>
      </c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75" customHeight="1">
      <c r="A761" s="17">
        <v>202212</v>
      </c>
      <c r="B761" s="13">
        <v>5540246183552</v>
      </c>
      <c r="C761" s="8">
        <v>1318</v>
      </c>
      <c r="D761" s="8">
        <v>2429.2224000000006</v>
      </c>
      <c r="E761" s="25">
        <f t="shared" si="11"/>
        <v>1.8431125948406681</v>
      </c>
      <c r="F761" s="8">
        <v>446</v>
      </c>
      <c r="G761" s="17" t="str">
        <f>VLOOKUP(B761, 'Catégorie des articles'!A:E, 4, FALSE)</f>
        <v>MIX LEGUMES</v>
      </c>
      <c r="H761" s="14">
        <f>IF(Tableau5[[#This Row],[Stock Moyen (UVC)]]&gt;0,1,0)</f>
        <v>1</v>
      </c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75" customHeight="1">
      <c r="A762" s="17">
        <v>202212</v>
      </c>
      <c r="B762" s="15">
        <v>5540246183554</v>
      </c>
      <c r="C762" s="11">
        <v>1406</v>
      </c>
      <c r="D762" s="11">
        <v>10565.942400000002</v>
      </c>
      <c r="E762" s="25">
        <f t="shared" si="11"/>
        <v>7.5148950213371277</v>
      </c>
      <c r="F762" s="11">
        <v>516</v>
      </c>
      <c r="G762" s="17" t="str">
        <f>VLOOKUP(B762, 'Catégorie des articles'!A:E, 4, FALSE)</f>
        <v>MIX LEGUMES</v>
      </c>
      <c r="H762" s="14">
        <f>IF(Tableau5[[#This Row],[Stock Moyen (UVC)]]&gt;0,1,0)</f>
        <v>1</v>
      </c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2.75" customHeight="1">
      <c r="A763" s="17">
        <v>202212</v>
      </c>
      <c r="B763" s="13">
        <v>5540246183555</v>
      </c>
      <c r="C763" s="8">
        <v>576</v>
      </c>
      <c r="D763" s="8">
        <v>769.21920000000011</v>
      </c>
      <c r="E763" s="25">
        <f t="shared" si="11"/>
        <v>1.3354500000000002</v>
      </c>
      <c r="F763" s="8">
        <v>1188</v>
      </c>
      <c r="G763" s="17" t="str">
        <f>VLOOKUP(B763, 'Catégorie des articles'!A:E, 4, FALSE)</f>
        <v>MIX LEGUMES</v>
      </c>
      <c r="H763" s="14">
        <f>IF(Tableau5[[#This Row],[Stock Moyen (UVC)]]&gt;0,1,0)</f>
        <v>1</v>
      </c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2.75" customHeight="1">
      <c r="A764" s="17">
        <v>202212</v>
      </c>
      <c r="B764" s="15">
        <v>5540246183558</v>
      </c>
      <c r="C764" s="11">
        <v>8051</v>
      </c>
      <c r="D764" s="11">
        <v>46380.297600000005</v>
      </c>
      <c r="E764" s="25">
        <f t="shared" si="11"/>
        <v>5.7608120233511375</v>
      </c>
      <c r="F764" s="11">
        <v>7401</v>
      </c>
      <c r="G764" s="17" t="str">
        <f>VLOOKUP(B764, 'Catégorie des articles'!A:E, 4, FALSE)</f>
        <v>MIX LEGUMES</v>
      </c>
      <c r="H764" s="14">
        <f>IF(Tableau5[[#This Row],[Stock Moyen (UVC)]]&gt;0,1,0)</f>
        <v>1</v>
      </c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2.75" customHeight="1">
      <c r="A765" s="17">
        <v>202212</v>
      </c>
      <c r="B765" s="13">
        <v>5540246183560</v>
      </c>
      <c r="C765" s="8">
        <v>448</v>
      </c>
      <c r="D765" s="8">
        <v>10922.256000000001</v>
      </c>
      <c r="E765" s="25">
        <f t="shared" si="11"/>
        <v>24.380035714285718</v>
      </c>
      <c r="F765" s="8">
        <v>481</v>
      </c>
      <c r="G765" s="17" t="str">
        <f>VLOOKUP(B765, 'Catégorie des articles'!A:E, 4, FALSE)</f>
        <v>MIX LEGUMES</v>
      </c>
      <c r="H765" s="14">
        <f>IF(Tableau5[[#This Row],[Stock Moyen (UVC)]]&gt;0,1,0)</f>
        <v>1</v>
      </c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2.75" customHeight="1">
      <c r="A766" s="17">
        <v>202212</v>
      </c>
      <c r="B766" s="15">
        <v>5540246183587</v>
      </c>
      <c r="C766" s="11">
        <v>1177</v>
      </c>
      <c r="D766" s="11">
        <v>24771.614400000002</v>
      </c>
      <c r="E766" s="25">
        <f t="shared" si="11"/>
        <v>21.046401359388277</v>
      </c>
      <c r="F766" s="11">
        <v>773</v>
      </c>
      <c r="G766" s="17" t="str">
        <f>VLOOKUP(B766, 'Catégorie des articles'!A:E, 4, FALSE)</f>
        <v>MIX LEGUMES</v>
      </c>
      <c r="H766" s="14">
        <f>IF(Tableau5[[#This Row],[Stock Moyen (UVC)]]&gt;0,1,0)</f>
        <v>1</v>
      </c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2.75" customHeight="1">
      <c r="A767" s="17">
        <v>202212</v>
      </c>
      <c r="B767" s="13">
        <v>5540246183589</v>
      </c>
      <c r="C767" s="8">
        <v>2355</v>
      </c>
      <c r="D767" s="8">
        <v>31044.384000000002</v>
      </c>
      <c r="E767" s="25">
        <f t="shared" si="11"/>
        <v>13.182328662420383</v>
      </c>
      <c r="F767" s="8">
        <v>1984</v>
      </c>
      <c r="G767" s="17" t="str">
        <f>VLOOKUP(B767, 'Catégorie des articles'!A:E, 4, FALSE)</f>
        <v>MIX LEGUMES</v>
      </c>
      <c r="H767" s="14">
        <f>IF(Tableau5[[#This Row],[Stock Moyen (UVC)]]&gt;0,1,0)</f>
        <v>1</v>
      </c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75" customHeight="1">
      <c r="A768" s="17">
        <v>202212</v>
      </c>
      <c r="B768" s="15">
        <v>5540246183844</v>
      </c>
      <c r="C768" s="11">
        <v>481</v>
      </c>
      <c r="D768" s="11">
        <v>13860.720000000001</v>
      </c>
      <c r="E768" s="25">
        <f t="shared" si="11"/>
        <v>28.816465696465698</v>
      </c>
      <c r="F768" s="11">
        <v>411</v>
      </c>
      <c r="G768" s="17" t="str">
        <f>VLOOKUP(B768, 'Catégorie des articles'!A:E, 4, FALSE)</f>
        <v>BOULANGERIE</v>
      </c>
      <c r="H768" s="14">
        <f>IF(Tableau5[[#This Row],[Stock Moyen (UVC)]]&gt;0,1,0)</f>
        <v>1</v>
      </c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2.75" customHeight="1">
      <c r="A769" s="17">
        <v>202212</v>
      </c>
      <c r="B769" s="13">
        <v>5540246185278</v>
      </c>
      <c r="C769" s="8">
        <v>56114</v>
      </c>
      <c r="D769" s="8">
        <v>78261.37920000001</v>
      </c>
      <c r="E769" s="25">
        <f t="shared" si="11"/>
        <v>1.3946854474819119</v>
      </c>
      <c r="F769" s="8">
        <v>86114</v>
      </c>
      <c r="G769" s="17" t="str">
        <f>VLOOKUP(B769, 'Catégorie des articles'!A:E, 4, FALSE)</f>
        <v>VOLAILLE</v>
      </c>
      <c r="H769" s="14">
        <f>IF(Tableau5[[#This Row],[Stock Moyen (UVC)]]&gt;0,1,0)</f>
        <v>1</v>
      </c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75" customHeight="1">
      <c r="A770" s="17">
        <v>202212</v>
      </c>
      <c r="B770" s="15">
        <v>5540246185429</v>
      </c>
      <c r="C770" s="11">
        <v>168</v>
      </c>
      <c r="D770" s="11">
        <v>883.35360000000003</v>
      </c>
      <c r="E770" s="25">
        <f t="shared" si="11"/>
        <v>5.258057142857143</v>
      </c>
      <c r="F770" s="11">
        <v>321</v>
      </c>
      <c r="G770" s="17" t="str">
        <f>VLOOKUP(B770, 'Catégorie des articles'!A:E, 4, FALSE)</f>
        <v>CREMERIE</v>
      </c>
      <c r="H770" s="14">
        <f>IF(Tableau5[[#This Row],[Stock Moyen (UVC)]]&gt;0,1,0)</f>
        <v>1</v>
      </c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75" customHeight="1">
      <c r="A771" s="17">
        <v>202212</v>
      </c>
      <c r="B771" s="15">
        <v>5540246185562</v>
      </c>
      <c r="C771" s="11">
        <v>168</v>
      </c>
      <c r="D771" s="11">
        <v>485.22239999999999</v>
      </c>
      <c r="E771" s="25">
        <f t="shared" ref="E771:E834" si="12">IF(C771=0,"",D771/C771)</f>
        <v>2.8882285714285714</v>
      </c>
      <c r="F771" s="11">
        <v>529</v>
      </c>
      <c r="G771" s="17" t="str">
        <f>VLOOKUP(B771, 'Catégorie des articles'!A:E, 4, FALSE)</f>
        <v>CREMERIE</v>
      </c>
      <c r="H771" s="14">
        <f>IF(Tableau5[[#This Row],[Stock Moyen (UVC)]]&gt;0,1,0)</f>
        <v>1</v>
      </c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75" customHeight="1">
      <c r="A772" s="17">
        <v>202212</v>
      </c>
      <c r="B772" s="13">
        <v>5540246186010</v>
      </c>
      <c r="C772" s="8">
        <v>70</v>
      </c>
      <c r="D772" s="8">
        <v>10252.656000000001</v>
      </c>
      <c r="E772" s="25">
        <f t="shared" si="12"/>
        <v>146.46651428571431</v>
      </c>
      <c r="F772" s="8">
        <v>14</v>
      </c>
      <c r="G772" s="17" t="str">
        <f>VLOOKUP(B772, 'Catégorie des articles'!A:E, 4, FALSE)</f>
        <v>EMBALLAGES</v>
      </c>
      <c r="H772" s="14">
        <f>IF(Tableau5[[#This Row],[Stock Moyen (UVC)]]&gt;0,1,0)</f>
        <v>1</v>
      </c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2.75" customHeight="1">
      <c r="A773" s="17">
        <v>202212</v>
      </c>
      <c r="B773" s="15">
        <v>5540246186011</v>
      </c>
      <c r="C773" s="11">
        <v>63</v>
      </c>
      <c r="D773" s="11">
        <v>3566.8512000000001</v>
      </c>
      <c r="E773" s="25">
        <f t="shared" si="12"/>
        <v>56.616685714285715</v>
      </c>
      <c r="F773" s="11">
        <v>12</v>
      </c>
      <c r="G773" s="17" t="str">
        <f>VLOOKUP(B773, 'Catégorie des articles'!A:E, 4, FALSE)</f>
        <v>EMBALLAGES</v>
      </c>
      <c r="H773" s="14">
        <f>IF(Tableau5[[#This Row],[Stock Moyen (UVC)]]&gt;0,1,0)</f>
        <v>1</v>
      </c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75" customHeight="1">
      <c r="A774" s="17">
        <v>202212</v>
      </c>
      <c r="B774" s="13">
        <v>5540246186017</v>
      </c>
      <c r="C774" s="8">
        <v>45</v>
      </c>
      <c r="D774" s="8">
        <v>4667.0688</v>
      </c>
      <c r="E774" s="25">
        <f t="shared" si="12"/>
        <v>103.71263999999999</v>
      </c>
      <c r="F774" s="8">
        <v>10</v>
      </c>
      <c r="G774" s="17" t="str">
        <f>VLOOKUP(B774, 'Catégorie des articles'!A:E, 4, FALSE)</f>
        <v>EMBALLAGES</v>
      </c>
      <c r="H774" s="14">
        <f>IF(Tableau5[[#This Row],[Stock Moyen (UVC)]]&gt;0,1,0)</f>
        <v>1</v>
      </c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75" customHeight="1">
      <c r="A775" s="17">
        <v>202212</v>
      </c>
      <c r="B775" s="15">
        <v>5540246186325</v>
      </c>
      <c r="C775" s="11">
        <v>181</v>
      </c>
      <c r="D775" s="11">
        <v>444.78719999999998</v>
      </c>
      <c r="E775" s="25">
        <f t="shared" si="12"/>
        <v>2.4573878453038671</v>
      </c>
      <c r="F775" s="11">
        <v>794</v>
      </c>
      <c r="G775" s="17" t="str">
        <f>VLOOKUP(B775, 'Catégorie des articles'!A:E, 4, FALSE)</f>
        <v>CREMERIE</v>
      </c>
      <c r="H775" s="14">
        <f>IF(Tableau5[[#This Row],[Stock Moyen (UVC)]]&gt;0,1,0)</f>
        <v>1</v>
      </c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75" customHeight="1">
      <c r="A776" s="17">
        <v>202212</v>
      </c>
      <c r="B776" s="13">
        <v>5540246186351</v>
      </c>
      <c r="C776" s="8">
        <v>919</v>
      </c>
      <c r="D776" s="8">
        <v>54452.217600000004</v>
      </c>
      <c r="E776" s="25">
        <f t="shared" si="12"/>
        <v>59.251596953210012</v>
      </c>
      <c r="F776" s="8">
        <v>188</v>
      </c>
      <c r="G776" s="17" t="str">
        <f>VLOOKUP(B776, 'Catégorie des articles'!A:E, 4, FALSE)</f>
        <v>MIX LEGUMES</v>
      </c>
      <c r="H776" s="14">
        <f>IF(Tableau5[[#This Row],[Stock Moyen (UVC)]]&gt;0,1,0)</f>
        <v>1</v>
      </c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75" customHeight="1">
      <c r="A777" s="17">
        <v>202212</v>
      </c>
      <c r="B777" s="15">
        <v>5540246186352</v>
      </c>
      <c r="C777" s="11">
        <v>2123</v>
      </c>
      <c r="D777" s="11">
        <v>22333.32</v>
      </c>
      <c r="E777" s="25">
        <f t="shared" si="12"/>
        <v>10.519698539802167</v>
      </c>
      <c r="F777" s="11">
        <v>1914</v>
      </c>
      <c r="G777" s="17" t="str">
        <f>VLOOKUP(B777, 'Catégorie des articles'!A:E, 4, FALSE)</f>
        <v>MIX LEGUMES</v>
      </c>
      <c r="H777" s="14">
        <f>IF(Tableau5[[#This Row],[Stock Moyen (UVC)]]&gt;0,1,0)</f>
        <v>1</v>
      </c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2.75" customHeight="1">
      <c r="A778" s="17">
        <v>202212</v>
      </c>
      <c r="B778" s="15">
        <v>5540246187882</v>
      </c>
      <c r="C778" s="11">
        <v>195</v>
      </c>
      <c r="D778" s="11">
        <v>7813.152</v>
      </c>
      <c r="E778" s="25">
        <f t="shared" si="12"/>
        <v>40.067446153846156</v>
      </c>
      <c r="F778" s="11">
        <v>7</v>
      </c>
      <c r="G778" s="17" t="str">
        <f>VLOOKUP(B778, 'Catégorie des articles'!A:E, 4, FALSE)</f>
        <v>EMBALLAGES</v>
      </c>
      <c r="H778" s="14">
        <f>IF(Tableau5[[#This Row],[Stock Moyen (UVC)]]&gt;0,1,0)</f>
        <v>1</v>
      </c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2.75" customHeight="1">
      <c r="A779" s="17">
        <v>202212</v>
      </c>
      <c r="B779" s="13">
        <v>5540246187987</v>
      </c>
      <c r="C779" s="8">
        <v>335</v>
      </c>
      <c r="D779" s="8">
        <v>166.10400000000001</v>
      </c>
      <c r="E779" s="25">
        <f t="shared" si="12"/>
        <v>0.49583283582089555</v>
      </c>
      <c r="F779" s="8">
        <v>59300</v>
      </c>
      <c r="G779" s="17" t="str">
        <f>VLOOKUP(B779, 'Catégorie des articles'!A:E, 4, FALSE)</f>
        <v>CREMERIE</v>
      </c>
      <c r="H779" s="14">
        <f>IF(Tableau5[[#This Row],[Stock Moyen (UVC)]]&gt;0,1,0)</f>
        <v>1</v>
      </c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2.75" customHeight="1">
      <c r="A780" s="17">
        <v>202212</v>
      </c>
      <c r="B780" s="15">
        <v>5540246187995</v>
      </c>
      <c r="C780" s="11">
        <v>3084</v>
      </c>
      <c r="D780" s="11">
        <v>270471.70080000005</v>
      </c>
      <c r="E780" s="25">
        <f t="shared" si="12"/>
        <v>87.701589105058389</v>
      </c>
      <c r="F780" s="11">
        <v>1228</v>
      </c>
      <c r="G780" s="17" t="str">
        <f>VLOOKUP(B780, 'Catégorie des articles'!A:E, 4, FALSE)</f>
        <v>EMBALLAGES</v>
      </c>
      <c r="H780" s="14">
        <f>IF(Tableau5[[#This Row],[Stock Moyen (UVC)]]&gt;0,1,0)</f>
        <v>1</v>
      </c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2.75" customHeight="1">
      <c r="A781" s="17">
        <v>202212</v>
      </c>
      <c r="B781" s="13">
        <v>5540246187996</v>
      </c>
      <c r="C781" s="8">
        <v>249</v>
      </c>
      <c r="D781" s="8">
        <v>11477.4192</v>
      </c>
      <c r="E781" s="25">
        <f t="shared" si="12"/>
        <v>46.094053012048192</v>
      </c>
      <c r="F781" s="8">
        <v>10</v>
      </c>
      <c r="G781" s="17" t="str">
        <f>VLOOKUP(B781, 'Catégorie des articles'!A:E, 4, FALSE)</f>
        <v>EMBALLAGES</v>
      </c>
      <c r="H781" s="14">
        <f>IF(Tableau5[[#This Row],[Stock Moyen (UVC)]]&gt;0,1,0)</f>
        <v>1</v>
      </c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75" customHeight="1">
      <c r="A782" s="17">
        <v>202212</v>
      </c>
      <c r="B782" s="15">
        <v>5540246187997</v>
      </c>
      <c r="C782" s="11">
        <v>362</v>
      </c>
      <c r="D782" s="11">
        <v>18081.2736</v>
      </c>
      <c r="E782" s="25">
        <f t="shared" si="12"/>
        <v>49.948269613259669</v>
      </c>
      <c r="F782" s="11">
        <v>93</v>
      </c>
      <c r="G782" s="17" t="str">
        <f>VLOOKUP(B782, 'Catégorie des articles'!A:E, 4, FALSE)</f>
        <v>EMBALLAGES</v>
      </c>
      <c r="H782" s="14">
        <f>IF(Tableau5[[#This Row],[Stock Moyen (UVC)]]&gt;0,1,0)</f>
        <v>1</v>
      </c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75" customHeight="1">
      <c r="A783" s="17">
        <v>202212</v>
      </c>
      <c r="B783" s="13">
        <v>5540246187998</v>
      </c>
      <c r="C783" s="8">
        <v>1891</v>
      </c>
      <c r="D783" s="8">
        <v>97209.288000000015</v>
      </c>
      <c r="E783" s="25">
        <f t="shared" si="12"/>
        <v>51.406286620835544</v>
      </c>
      <c r="F783" s="8">
        <v>432</v>
      </c>
      <c r="G783" s="17" t="str">
        <f>VLOOKUP(B783, 'Catégorie des articles'!A:E, 4, FALSE)</f>
        <v>EMBALLAGES</v>
      </c>
      <c r="H783" s="14">
        <f>IF(Tableau5[[#This Row],[Stock Moyen (UVC)]]&gt;0,1,0)</f>
        <v>1</v>
      </c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75" customHeight="1">
      <c r="A784" s="17">
        <v>202212</v>
      </c>
      <c r="B784" s="13">
        <v>5540246188047</v>
      </c>
      <c r="C784" s="8">
        <v>158</v>
      </c>
      <c r="D784" s="8">
        <v>19217.779200000004</v>
      </c>
      <c r="E784" s="25">
        <f t="shared" si="12"/>
        <v>121.63151392405067</v>
      </c>
      <c r="F784" s="8">
        <v>31</v>
      </c>
      <c r="G784" s="17" t="str">
        <f>VLOOKUP(B784, 'Catégorie des articles'!A:E, 4, FALSE)</f>
        <v>EMBALLAGES</v>
      </c>
      <c r="H784" s="14">
        <f>IF(Tableau5[[#This Row],[Stock Moyen (UVC)]]&gt;0,1,0)</f>
        <v>1</v>
      </c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75" customHeight="1">
      <c r="A785" s="17">
        <v>202212</v>
      </c>
      <c r="B785" s="15">
        <v>5540246188175</v>
      </c>
      <c r="C785" s="11">
        <v>19</v>
      </c>
      <c r="D785" s="11">
        <v>539.5680000000001</v>
      </c>
      <c r="E785" s="25">
        <f t="shared" si="12"/>
        <v>28.398315789473688</v>
      </c>
      <c r="F785" s="11">
        <v>956</v>
      </c>
      <c r="G785" s="17" t="str">
        <f>VLOOKUP(B785, 'Catégorie des articles'!A:E, 4, FALSE)</f>
        <v>CREMERIE</v>
      </c>
      <c r="H785" s="14">
        <f>IF(Tableau5[[#This Row],[Stock Moyen (UVC)]]&gt;0,1,0)</f>
        <v>1</v>
      </c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75" customHeight="1">
      <c r="A786" s="17">
        <v>202212</v>
      </c>
      <c r="B786" s="15">
        <v>5540246188200</v>
      </c>
      <c r="C786" s="11">
        <v>632</v>
      </c>
      <c r="D786" s="11">
        <v>1184.4576000000002</v>
      </c>
      <c r="E786" s="25">
        <f t="shared" si="12"/>
        <v>1.8741417721518989</v>
      </c>
      <c r="F786" s="11">
        <v>16964</v>
      </c>
      <c r="G786" s="17" t="str">
        <f>VLOOKUP(B786, 'Catégorie des articles'!A:E, 4, FALSE)</f>
        <v>CREMERIE</v>
      </c>
      <c r="H786" s="14">
        <f>IF(Tableau5[[#This Row],[Stock Moyen (UVC)]]&gt;0,1,0)</f>
        <v>1</v>
      </c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75" customHeight="1">
      <c r="A787" s="17">
        <v>202212</v>
      </c>
      <c r="B787" s="13">
        <v>5540246188512</v>
      </c>
      <c r="C787" s="8">
        <v>323</v>
      </c>
      <c r="D787" s="8">
        <v>44207.337600000006</v>
      </c>
      <c r="E787" s="25">
        <f t="shared" si="12"/>
        <v>136.86482229102168</v>
      </c>
      <c r="F787" s="8">
        <v>0</v>
      </c>
      <c r="G787" s="17" t="str">
        <f>VLOOKUP(B787, 'Catégorie des articles'!A:E, 4, FALSE)</f>
        <v>EMBALLAGES</v>
      </c>
      <c r="H787" s="14">
        <f>IF(Tableau5[[#This Row],[Stock Moyen (UVC)]]&gt;0,1,0)</f>
        <v>1</v>
      </c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75" customHeight="1">
      <c r="A788" s="17">
        <v>202212</v>
      </c>
      <c r="B788" s="15">
        <v>5540246190092</v>
      </c>
      <c r="C788" s="11">
        <v>272</v>
      </c>
      <c r="D788" s="11">
        <v>35486.424000000006</v>
      </c>
      <c r="E788" s="25">
        <f t="shared" si="12"/>
        <v>130.46479411764707</v>
      </c>
      <c r="F788" s="11">
        <v>42</v>
      </c>
      <c r="G788" s="17" t="str">
        <f>VLOOKUP(B788, 'Catégorie des articles'!A:E, 4, FALSE)</f>
        <v>EMBALLAGES</v>
      </c>
      <c r="H788" s="14">
        <f>IF(Tableau5[[#This Row],[Stock Moyen (UVC)]]&gt;0,1,0)</f>
        <v>1</v>
      </c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75" customHeight="1">
      <c r="A789" s="17">
        <v>202212</v>
      </c>
      <c r="B789" s="13">
        <v>5540246190727</v>
      </c>
      <c r="C789" s="8">
        <v>93</v>
      </c>
      <c r="D789" s="8">
        <v>1048.7232000000001</v>
      </c>
      <c r="E789" s="25">
        <f t="shared" si="12"/>
        <v>11.276593548387098</v>
      </c>
      <c r="F789" s="8">
        <v>720</v>
      </c>
      <c r="G789" s="17" t="str">
        <f>VLOOKUP(B789, 'Catégorie des articles'!A:E, 4, FALSE)</f>
        <v>BOULANGERIE</v>
      </c>
      <c r="H789" s="14">
        <f>IF(Tableau5[[#This Row],[Stock Moyen (UVC)]]&gt;0,1,0)</f>
        <v>1</v>
      </c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2.75" customHeight="1">
      <c r="A790" s="17">
        <v>202212</v>
      </c>
      <c r="B790" s="13">
        <v>5540246190743</v>
      </c>
      <c r="C790" s="8">
        <v>209</v>
      </c>
      <c r="D790" s="8">
        <v>1796.6448</v>
      </c>
      <c r="E790" s="25">
        <f t="shared" si="12"/>
        <v>8.5963866028708136</v>
      </c>
      <c r="F790" s="8">
        <v>766</v>
      </c>
      <c r="G790" s="17" t="str">
        <f>VLOOKUP(B790, 'Catégorie des articles'!A:E, 4, FALSE)</f>
        <v>CREMERIE</v>
      </c>
      <c r="H790" s="14">
        <f>IF(Tableau5[[#This Row],[Stock Moyen (UVC)]]&gt;0,1,0)</f>
        <v>1</v>
      </c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2.75" customHeight="1">
      <c r="A791" s="17">
        <v>202212</v>
      </c>
      <c r="B791" s="13">
        <v>5540246190831</v>
      </c>
      <c r="C791" s="8">
        <v>580</v>
      </c>
      <c r="D791" s="8">
        <v>4364.2800000000007</v>
      </c>
      <c r="E791" s="25">
        <f t="shared" si="12"/>
        <v>7.5246206896551735</v>
      </c>
      <c r="F791" s="8">
        <v>93</v>
      </c>
      <c r="G791" s="17" t="str">
        <f>VLOOKUP(B791, 'Catégorie des articles'!A:E, 4, FALSE)</f>
        <v>MIX LEGUMES</v>
      </c>
      <c r="H791" s="14">
        <f>IF(Tableau5[[#This Row],[Stock Moyen (UVC)]]&gt;0,1,0)</f>
        <v>1</v>
      </c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2.75" customHeight="1">
      <c r="A792" s="17">
        <v>202212</v>
      </c>
      <c r="B792" s="15">
        <v>5540246190835</v>
      </c>
      <c r="C792" s="11">
        <v>52</v>
      </c>
      <c r="D792" s="11">
        <v>10788.9408</v>
      </c>
      <c r="E792" s="25">
        <f t="shared" si="12"/>
        <v>207.47963076923077</v>
      </c>
      <c r="F792" s="11">
        <v>26</v>
      </c>
      <c r="G792" s="17" t="str">
        <f>VLOOKUP(B792, 'Catégorie des articles'!A:E, 4, FALSE)</f>
        <v>BOULANGERIE</v>
      </c>
      <c r="H792" s="14">
        <f>IF(Tableau5[[#This Row],[Stock Moyen (UVC)]]&gt;0,1,0)</f>
        <v>1</v>
      </c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2.75" customHeight="1">
      <c r="A793" s="17">
        <v>202212</v>
      </c>
      <c r="B793" s="13">
        <v>5540246191394</v>
      </c>
      <c r="C793" s="8">
        <v>1508</v>
      </c>
      <c r="D793" s="8">
        <v>8053.344000000001</v>
      </c>
      <c r="E793" s="25">
        <f t="shared" si="12"/>
        <v>5.3404137931034485</v>
      </c>
      <c r="F793" s="8">
        <v>1508</v>
      </c>
      <c r="G793" s="17" t="str">
        <f>VLOOKUP(B793, 'Catégorie des articles'!A:E, 4, FALSE)</f>
        <v>CREMERIE</v>
      </c>
      <c r="H793" s="14">
        <f>IF(Tableau5[[#This Row],[Stock Moyen (UVC)]]&gt;0,1,0)</f>
        <v>1</v>
      </c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2.75" customHeight="1">
      <c r="A794" s="17">
        <v>202212</v>
      </c>
      <c r="B794" s="13">
        <v>5540246191594</v>
      </c>
      <c r="C794" s="8">
        <v>2979</v>
      </c>
      <c r="D794" s="8">
        <v>5347.2096000000001</v>
      </c>
      <c r="E794" s="25">
        <f t="shared" si="12"/>
        <v>1.7949679758308157</v>
      </c>
      <c r="F794" s="8">
        <v>2979</v>
      </c>
      <c r="G794" s="17" t="str">
        <f>VLOOKUP(B794, 'Catégorie des articles'!A:E, 4, FALSE)</f>
        <v>CREMERIE</v>
      </c>
      <c r="H794" s="14">
        <f>IF(Tableau5[[#This Row],[Stock Moyen (UVC)]]&gt;0,1,0)</f>
        <v>1</v>
      </c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2.75" customHeight="1">
      <c r="A795" s="17">
        <v>202212</v>
      </c>
      <c r="B795" s="15">
        <v>5540246191596</v>
      </c>
      <c r="C795" s="11">
        <v>147</v>
      </c>
      <c r="D795" s="11">
        <v>8883.3024000000005</v>
      </c>
      <c r="E795" s="25">
        <f t="shared" si="12"/>
        <v>60.430628571428578</v>
      </c>
      <c r="F795" s="11">
        <v>212</v>
      </c>
      <c r="G795" s="17" t="str">
        <f>VLOOKUP(B795, 'Catégorie des articles'!A:E, 4, FALSE)</f>
        <v>BOULANGERIE</v>
      </c>
      <c r="H795" s="14">
        <f>IF(Tableau5[[#This Row],[Stock Moyen (UVC)]]&gt;0,1,0)</f>
        <v>1</v>
      </c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75" customHeight="1">
      <c r="A796" s="17">
        <v>202212</v>
      </c>
      <c r="B796" s="13">
        <v>5540246191598</v>
      </c>
      <c r="C796" s="8">
        <v>1476</v>
      </c>
      <c r="D796" s="8">
        <v>2821.6943999999999</v>
      </c>
      <c r="E796" s="25">
        <f t="shared" si="12"/>
        <v>1.9117170731707316</v>
      </c>
      <c r="F796" s="8">
        <v>4594</v>
      </c>
      <c r="G796" s="17" t="str">
        <f>VLOOKUP(B796, 'Catégorie des articles'!A:E, 4, FALSE)</f>
        <v>CREMERIE</v>
      </c>
      <c r="H796" s="14">
        <f>IF(Tableau5[[#This Row],[Stock Moyen (UVC)]]&gt;0,1,0)</f>
        <v>1</v>
      </c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75" customHeight="1">
      <c r="A797" s="17">
        <v>202212</v>
      </c>
      <c r="B797" s="15">
        <v>5540246191718</v>
      </c>
      <c r="C797" s="11">
        <v>1754</v>
      </c>
      <c r="D797" s="11">
        <v>5199.3360000000002</v>
      </c>
      <c r="E797" s="25">
        <f t="shared" si="12"/>
        <v>2.9642736602052451</v>
      </c>
      <c r="F797" s="11">
        <v>293</v>
      </c>
      <c r="G797" s="17" t="str">
        <f>VLOOKUP(B797, 'Catégorie des articles'!A:E, 4, FALSE)</f>
        <v>MIX LEGUMES</v>
      </c>
      <c r="H797" s="14">
        <f>IF(Tableau5[[#This Row],[Stock Moyen (UVC)]]&gt;0,1,0)</f>
        <v>1</v>
      </c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75" customHeight="1">
      <c r="A798" s="17">
        <v>202212</v>
      </c>
      <c r="B798" s="15">
        <v>5540246191736</v>
      </c>
      <c r="C798" s="11">
        <v>898</v>
      </c>
      <c r="D798" s="11">
        <v>29523.009600000001</v>
      </c>
      <c r="E798" s="25">
        <f t="shared" si="12"/>
        <v>32.876402672605792</v>
      </c>
      <c r="F798" s="11">
        <v>82</v>
      </c>
      <c r="G798" s="17" t="str">
        <f>VLOOKUP(B798, 'Catégorie des articles'!A:E, 4, FALSE)</f>
        <v>CREMERIE</v>
      </c>
      <c r="H798" s="14">
        <f>IF(Tableau5[[#This Row],[Stock Moyen (UVC)]]&gt;0,1,0)</f>
        <v>1</v>
      </c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75" customHeight="1">
      <c r="A799" s="17">
        <v>202212</v>
      </c>
      <c r="B799" s="15">
        <v>5540246192102</v>
      </c>
      <c r="C799" s="11">
        <v>3216</v>
      </c>
      <c r="D799" s="11">
        <v>3951.7632000000003</v>
      </c>
      <c r="E799" s="25">
        <f t="shared" si="12"/>
        <v>1.228782089552239</v>
      </c>
      <c r="F799" s="11">
        <v>12116</v>
      </c>
      <c r="G799" s="17" t="str">
        <f>VLOOKUP(B799, 'Catégorie des articles'!A:E, 4, FALSE)</f>
        <v>CREMERIE</v>
      </c>
      <c r="H799" s="14">
        <f>IF(Tableau5[[#This Row],[Stock Moyen (UVC)]]&gt;0,1,0)</f>
        <v>1</v>
      </c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2.75" customHeight="1">
      <c r="A800" s="17">
        <v>202212</v>
      </c>
      <c r="B800" s="15">
        <v>5540246192148</v>
      </c>
      <c r="C800" s="11">
        <v>6682</v>
      </c>
      <c r="D800" s="11">
        <v>27458.611199999999</v>
      </c>
      <c r="E800" s="25">
        <f t="shared" si="12"/>
        <v>4.1093401975456452</v>
      </c>
      <c r="F800" s="11">
        <v>62919</v>
      </c>
      <c r="G800" s="17" t="str">
        <f>VLOOKUP(B800, 'Catégorie des articles'!A:E, 4, FALSE)</f>
        <v>MIX LEGUMES</v>
      </c>
      <c r="H800" s="14">
        <f>IF(Tableau5[[#This Row],[Stock Moyen (UVC)]]&gt;0,1,0)</f>
        <v>1</v>
      </c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2.75" customHeight="1">
      <c r="A801" s="17">
        <v>202212</v>
      </c>
      <c r="B801" s="13">
        <v>5540246192209</v>
      </c>
      <c r="C801" s="8">
        <v>3606</v>
      </c>
      <c r="D801" s="8">
        <v>18615.916799999999</v>
      </c>
      <c r="E801" s="25">
        <f t="shared" si="12"/>
        <v>5.1624838602329453</v>
      </c>
      <c r="F801" s="8">
        <v>3564</v>
      </c>
      <c r="G801" s="17" t="str">
        <f>VLOOKUP(B801, 'Catégorie des articles'!A:E, 4, FALSE)</f>
        <v>MIX LEGUMES</v>
      </c>
      <c r="H801" s="14">
        <f>IF(Tableau5[[#This Row],[Stock Moyen (UVC)]]&gt;0,1,0)</f>
        <v>1</v>
      </c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75" customHeight="1">
      <c r="A802" s="17">
        <v>202212</v>
      </c>
      <c r="B802" s="13">
        <v>5540246192462</v>
      </c>
      <c r="C802" s="8">
        <v>873</v>
      </c>
      <c r="D802" s="8">
        <v>6235.7472000000007</v>
      </c>
      <c r="E802" s="25">
        <f t="shared" si="12"/>
        <v>7.1428948453608259</v>
      </c>
      <c r="F802" s="8">
        <v>632</v>
      </c>
      <c r="G802" s="17" t="str">
        <f>VLOOKUP(B802, 'Catégorie des articles'!A:E, 4, FALSE)</f>
        <v>MIX LEGUMES</v>
      </c>
      <c r="H802" s="14">
        <f>IF(Tableau5[[#This Row],[Stock Moyen (UVC)]]&gt;0,1,0)</f>
        <v>1</v>
      </c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2.75" customHeight="1">
      <c r="A803" s="17">
        <v>202212</v>
      </c>
      <c r="B803" s="13">
        <v>5540246192518</v>
      </c>
      <c r="C803" s="8">
        <v>5012</v>
      </c>
      <c r="D803" s="8">
        <v>38808.460800000008</v>
      </c>
      <c r="E803" s="25">
        <f t="shared" si="12"/>
        <v>7.743108699122109</v>
      </c>
      <c r="F803" s="8">
        <v>10858</v>
      </c>
      <c r="G803" s="17" t="str">
        <f>VLOOKUP(B803, 'Catégorie des articles'!A:E, 4, FALSE)</f>
        <v>MIX LEGUMES</v>
      </c>
      <c r="H803" s="14">
        <f>IF(Tableau5[[#This Row],[Stock Moyen (UVC)]]&gt;0,1,0)</f>
        <v>1</v>
      </c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2.75" customHeight="1">
      <c r="A804" s="17">
        <v>202212</v>
      </c>
      <c r="B804" s="15">
        <v>5540246192571</v>
      </c>
      <c r="C804" s="11">
        <v>1991</v>
      </c>
      <c r="D804" s="11">
        <v>8880.9264000000003</v>
      </c>
      <c r="E804" s="25">
        <f t="shared" si="12"/>
        <v>4.460535610246108</v>
      </c>
      <c r="F804" s="11">
        <v>1573</v>
      </c>
      <c r="G804" s="17" t="str">
        <f>VLOOKUP(B804, 'Catégorie des articles'!A:E, 4, FALSE)</f>
        <v>MIX LEGUMES</v>
      </c>
      <c r="H804" s="14">
        <f>IF(Tableau5[[#This Row],[Stock Moyen (UVC)]]&gt;0,1,0)</f>
        <v>1</v>
      </c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2.75" customHeight="1">
      <c r="A805" s="17">
        <v>202212</v>
      </c>
      <c r="B805" s="13">
        <v>5540246192594</v>
      </c>
      <c r="C805" s="8">
        <v>251</v>
      </c>
      <c r="D805" s="8">
        <v>1826.5824</v>
      </c>
      <c r="E805" s="25">
        <f t="shared" si="12"/>
        <v>7.277220717131474</v>
      </c>
      <c r="F805" s="8">
        <v>901</v>
      </c>
      <c r="G805" s="17" t="str">
        <f>VLOOKUP(B805, 'Catégorie des articles'!A:E, 4, FALSE)</f>
        <v>MIX LEGUMES</v>
      </c>
      <c r="H805" s="14">
        <f>IF(Tableau5[[#This Row],[Stock Moyen (UVC)]]&gt;0,1,0)</f>
        <v>1</v>
      </c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2.75" customHeight="1">
      <c r="A806" s="17">
        <v>202212</v>
      </c>
      <c r="B806" s="13">
        <v>5540246192831</v>
      </c>
      <c r="C806" s="8">
        <v>576</v>
      </c>
      <c r="D806" s="8">
        <v>5099.6736000000001</v>
      </c>
      <c r="E806" s="25">
        <f t="shared" si="12"/>
        <v>8.8536000000000001</v>
      </c>
      <c r="F806" s="8">
        <v>780</v>
      </c>
      <c r="G806" s="17" t="str">
        <f>VLOOKUP(B806, 'Catégorie des articles'!A:E, 4, FALSE)</f>
        <v>MIX LEGUMES</v>
      </c>
      <c r="H806" s="14">
        <f>IF(Tableau5[[#This Row],[Stock Moyen (UVC)]]&gt;0,1,0)</f>
        <v>1</v>
      </c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2.75" customHeight="1">
      <c r="A807" s="17">
        <v>202212</v>
      </c>
      <c r="B807" s="15">
        <v>5540246192907</v>
      </c>
      <c r="C807" s="11">
        <v>2404</v>
      </c>
      <c r="D807" s="11">
        <v>67468.464000000007</v>
      </c>
      <c r="E807" s="25">
        <f t="shared" si="12"/>
        <v>28.065084858569055</v>
      </c>
      <c r="F807" s="11">
        <v>4659</v>
      </c>
      <c r="G807" s="17" t="str">
        <f>VLOOKUP(B807, 'Catégorie des articles'!A:E, 4, FALSE)</f>
        <v>VOLAILLE</v>
      </c>
      <c r="H807" s="14">
        <f>IF(Tableau5[[#This Row],[Stock Moyen (UVC)]]&gt;0,1,0)</f>
        <v>1</v>
      </c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2.75" customHeight="1">
      <c r="A808" s="17">
        <v>202212</v>
      </c>
      <c r="B808" s="13">
        <v>5540246193316</v>
      </c>
      <c r="C808" s="8">
        <v>864</v>
      </c>
      <c r="D808" s="8">
        <v>29344.550400000004</v>
      </c>
      <c r="E808" s="25">
        <f t="shared" si="12"/>
        <v>33.963600000000007</v>
      </c>
      <c r="F808" s="8">
        <v>594</v>
      </c>
      <c r="G808" s="17" t="str">
        <f>VLOOKUP(B808, 'Catégorie des articles'!A:E, 4, FALSE)</f>
        <v>BOULANGERIE</v>
      </c>
      <c r="H808" s="14">
        <f>IF(Tableau5[[#This Row],[Stock Moyen (UVC)]]&gt;0,1,0)</f>
        <v>1</v>
      </c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2.75" customHeight="1">
      <c r="A809" s="17">
        <v>202212</v>
      </c>
      <c r="B809" s="15">
        <v>5540246193409</v>
      </c>
      <c r="C809" s="11">
        <v>77</v>
      </c>
      <c r="D809" s="11">
        <v>3934.6559999999999</v>
      </c>
      <c r="E809" s="25">
        <f t="shared" si="12"/>
        <v>51.099428571428568</v>
      </c>
      <c r="F809" s="11">
        <v>14</v>
      </c>
      <c r="G809" s="17" t="str">
        <f>VLOOKUP(B809, 'Catégorie des articles'!A:E, 4, FALSE)</f>
        <v>BOULANGERIE</v>
      </c>
      <c r="H809" s="14">
        <f>IF(Tableau5[[#This Row],[Stock Moyen (UVC)]]&gt;0,1,0)</f>
        <v>1</v>
      </c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2.75" customHeight="1">
      <c r="A810" s="17">
        <v>202212</v>
      </c>
      <c r="B810" s="13">
        <v>5540246193878</v>
      </c>
      <c r="C810" s="8">
        <v>13804</v>
      </c>
      <c r="D810" s="8">
        <v>97675.200000000012</v>
      </c>
      <c r="E810" s="25">
        <f t="shared" si="12"/>
        <v>7.0758620689655185</v>
      </c>
      <c r="F810" s="8">
        <v>6682</v>
      </c>
      <c r="G810" s="17" t="str">
        <f>VLOOKUP(B810, 'Catégorie des articles'!A:E, 4, FALSE)</f>
        <v>VOLAILLE</v>
      </c>
      <c r="H810" s="14">
        <f>IF(Tableau5[[#This Row],[Stock Moyen (UVC)]]&gt;0,1,0)</f>
        <v>1</v>
      </c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2.75" customHeight="1">
      <c r="A811" s="17">
        <v>202212</v>
      </c>
      <c r="B811" s="13">
        <v>5540246194467</v>
      </c>
      <c r="C811" s="8">
        <v>64422</v>
      </c>
      <c r="D811" s="8">
        <v>64897.156800000004</v>
      </c>
      <c r="E811" s="25">
        <f t="shared" si="12"/>
        <v>1.007375691533948</v>
      </c>
      <c r="F811" s="8">
        <v>54901</v>
      </c>
      <c r="G811" s="17" t="str">
        <f>VLOOKUP(B811, 'Catégorie des articles'!A:E, 4, FALSE)</f>
        <v>BOULANGERIE</v>
      </c>
      <c r="H811" s="14">
        <f>IF(Tableau5[[#This Row],[Stock Moyen (UVC)]]&gt;0,1,0)</f>
        <v>1</v>
      </c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2.75" customHeight="1">
      <c r="A812" s="17">
        <v>202212</v>
      </c>
      <c r="B812" s="15">
        <v>5540246194478</v>
      </c>
      <c r="C812" s="11">
        <v>14</v>
      </c>
      <c r="D812" s="11">
        <v>605.75040000000001</v>
      </c>
      <c r="E812" s="25">
        <f t="shared" si="12"/>
        <v>43.267885714285718</v>
      </c>
      <c r="F812" s="11">
        <v>17</v>
      </c>
      <c r="G812" s="17" t="str">
        <f>VLOOKUP(B812, 'Catégorie des articles'!A:E, 4, FALSE)</f>
        <v>EMBALLAGES</v>
      </c>
      <c r="H812" s="14">
        <f>IF(Tableau5[[#This Row],[Stock Moyen (UVC)]]&gt;0,1,0)</f>
        <v>1</v>
      </c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2.75" customHeight="1">
      <c r="A813" s="17">
        <v>202212</v>
      </c>
      <c r="B813" s="15">
        <v>5540246194632</v>
      </c>
      <c r="C813" s="11">
        <v>1924</v>
      </c>
      <c r="D813" s="11">
        <v>24854.083200000001</v>
      </c>
      <c r="E813" s="25">
        <f t="shared" si="12"/>
        <v>12.917922661122661</v>
      </c>
      <c r="F813" s="11">
        <v>10009</v>
      </c>
      <c r="G813" s="17" t="str">
        <f>VLOOKUP(B813, 'Catégorie des articles'!A:E, 4, FALSE)</f>
        <v>BOULANGERIE</v>
      </c>
      <c r="H813" s="14">
        <f>IF(Tableau5[[#This Row],[Stock Moyen (UVC)]]&gt;0,1,0)</f>
        <v>1</v>
      </c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2.75" customHeight="1">
      <c r="A814" s="17">
        <v>202212</v>
      </c>
      <c r="B814" s="13">
        <v>5540246194790</v>
      </c>
      <c r="C814" s="8">
        <v>3174</v>
      </c>
      <c r="D814" s="8">
        <v>36640.512000000002</v>
      </c>
      <c r="E814" s="25">
        <f t="shared" si="12"/>
        <v>11.543954631379963</v>
      </c>
      <c r="F814" s="8">
        <v>1671</v>
      </c>
      <c r="G814" s="17" t="str">
        <f>VLOOKUP(B814, 'Catégorie des articles'!A:E, 4, FALSE)</f>
        <v>MIX LEGUMES</v>
      </c>
      <c r="H814" s="14">
        <f>IF(Tableau5[[#This Row],[Stock Moyen (UVC)]]&gt;0,1,0)</f>
        <v>1</v>
      </c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2.75" customHeight="1">
      <c r="A815" s="17">
        <v>202212</v>
      </c>
      <c r="B815" s="13">
        <v>5540246194947</v>
      </c>
      <c r="C815" s="8">
        <v>68</v>
      </c>
      <c r="D815" s="8">
        <v>1797.768</v>
      </c>
      <c r="E815" s="25">
        <f t="shared" si="12"/>
        <v>26.437764705882355</v>
      </c>
      <c r="F815" s="8">
        <v>72</v>
      </c>
      <c r="G815" s="17" t="str">
        <f>VLOOKUP(B815, 'Catégorie des articles'!A:E, 4, FALSE)</f>
        <v>EMBALLAGES</v>
      </c>
      <c r="H815" s="14">
        <f>IF(Tableau5[[#This Row],[Stock Moyen (UVC)]]&gt;0,1,0)</f>
        <v>1</v>
      </c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2.75" customHeight="1">
      <c r="A816" s="17">
        <v>202212</v>
      </c>
      <c r="B816" s="15">
        <v>5540246195096</v>
      </c>
      <c r="C816" s="11">
        <v>1374</v>
      </c>
      <c r="D816" s="11">
        <v>8171.0208000000011</v>
      </c>
      <c r="E816" s="25">
        <f t="shared" si="12"/>
        <v>5.9468855895196517</v>
      </c>
      <c r="F816" s="11">
        <v>103</v>
      </c>
      <c r="G816" s="17" t="str">
        <f>VLOOKUP(B816, 'Catégorie des articles'!A:E, 4, FALSE)</f>
        <v>MIX LEGUMES</v>
      </c>
      <c r="H816" s="14">
        <f>IF(Tableau5[[#This Row],[Stock Moyen (UVC)]]&gt;0,1,0)</f>
        <v>1</v>
      </c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2.75" customHeight="1">
      <c r="A817" s="17">
        <v>202212</v>
      </c>
      <c r="B817" s="13">
        <v>5540246195195</v>
      </c>
      <c r="C817" s="8">
        <v>54</v>
      </c>
      <c r="D817" s="8">
        <v>5010.7248000000009</v>
      </c>
      <c r="E817" s="25">
        <f t="shared" si="12"/>
        <v>92.791200000000018</v>
      </c>
      <c r="F817" s="8">
        <v>0</v>
      </c>
      <c r="G817" s="17" t="str">
        <f>VLOOKUP(B817, 'Catégorie des articles'!A:E, 4, FALSE)</f>
        <v>EMBALLAGES</v>
      </c>
      <c r="H817" s="14">
        <f>IF(Tableau5[[#This Row],[Stock Moyen (UVC)]]&gt;0,1,0)</f>
        <v>1</v>
      </c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2.75" customHeight="1">
      <c r="A818" s="17">
        <v>202212</v>
      </c>
      <c r="B818" s="13">
        <v>5540246195241</v>
      </c>
      <c r="C818" s="8">
        <v>1184</v>
      </c>
      <c r="D818" s="8">
        <v>36216.2016</v>
      </c>
      <c r="E818" s="25">
        <f t="shared" si="12"/>
        <v>30.588008108108109</v>
      </c>
      <c r="F818" s="8">
        <v>604</v>
      </c>
      <c r="G818" s="17" t="str">
        <f>VLOOKUP(B818, 'Catégorie des articles'!A:E, 4, FALSE)</f>
        <v>MIX LEGUMES</v>
      </c>
      <c r="H818" s="14">
        <f>IF(Tableau5[[#This Row],[Stock Moyen (UVC)]]&gt;0,1,0)</f>
        <v>1</v>
      </c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2.75" customHeight="1">
      <c r="A819" s="17">
        <v>202212</v>
      </c>
      <c r="B819" s="15">
        <v>5540246195242</v>
      </c>
      <c r="C819" s="11">
        <v>1529</v>
      </c>
      <c r="D819" s="11">
        <v>53666.539199999999</v>
      </c>
      <c r="E819" s="25">
        <f t="shared" si="12"/>
        <v>35.099110006540222</v>
      </c>
      <c r="F819" s="11">
        <v>696</v>
      </c>
      <c r="G819" s="17" t="str">
        <f>VLOOKUP(B819, 'Catégorie des articles'!A:E, 4, FALSE)</f>
        <v>MIX LEGUMES</v>
      </c>
      <c r="H819" s="14">
        <f>IF(Tableau5[[#This Row],[Stock Moyen (UVC)]]&gt;0,1,0)</f>
        <v>1</v>
      </c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2.75" customHeight="1">
      <c r="A820" s="17">
        <v>202212</v>
      </c>
      <c r="B820" s="15">
        <v>5540246195250</v>
      </c>
      <c r="C820" s="11">
        <v>780</v>
      </c>
      <c r="D820" s="11">
        <v>30583.526400000002</v>
      </c>
      <c r="E820" s="25">
        <f t="shared" si="12"/>
        <v>39.209649230769237</v>
      </c>
      <c r="F820" s="11">
        <v>796</v>
      </c>
      <c r="G820" s="17" t="str">
        <f>VLOOKUP(B820, 'Catégorie des articles'!A:E, 4, FALSE)</f>
        <v>BOULANGERIE</v>
      </c>
      <c r="H820" s="14">
        <f>IF(Tableau5[[#This Row],[Stock Moyen (UVC)]]&gt;0,1,0)</f>
        <v>1</v>
      </c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2.75" customHeight="1">
      <c r="A821" s="17">
        <v>202212</v>
      </c>
      <c r="B821" s="13">
        <v>5540246195653</v>
      </c>
      <c r="C821" s="8">
        <v>492</v>
      </c>
      <c r="D821" s="8">
        <v>16833.139200000001</v>
      </c>
      <c r="E821" s="25">
        <f t="shared" si="12"/>
        <v>34.213697560975611</v>
      </c>
      <c r="F821" s="8">
        <v>168</v>
      </c>
      <c r="G821" s="17" t="str">
        <f>VLOOKUP(B821, 'Catégorie des articles'!A:E, 4, FALSE)</f>
        <v>EMBALLAGES</v>
      </c>
      <c r="H821" s="14">
        <f>IF(Tableau5[[#This Row],[Stock Moyen (UVC)]]&gt;0,1,0)</f>
        <v>1</v>
      </c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2.75" customHeight="1">
      <c r="A822" s="17">
        <v>202212</v>
      </c>
      <c r="B822" s="13">
        <v>5540246195943</v>
      </c>
      <c r="C822" s="8">
        <v>673</v>
      </c>
      <c r="D822" s="8">
        <v>20019.743999999999</v>
      </c>
      <c r="E822" s="25">
        <f t="shared" si="12"/>
        <v>29.747019316493311</v>
      </c>
      <c r="F822" s="8">
        <v>836</v>
      </c>
      <c r="G822" s="17" t="str">
        <f>VLOOKUP(B822, 'Catégorie des articles'!A:E, 4, FALSE)</f>
        <v>CREMERIE</v>
      </c>
      <c r="H822" s="14">
        <f>IF(Tableau5[[#This Row],[Stock Moyen (UVC)]]&gt;0,1,0)</f>
        <v>1</v>
      </c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2.75" customHeight="1">
      <c r="A823" s="17">
        <v>202212</v>
      </c>
      <c r="B823" s="15">
        <v>5540246195944</v>
      </c>
      <c r="C823" s="11">
        <v>140</v>
      </c>
      <c r="D823" s="11">
        <v>3818.0160000000001</v>
      </c>
      <c r="E823" s="25">
        <f t="shared" si="12"/>
        <v>27.271542857142858</v>
      </c>
      <c r="F823" s="11">
        <v>232</v>
      </c>
      <c r="G823" s="17" t="str">
        <f>VLOOKUP(B823, 'Catégorie des articles'!A:E, 4, FALSE)</f>
        <v>CREMERIE</v>
      </c>
      <c r="H823" s="14">
        <f>IF(Tableau5[[#This Row],[Stock Moyen (UVC)]]&gt;0,1,0)</f>
        <v>1</v>
      </c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2.75" customHeight="1">
      <c r="A824" s="17">
        <v>202212</v>
      </c>
      <c r="B824" s="13">
        <v>5540246195999</v>
      </c>
      <c r="C824" s="8">
        <v>5012</v>
      </c>
      <c r="D824" s="8">
        <v>23906.5344</v>
      </c>
      <c r="E824" s="25">
        <f t="shared" si="12"/>
        <v>4.7698592178770953</v>
      </c>
      <c r="F824" s="8">
        <v>244</v>
      </c>
      <c r="G824" s="17" t="str">
        <f>VLOOKUP(B824, 'Catégorie des articles'!A:E, 4, FALSE)</f>
        <v>MIX LEGUMES</v>
      </c>
      <c r="H824" s="14">
        <f>IF(Tableau5[[#This Row],[Stock Moyen (UVC)]]&gt;0,1,0)</f>
        <v>1</v>
      </c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2.75" customHeight="1">
      <c r="A825" s="17">
        <v>202212</v>
      </c>
      <c r="B825" s="15">
        <v>5540246196002</v>
      </c>
      <c r="C825" s="11">
        <v>845</v>
      </c>
      <c r="D825" s="11">
        <v>40790.131200000003</v>
      </c>
      <c r="E825" s="25">
        <f t="shared" si="12"/>
        <v>48.272344615384618</v>
      </c>
      <c r="F825" s="11">
        <v>26</v>
      </c>
      <c r="G825" s="17" t="str">
        <f>VLOOKUP(B825, 'Catégorie des articles'!A:E, 4, FALSE)</f>
        <v>CREMERIE</v>
      </c>
      <c r="H825" s="14">
        <f>IF(Tableau5[[#This Row],[Stock Moyen (UVC)]]&gt;0,1,0)</f>
        <v>1</v>
      </c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2.75" customHeight="1">
      <c r="A826" s="17">
        <v>202212</v>
      </c>
      <c r="B826" s="15">
        <v>5540246196046</v>
      </c>
      <c r="C826" s="11">
        <v>919</v>
      </c>
      <c r="D826" s="11">
        <v>16689.801600000003</v>
      </c>
      <c r="E826" s="25">
        <f t="shared" si="12"/>
        <v>18.160828726877043</v>
      </c>
      <c r="F826" s="11">
        <v>785</v>
      </c>
      <c r="G826" s="17" t="str">
        <f>VLOOKUP(B826, 'Catégorie des articles'!A:E, 4, FALSE)</f>
        <v>BOULANGERIE</v>
      </c>
      <c r="H826" s="14">
        <f>IF(Tableau5[[#This Row],[Stock Moyen (UVC)]]&gt;0,1,0)</f>
        <v>1</v>
      </c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2.75" customHeight="1">
      <c r="A827" s="17">
        <v>202212</v>
      </c>
      <c r="B827" s="15">
        <v>5540246196065</v>
      </c>
      <c r="C827" s="11">
        <v>891</v>
      </c>
      <c r="D827" s="11">
        <v>20594.995200000001</v>
      </c>
      <c r="E827" s="25">
        <f t="shared" si="12"/>
        <v>23.11447272727273</v>
      </c>
      <c r="F827" s="11">
        <v>116</v>
      </c>
      <c r="G827" s="17" t="str">
        <f>VLOOKUP(B827, 'Catégorie des articles'!A:E, 4, FALSE)</f>
        <v>BOULANGERIE</v>
      </c>
      <c r="H827" s="14">
        <f>IF(Tableau5[[#This Row],[Stock Moyen (UVC)]]&gt;0,1,0)</f>
        <v>1</v>
      </c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2.75" customHeight="1">
      <c r="A828" s="17">
        <v>202212</v>
      </c>
      <c r="B828" s="13">
        <v>5540246196092</v>
      </c>
      <c r="C828" s="8">
        <v>1782</v>
      </c>
      <c r="D828" s="8">
        <v>76889.088000000018</v>
      </c>
      <c r="E828" s="25">
        <f t="shared" si="12"/>
        <v>43.147636363636373</v>
      </c>
      <c r="F828" s="8">
        <v>1225</v>
      </c>
      <c r="G828" s="17" t="str">
        <f>VLOOKUP(B828, 'Catégorie des articles'!A:E, 4, FALSE)</f>
        <v>VOLAILLE</v>
      </c>
      <c r="H828" s="14">
        <f>IF(Tableau5[[#This Row],[Stock Moyen (UVC)]]&gt;0,1,0)</f>
        <v>1</v>
      </c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2.75" customHeight="1">
      <c r="A829" s="17">
        <v>202212</v>
      </c>
      <c r="B829" s="15">
        <v>5540246196148</v>
      </c>
      <c r="C829" s="11">
        <v>362</v>
      </c>
      <c r="D829" s="11">
        <v>16450.387200000001</v>
      </c>
      <c r="E829" s="25">
        <f t="shared" si="12"/>
        <v>45.443058563535914</v>
      </c>
      <c r="F829" s="11">
        <v>666</v>
      </c>
      <c r="G829" s="17" t="str">
        <f>VLOOKUP(B829, 'Catégorie des articles'!A:E, 4, FALSE)</f>
        <v>EMBALLAGES</v>
      </c>
      <c r="H829" s="14">
        <f>IF(Tableau5[[#This Row],[Stock Moyen (UVC)]]&gt;0,1,0)</f>
        <v>1</v>
      </c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2.75" customHeight="1">
      <c r="A830" s="17">
        <v>202212</v>
      </c>
      <c r="B830" s="15">
        <v>5540246196466</v>
      </c>
      <c r="C830" s="11">
        <v>0</v>
      </c>
      <c r="D830" s="11">
        <v>0</v>
      </c>
      <c r="E830" s="25" t="str">
        <f t="shared" si="12"/>
        <v/>
      </c>
      <c r="F830" s="11">
        <v>966</v>
      </c>
      <c r="G830" s="17" t="str">
        <f>VLOOKUP(B830, 'Catégorie des articles'!A:E, 4, FALSE)</f>
        <v>BOULANGERIE</v>
      </c>
      <c r="H830" s="14">
        <f>IF(Tableau5[[#This Row],[Stock Moyen (UVC)]]&gt;0,1,0)</f>
        <v>0</v>
      </c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2.75" customHeight="1">
      <c r="A831" s="17">
        <v>202301</v>
      </c>
      <c r="B831" s="13">
        <v>5540246170256</v>
      </c>
      <c r="C831" s="8">
        <v>8503</v>
      </c>
      <c r="D831" s="8">
        <v>61969.5792</v>
      </c>
      <c r="E831" s="25">
        <f t="shared" si="12"/>
        <v>7.2879665059390799</v>
      </c>
      <c r="F831" s="8">
        <v>1332</v>
      </c>
      <c r="G831" s="17" t="str">
        <f>VLOOKUP(B831, 'Catégorie des articles'!A:E, 4, FALSE)</f>
        <v>BOULANGERIE</v>
      </c>
      <c r="H831" s="14">
        <f>IF(Tableau5[[#This Row],[Stock Moyen (UVC)]]&gt;0,1,0)</f>
        <v>1</v>
      </c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2.75" customHeight="1">
      <c r="A832" s="17">
        <v>202301</v>
      </c>
      <c r="B832" s="15">
        <v>5540246171759</v>
      </c>
      <c r="C832" s="11">
        <v>2636</v>
      </c>
      <c r="D832" s="11">
        <v>16366.5792</v>
      </c>
      <c r="E832" s="25">
        <f t="shared" si="12"/>
        <v>6.2088691957511379</v>
      </c>
      <c r="F832" s="11">
        <v>854</v>
      </c>
      <c r="G832" s="17" t="str">
        <f>VLOOKUP(B832, 'Catégorie des articles'!A:E, 4, FALSE)</f>
        <v>MIX LEGUMES</v>
      </c>
      <c r="H832" s="14">
        <f>IF(Tableau5[[#This Row],[Stock Moyen (UVC)]]&gt;0,1,0)</f>
        <v>1</v>
      </c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2.75" customHeight="1">
      <c r="A833" s="17">
        <v>202301</v>
      </c>
      <c r="B833" s="15">
        <v>5540246171888</v>
      </c>
      <c r="C833" s="11">
        <v>1297</v>
      </c>
      <c r="D833" s="11">
        <v>23644.094400000002</v>
      </c>
      <c r="E833" s="25">
        <f t="shared" si="12"/>
        <v>18.229833770239015</v>
      </c>
      <c r="F833" s="11">
        <v>369</v>
      </c>
      <c r="G833" s="17" t="str">
        <f>VLOOKUP(B833, 'Catégorie des articles'!A:E, 4, FALSE)</f>
        <v>BOULANGERIE</v>
      </c>
      <c r="H833" s="14">
        <f>IF(Tableau5[[#This Row],[Stock Moyen (UVC)]]&gt;0,1,0)</f>
        <v>1</v>
      </c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2.75" customHeight="1">
      <c r="A834" s="17">
        <v>202301</v>
      </c>
      <c r="B834" s="13">
        <v>5540246171933</v>
      </c>
      <c r="C834" s="8">
        <v>0</v>
      </c>
      <c r="D834" s="8">
        <v>0</v>
      </c>
      <c r="E834" s="25" t="str">
        <f t="shared" si="12"/>
        <v/>
      </c>
      <c r="F834" s="8">
        <v>2784</v>
      </c>
      <c r="G834" s="17" t="str">
        <f>VLOOKUP(B834, 'Catégorie des articles'!A:E, 4, FALSE)</f>
        <v>CREMERIE</v>
      </c>
      <c r="H834" s="14">
        <f>IF(Tableau5[[#This Row],[Stock Moyen (UVC)]]&gt;0,1,0)</f>
        <v>0</v>
      </c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2.75" customHeight="1">
      <c r="A835" s="17">
        <v>202301</v>
      </c>
      <c r="B835" s="13">
        <v>5540246172539</v>
      </c>
      <c r="C835" s="8">
        <v>49</v>
      </c>
      <c r="D835" s="8">
        <v>1065.2256000000002</v>
      </c>
      <c r="E835" s="25">
        <f t="shared" ref="E835:E898" si="13">IF(C835=0,"",D835/C835)</f>
        <v>21.739297959183677</v>
      </c>
      <c r="F835" s="8">
        <v>21</v>
      </c>
      <c r="G835" s="17" t="str">
        <f>VLOOKUP(B835, 'Catégorie des articles'!A:E, 4, FALSE)</f>
        <v>CREMERIE</v>
      </c>
      <c r="H835" s="14">
        <f>IF(Tableau5[[#This Row],[Stock Moyen (UVC)]]&gt;0,1,0)</f>
        <v>1</v>
      </c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2.75" customHeight="1">
      <c r="A836" s="17">
        <v>202301</v>
      </c>
      <c r="B836" s="15">
        <v>5540246172669</v>
      </c>
      <c r="C836" s="11">
        <v>265</v>
      </c>
      <c r="D836" s="11">
        <v>3706.9056000000005</v>
      </c>
      <c r="E836" s="25">
        <f t="shared" si="13"/>
        <v>13.988323018867927</v>
      </c>
      <c r="F836" s="11">
        <v>279</v>
      </c>
      <c r="G836" s="17" t="str">
        <f>VLOOKUP(B836, 'Catégorie des articles'!A:E, 4, FALSE)</f>
        <v>CREMERIE</v>
      </c>
      <c r="H836" s="14">
        <f>IF(Tableau5[[#This Row],[Stock Moyen (UVC)]]&gt;0,1,0)</f>
        <v>1</v>
      </c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2.75" customHeight="1">
      <c r="A837" s="17">
        <v>202301</v>
      </c>
      <c r="B837" s="13">
        <v>5540246172978</v>
      </c>
      <c r="C837" s="8">
        <v>1170</v>
      </c>
      <c r="D837" s="8">
        <v>942.75360000000001</v>
      </c>
      <c r="E837" s="25">
        <f t="shared" si="13"/>
        <v>0.80577230769230768</v>
      </c>
      <c r="F837" s="8">
        <v>1671</v>
      </c>
      <c r="G837" s="17" t="str">
        <f>VLOOKUP(B837, 'Catégorie des articles'!A:E, 4, FALSE)</f>
        <v>CREMERIE</v>
      </c>
      <c r="H837" s="14">
        <f>IF(Tableau5[[#This Row],[Stock Moyen (UVC)]]&gt;0,1,0)</f>
        <v>1</v>
      </c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2.75" customHeight="1">
      <c r="A838" s="17">
        <v>202301</v>
      </c>
      <c r="B838" s="15">
        <v>5540246173472</v>
      </c>
      <c r="C838" s="11">
        <v>348</v>
      </c>
      <c r="D838" s="11">
        <v>8228.9519999999993</v>
      </c>
      <c r="E838" s="25">
        <f t="shared" si="13"/>
        <v>23.646413793103445</v>
      </c>
      <c r="F838" s="11">
        <v>0</v>
      </c>
      <c r="G838" s="17" t="str">
        <f>VLOOKUP(B838, 'Catégorie des articles'!A:E, 4, FALSE)</f>
        <v>CREMERIE</v>
      </c>
      <c r="H838" s="14">
        <f>IF(Tableau5[[#This Row],[Stock Moyen (UVC)]]&gt;0,1,0)</f>
        <v>1</v>
      </c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2.75" customHeight="1">
      <c r="A839" s="17">
        <v>202301</v>
      </c>
      <c r="B839" s="13">
        <v>5540246173492</v>
      </c>
      <c r="C839" s="8">
        <v>891</v>
      </c>
      <c r="D839" s="8">
        <v>13893.12</v>
      </c>
      <c r="E839" s="25">
        <f t="shared" si="13"/>
        <v>15.592727272727274</v>
      </c>
      <c r="F839" s="8">
        <v>0</v>
      </c>
      <c r="G839" s="17" t="str">
        <f>VLOOKUP(B839, 'Catégorie des articles'!A:E, 4, FALSE)</f>
        <v>VOLAILLE</v>
      </c>
      <c r="H839" s="14">
        <f>IF(Tableau5[[#This Row],[Stock Moyen (UVC)]]&gt;0,1,0)</f>
        <v>1</v>
      </c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2.75" customHeight="1">
      <c r="A840" s="17">
        <v>202301</v>
      </c>
      <c r="B840" s="13">
        <v>5540246173906</v>
      </c>
      <c r="C840" s="8">
        <v>2037</v>
      </c>
      <c r="D840" s="8">
        <v>41111.8848</v>
      </c>
      <c r="E840" s="25">
        <f t="shared" si="13"/>
        <v>20.182564948453606</v>
      </c>
      <c r="F840" s="8">
        <v>822</v>
      </c>
      <c r="G840" s="17" t="str">
        <f>VLOOKUP(B840, 'Catégorie des articles'!A:E, 4, FALSE)</f>
        <v>VOLAILLE</v>
      </c>
      <c r="H840" s="14">
        <f>IF(Tableau5[[#This Row],[Stock Moyen (UVC)]]&gt;0,1,0)</f>
        <v>1</v>
      </c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2.75" customHeight="1">
      <c r="A841" s="17">
        <v>202301</v>
      </c>
      <c r="B841" s="15">
        <v>5540246174095</v>
      </c>
      <c r="C841" s="11">
        <v>35</v>
      </c>
      <c r="D841" s="11">
        <v>1128.9023999999999</v>
      </c>
      <c r="E841" s="25">
        <f t="shared" si="13"/>
        <v>32.254354285714285</v>
      </c>
      <c r="F841" s="11">
        <v>7</v>
      </c>
      <c r="G841" s="17" t="str">
        <f>VLOOKUP(B841, 'Catégorie des articles'!A:E, 4, FALSE)</f>
        <v>CREMERIE</v>
      </c>
      <c r="H841" s="14">
        <f>IF(Tableau5[[#This Row],[Stock Moyen (UVC)]]&gt;0,1,0)</f>
        <v>1</v>
      </c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2.75" customHeight="1">
      <c r="A842" s="17">
        <v>202301</v>
      </c>
      <c r="B842" s="13">
        <v>5540246174174</v>
      </c>
      <c r="C842" s="8">
        <v>91</v>
      </c>
      <c r="D842" s="8">
        <v>1251.8063999999999</v>
      </c>
      <c r="E842" s="25">
        <f t="shared" si="13"/>
        <v>13.756114285714284</v>
      </c>
      <c r="F842" s="8">
        <v>96</v>
      </c>
      <c r="G842" s="17" t="str">
        <f>VLOOKUP(B842, 'Catégorie des articles'!A:E, 4, FALSE)</f>
        <v>CREMERIE</v>
      </c>
      <c r="H842" s="14">
        <f>IF(Tableau5[[#This Row],[Stock Moyen (UVC)]]&gt;0,1,0)</f>
        <v>1</v>
      </c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2.75" customHeight="1">
      <c r="A843" s="17">
        <v>202301</v>
      </c>
      <c r="B843" s="15">
        <v>5540246175047</v>
      </c>
      <c r="C843" s="11">
        <v>404</v>
      </c>
      <c r="D843" s="11">
        <v>4374.7776000000003</v>
      </c>
      <c r="E843" s="25">
        <f t="shared" si="13"/>
        <v>10.828657425742575</v>
      </c>
      <c r="F843" s="11">
        <v>84</v>
      </c>
      <c r="G843" s="17" t="str">
        <f>VLOOKUP(B843, 'Catégorie des articles'!A:E, 4, FALSE)</f>
        <v>CREMERIE</v>
      </c>
      <c r="H843" s="14">
        <f>IF(Tableau5[[#This Row],[Stock Moyen (UVC)]]&gt;0,1,0)</f>
        <v>1</v>
      </c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2.75" customHeight="1">
      <c r="A844" s="17">
        <v>202301</v>
      </c>
      <c r="B844" s="13">
        <v>5540246175049</v>
      </c>
      <c r="C844" s="8">
        <v>140</v>
      </c>
      <c r="D844" s="8">
        <v>1550.0160000000001</v>
      </c>
      <c r="E844" s="25">
        <f t="shared" si="13"/>
        <v>11.071542857142857</v>
      </c>
      <c r="F844" s="8">
        <v>975</v>
      </c>
      <c r="G844" s="17" t="str">
        <f>VLOOKUP(B844, 'Catégorie des articles'!A:E, 4, FALSE)</f>
        <v>CREMERIE</v>
      </c>
      <c r="H844" s="14">
        <f>IF(Tableau5[[#This Row],[Stock Moyen (UVC)]]&gt;0,1,0)</f>
        <v>1</v>
      </c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2.75" customHeight="1">
      <c r="A845" s="17">
        <v>202301</v>
      </c>
      <c r="B845" s="15">
        <v>5540246175050</v>
      </c>
      <c r="C845" s="11">
        <v>474</v>
      </c>
      <c r="D845" s="11">
        <v>5789.1455999999998</v>
      </c>
      <c r="E845" s="25">
        <f t="shared" si="13"/>
        <v>12.213387341772151</v>
      </c>
      <c r="F845" s="11">
        <v>516</v>
      </c>
      <c r="G845" s="17" t="str">
        <f>VLOOKUP(B845, 'Catégorie des articles'!A:E, 4, FALSE)</f>
        <v>CREMERIE</v>
      </c>
      <c r="H845" s="14">
        <f>IF(Tableau5[[#This Row],[Stock Moyen (UVC)]]&gt;0,1,0)</f>
        <v>1</v>
      </c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2.75" customHeight="1">
      <c r="A846" s="17">
        <v>202301</v>
      </c>
      <c r="B846" s="15">
        <v>5540246176294</v>
      </c>
      <c r="C846" s="11">
        <v>409</v>
      </c>
      <c r="D846" s="11">
        <v>386.98560000000003</v>
      </c>
      <c r="E846" s="25">
        <f t="shared" si="13"/>
        <v>0.94617506112469441</v>
      </c>
      <c r="F846" s="11">
        <v>1411</v>
      </c>
      <c r="G846" s="17" t="str">
        <f>VLOOKUP(B846, 'Catégorie des articles'!A:E, 4, FALSE)</f>
        <v>CREMERIE</v>
      </c>
      <c r="H846" s="14">
        <f>IF(Tableau5[[#This Row],[Stock Moyen (UVC)]]&gt;0,1,0)</f>
        <v>1</v>
      </c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2.75" customHeight="1">
      <c r="A847" s="17">
        <v>202301</v>
      </c>
      <c r="B847" s="13">
        <v>5540246176295</v>
      </c>
      <c r="C847" s="8">
        <v>11886</v>
      </c>
      <c r="D847" s="8">
        <v>11264.8752</v>
      </c>
      <c r="E847" s="25">
        <f t="shared" si="13"/>
        <v>0.94774316002019188</v>
      </c>
      <c r="F847" s="8">
        <v>11099</v>
      </c>
      <c r="G847" s="17" t="str">
        <f>VLOOKUP(B847, 'Catégorie des articles'!A:E, 4, FALSE)</f>
        <v>CREMERIE</v>
      </c>
      <c r="H847" s="14">
        <f>IF(Tableau5[[#This Row],[Stock Moyen (UVC)]]&gt;0,1,0)</f>
        <v>1</v>
      </c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2.75" customHeight="1">
      <c r="A848" s="17">
        <v>202301</v>
      </c>
      <c r="B848" s="13">
        <v>5540246176699</v>
      </c>
      <c r="C848" s="8">
        <v>4803</v>
      </c>
      <c r="D848" s="8">
        <v>2459.1600000000003</v>
      </c>
      <c r="E848" s="25">
        <f t="shared" si="13"/>
        <v>0.512004996876952</v>
      </c>
      <c r="F848" s="8">
        <v>11484</v>
      </c>
      <c r="G848" s="17" t="str">
        <f>VLOOKUP(B848, 'Catégorie des articles'!A:E, 4, FALSE)</f>
        <v>CREMERIE</v>
      </c>
      <c r="H848" s="14">
        <f>IF(Tableau5[[#This Row],[Stock Moyen (UVC)]]&gt;0,1,0)</f>
        <v>1</v>
      </c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2.75" customHeight="1">
      <c r="A849" s="17">
        <v>202301</v>
      </c>
      <c r="B849" s="13">
        <v>5540246177133</v>
      </c>
      <c r="C849" s="8">
        <v>12366</v>
      </c>
      <c r="D849" s="8">
        <v>55791.028800000007</v>
      </c>
      <c r="E849" s="25">
        <f t="shared" si="13"/>
        <v>4.5116471615720526</v>
      </c>
      <c r="F849" s="8">
        <v>5708</v>
      </c>
      <c r="G849" s="17" t="str">
        <f>VLOOKUP(B849, 'Catégorie des articles'!A:E, 4, FALSE)</f>
        <v>MIX LEGUMES</v>
      </c>
      <c r="H849" s="14">
        <f>IF(Tableau5[[#This Row],[Stock Moyen (UVC)]]&gt;0,1,0)</f>
        <v>1</v>
      </c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2.75" customHeight="1">
      <c r="A850" s="17">
        <v>202301</v>
      </c>
      <c r="B850" s="13">
        <v>5540246177376</v>
      </c>
      <c r="C850" s="8">
        <v>928</v>
      </c>
      <c r="D850" s="8">
        <v>37310.976000000002</v>
      </c>
      <c r="E850" s="25">
        <f t="shared" si="13"/>
        <v>40.205793103448279</v>
      </c>
      <c r="F850" s="8">
        <v>184</v>
      </c>
      <c r="G850" s="17" t="str">
        <f>VLOOKUP(B850, 'Catégorie des articles'!A:E, 4, FALSE)</f>
        <v>BOULANGERIE</v>
      </c>
      <c r="H850" s="14">
        <f>IF(Tableau5[[#This Row],[Stock Moyen (UVC)]]&gt;0,1,0)</f>
        <v>1</v>
      </c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2.75" customHeight="1">
      <c r="A851" s="17">
        <v>202301</v>
      </c>
      <c r="B851" s="15">
        <v>5540246180522</v>
      </c>
      <c r="C851" s="11">
        <v>543</v>
      </c>
      <c r="D851" s="11">
        <v>10564.689600000002</v>
      </c>
      <c r="E851" s="25">
        <f t="shared" si="13"/>
        <v>19.456150276243097</v>
      </c>
      <c r="F851" s="11">
        <v>279</v>
      </c>
      <c r="G851" s="17" t="str">
        <f>VLOOKUP(B851, 'Catégorie des articles'!A:E, 4, FALSE)</f>
        <v>BOULANGERIE</v>
      </c>
      <c r="H851" s="14">
        <f>IF(Tableau5[[#This Row],[Stock Moyen (UVC)]]&gt;0,1,0)</f>
        <v>1</v>
      </c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2.75" customHeight="1">
      <c r="A852" s="17">
        <v>202301</v>
      </c>
      <c r="B852" s="13">
        <v>5540246181016</v>
      </c>
      <c r="C852" s="8">
        <v>17456</v>
      </c>
      <c r="D852" s="8">
        <v>152767.29600000003</v>
      </c>
      <c r="E852" s="25">
        <f t="shared" si="13"/>
        <v>8.7515637030247504</v>
      </c>
      <c r="F852" s="8">
        <v>3536</v>
      </c>
      <c r="G852" s="17" t="str">
        <f>VLOOKUP(B852, 'Catégorie des articles'!A:E, 4, FALSE)</f>
        <v>VOLAILLE</v>
      </c>
      <c r="H852" s="14">
        <f>IF(Tableau5[[#This Row],[Stock Moyen (UVC)]]&gt;0,1,0)</f>
        <v>1</v>
      </c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2.75" customHeight="1">
      <c r="A853" s="17">
        <v>202301</v>
      </c>
      <c r="B853" s="15">
        <v>5540246181061</v>
      </c>
      <c r="C853" s="11">
        <v>13886</v>
      </c>
      <c r="D853" s="11">
        <v>20477.3184</v>
      </c>
      <c r="E853" s="25">
        <f t="shared" si="13"/>
        <v>1.4746736569206396</v>
      </c>
      <c r="F853" s="11">
        <v>13364</v>
      </c>
      <c r="G853" s="17" t="str">
        <f>VLOOKUP(B853, 'Catégorie des articles'!A:E, 4, FALSE)</f>
        <v>VOLAILLE</v>
      </c>
      <c r="H853" s="14">
        <f>IF(Tableau5[[#This Row],[Stock Moyen (UVC)]]&gt;0,1,0)</f>
        <v>1</v>
      </c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2.75" customHeight="1">
      <c r="A854" s="17">
        <v>202301</v>
      </c>
      <c r="B854" s="15">
        <v>5540246182684</v>
      </c>
      <c r="C854" s="11">
        <v>226</v>
      </c>
      <c r="D854" s="11">
        <v>11293.128000000001</v>
      </c>
      <c r="E854" s="25">
        <f t="shared" si="13"/>
        <v>49.969592920353982</v>
      </c>
      <c r="F854" s="11">
        <v>79</v>
      </c>
      <c r="G854" s="17" t="str">
        <f>VLOOKUP(B854, 'Catégorie des articles'!A:E, 4, FALSE)</f>
        <v>BOULANGERIE</v>
      </c>
      <c r="H854" s="14">
        <f>IF(Tableau5[[#This Row],[Stock Moyen (UVC)]]&gt;0,1,0)</f>
        <v>1</v>
      </c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2.75" customHeight="1">
      <c r="A855" s="17">
        <v>202301</v>
      </c>
      <c r="B855" s="15">
        <v>5540246183130</v>
      </c>
      <c r="C855" s="11">
        <v>11986</v>
      </c>
      <c r="D855" s="11">
        <v>50749.113600000004</v>
      </c>
      <c r="E855" s="25">
        <f t="shared" si="13"/>
        <v>4.2340325045886873</v>
      </c>
      <c r="F855" s="11">
        <v>1379</v>
      </c>
      <c r="G855" s="17" t="str">
        <f>VLOOKUP(B855, 'Catégorie des articles'!A:E, 4, FALSE)</f>
        <v>MIX LEGUMES</v>
      </c>
      <c r="H855" s="14">
        <f>IF(Tableau5[[#This Row],[Stock Moyen (UVC)]]&gt;0,1,0)</f>
        <v>1</v>
      </c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2.75" customHeight="1">
      <c r="A856" s="17">
        <v>202301</v>
      </c>
      <c r="B856" s="15">
        <v>5540246183455</v>
      </c>
      <c r="C856" s="11">
        <v>859</v>
      </c>
      <c r="D856" s="11">
        <v>6906.6864000000005</v>
      </c>
      <c r="E856" s="25">
        <f t="shared" si="13"/>
        <v>8.040379976717114</v>
      </c>
      <c r="F856" s="11">
        <v>24</v>
      </c>
      <c r="G856" s="17" t="str">
        <f>VLOOKUP(B856, 'Catégorie des articles'!A:E, 4, FALSE)</f>
        <v>MIX LEGUMES</v>
      </c>
      <c r="H856" s="14">
        <f>IF(Tableau5[[#This Row],[Stock Moyen (UVC)]]&gt;0,1,0)</f>
        <v>1</v>
      </c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2.75" customHeight="1">
      <c r="A857" s="17">
        <v>202301</v>
      </c>
      <c r="B857" s="15">
        <v>5540246183537</v>
      </c>
      <c r="C857" s="11">
        <v>6200</v>
      </c>
      <c r="D857" s="11">
        <v>8714.9951999999994</v>
      </c>
      <c r="E857" s="25">
        <f t="shared" si="13"/>
        <v>1.4056443870967741</v>
      </c>
      <c r="F857" s="11">
        <v>650</v>
      </c>
      <c r="G857" s="17" t="str">
        <f>VLOOKUP(B857, 'Catégorie des articles'!A:E, 4, FALSE)</f>
        <v>MIX LEGUMES</v>
      </c>
      <c r="H857" s="14">
        <f>IF(Tableau5[[#This Row],[Stock Moyen (UVC)]]&gt;0,1,0)</f>
        <v>1</v>
      </c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2.75" customHeight="1">
      <c r="A858" s="17">
        <v>202301</v>
      </c>
      <c r="B858" s="13">
        <v>5540246183538</v>
      </c>
      <c r="C858" s="8">
        <v>3416</v>
      </c>
      <c r="D858" s="8">
        <v>5188.9680000000008</v>
      </c>
      <c r="E858" s="25">
        <f t="shared" si="13"/>
        <v>1.5190187353629978</v>
      </c>
      <c r="F858" s="8">
        <v>761</v>
      </c>
      <c r="G858" s="17" t="str">
        <f>VLOOKUP(B858, 'Catégorie des articles'!A:E, 4, FALSE)</f>
        <v>MIX LEGUMES</v>
      </c>
      <c r="H858" s="14">
        <f>IF(Tableau5[[#This Row],[Stock Moyen (UVC)]]&gt;0,1,0)</f>
        <v>1</v>
      </c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2.75" customHeight="1">
      <c r="A859" s="17">
        <v>202301</v>
      </c>
      <c r="B859" s="15">
        <v>5540246183541</v>
      </c>
      <c r="C859" s="11">
        <v>2413</v>
      </c>
      <c r="D859" s="11">
        <v>25748.236800000002</v>
      </c>
      <c r="E859" s="25">
        <f t="shared" si="13"/>
        <v>10.670632739328637</v>
      </c>
      <c r="F859" s="11">
        <v>372</v>
      </c>
      <c r="G859" s="17" t="str">
        <f>VLOOKUP(B859, 'Catégorie des articles'!A:E, 4, FALSE)</f>
        <v>MIX LEGUMES</v>
      </c>
      <c r="H859" s="14">
        <f>IF(Tableau5[[#This Row],[Stock Moyen (UVC)]]&gt;0,1,0)</f>
        <v>1</v>
      </c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2.75" customHeight="1">
      <c r="A860" s="17">
        <v>202301</v>
      </c>
      <c r="B860" s="15">
        <v>5540246183547</v>
      </c>
      <c r="C860" s="11">
        <v>1207</v>
      </c>
      <c r="D860" s="11">
        <v>17387.136000000002</v>
      </c>
      <c r="E860" s="25">
        <f t="shared" si="13"/>
        <v>14.405249378624692</v>
      </c>
      <c r="F860" s="11">
        <v>1207</v>
      </c>
      <c r="G860" s="17" t="str">
        <f>VLOOKUP(B860, 'Catégorie des articles'!A:E, 4, FALSE)</f>
        <v>VOLAILLE</v>
      </c>
      <c r="H860" s="14">
        <f>IF(Tableau5[[#This Row],[Stock Moyen (UVC)]]&gt;0,1,0)</f>
        <v>1</v>
      </c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2.75" customHeight="1">
      <c r="A861" s="17">
        <v>202301</v>
      </c>
      <c r="B861" s="15">
        <v>5540246183552</v>
      </c>
      <c r="C861" s="11">
        <v>873</v>
      </c>
      <c r="D861" s="11">
        <v>1608.0768</v>
      </c>
      <c r="E861" s="25">
        <f t="shared" si="13"/>
        <v>1.8420123711340206</v>
      </c>
      <c r="F861" s="11">
        <v>56</v>
      </c>
      <c r="G861" s="17" t="str">
        <f>VLOOKUP(B861, 'Catégorie des articles'!A:E, 4, FALSE)</f>
        <v>MIX LEGUMES</v>
      </c>
      <c r="H861" s="14">
        <f>IF(Tableau5[[#This Row],[Stock Moyen (UVC)]]&gt;0,1,0)</f>
        <v>1</v>
      </c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2.75" customHeight="1">
      <c r="A862" s="17">
        <v>202301</v>
      </c>
      <c r="B862" s="13">
        <v>5540246183554</v>
      </c>
      <c r="C862" s="8">
        <v>1782</v>
      </c>
      <c r="D862" s="8">
        <v>13589.553600000001</v>
      </c>
      <c r="E862" s="25">
        <f t="shared" si="13"/>
        <v>7.6260121212121215</v>
      </c>
      <c r="F862" s="8">
        <v>0</v>
      </c>
      <c r="G862" s="17" t="str">
        <f>VLOOKUP(B862, 'Catégorie des articles'!A:E, 4, FALSE)</f>
        <v>MIX LEGUMES</v>
      </c>
      <c r="H862" s="14">
        <f>IF(Tableau5[[#This Row],[Stock Moyen (UVC)]]&gt;0,1,0)</f>
        <v>1</v>
      </c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2.75" customHeight="1">
      <c r="A863" s="17">
        <v>202301</v>
      </c>
      <c r="B863" s="15">
        <v>5540246183555</v>
      </c>
      <c r="C863" s="11">
        <v>3750</v>
      </c>
      <c r="D863" s="11">
        <v>5012.4528</v>
      </c>
      <c r="E863" s="25">
        <f t="shared" si="13"/>
        <v>1.33665408</v>
      </c>
      <c r="F863" s="11">
        <v>260</v>
      </c>
      <c r="G863" s="17" t="str">
        <f>VLOOKUP(B863, 'Catégorie des articles'!A:E, 4, FALSE)</f>
        <v>MIX LEGUMES</v>
      </c>
      <c r="H863" s="14">
        <f>IF(Tableau5[[#This Row],[Stock Moyen (UVC)]]&gt;0,1,0)</f>
        <v>1</v>
      </c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2.75" customHeight="1">
      <c r="A864" s="17">
        <v>202301</v>
      </c>
      <c r="B864" s="13">
        <v>5540246183558</v>
      </c>
      <c r="C864" s="8">
        <v>7146</v>
      </c>
      <c r="D864" s="8">
        <v>42218.668800000007</v>
      </c>
      <c r="E864" s="25">
        <f t="shared" si="13"/>
        <v>5.9080141057934519</v>
      </c>
      <c r="F864" s="8">
        <v>1021</v>
      </c>
      <c r="G864" s="17" t="str">
        <f>VLOOKUP(B864, 'Catégorie des articles'!A:E, 4, FALSE)</f>
        <v>MIX LEGUMES</v>
      </c>
      <c r="H864" s="14">
        <f>IF(Tableau5[[#This Row],[Stock Moyen (UVC)]]&gt;0,1,0)</f>
        <v>1</v>
      </c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2.75" customHeight="1">
      <c r="A865" s="17">
        <v>202301</v>
      </c>
      <c r="B865" s="15">
        <v>5540246183560</v>
      </c>
      <c r="C865" s="11">
        <v>1082</v>
      </c>
      <c r="D865" s="11">
        <v>24858.014400000004</v>
      </c>
      <c r="E865" s="25">
        <f t="shared" si="13"/>
        <v>22.97413530499076</v>
      </c>
      <c r="F865" s="11">
        <v>75</v>
      </c>
      <c r="G865" s="17" t="str">
        <f>VLOOKUP(B865, 'Catégorie des articles'!A:E, 4, FALSE)</f>
        <v>MIX LEGUMES</v>
      </c>
      <c r="H865" s="14">
        <f>IF(Tableau5[[#This Row],[Stock Moyen (UVC)]]&gt;0,1,0)</f>
        <v>1</v>
      </c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2.75" customHeight="1">
      <c r="A866" s="17">
        <v>202301</v>
      </c>
      <c r="B866" s="13">
        <v>5540246183587</v>
      </c>
      <c r="C866" s="8">
        <v>905</v>
      </c>
      <c r="D866" s="8">
        <v>19055.088</v>
      </c>
      <c r="E866" s="25">
        <f t="shared" si="13"/>
        <v>21.05534585635359</v>
      </c>
      <c r="F866" s="8">
        <v>140</v>
      </c>
      <c r="G866" s="17" t="str">
        <f>VLOOKUP(B866, 'Catégorie des articles'!A:E, 4, FALSE)</f>
        <v>MIX LEGUMES</v>
      </c>
      <c r="H866" s="14">
        <f>IF(Tableau5[[#This Row],[Stock Moyen (UVC)]]&gt;0,1,0)</f>
        <v>1</v>
      </c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2.75" customHeight="1">
      <c r="A867" s="17">
        <v>202301</v>
      </c>
      <c r="B867" s="15">
        <v>5540246183589</v>
      </c>
      <c r="C867" s="11">
        <v>1021</v>
      </c>
      <c r="D867" s="11">
        <v>13457.664000000001</v>
      </c>
      <c r="E867" s="25">
        <f t="shared" si="13"/>
        <v>13.180865817825662</v>
      </c>
      <c r="F867" s="11">
        <v>430</v>
      </c>
      <c r="G867" s="17" t="str">
        <f>VLOOKUP(B867, 'Catégorie des articles'!A:E, 4, FALSE)</f>
        <v>MIX LEGUMES</v>
      </c>
      <c r="H867" s="14">
        <f>IF(Tableau5[[#This Row],[Stock Moyen (UVC)]]&gt;0,1,0)</f>
        <v>1</v>
      </c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2.75" customHeight="1">
      <c r="A868" s="17">
        <v>202301</v>
      </c>
      <c r="B868" s="15">
        <v>5540246183844</v>
      </c>
      <c r="C868" s="11">
        <v>256</v>
      </c>
      <c r="D868" s="11">
        <v>7365.6</v>
      </c>
      <c r="E868" s="25">
        <f t="shared" si="13"/>
        <v>28.771875000000001</v>
      </c>
      <c r="F868" s="11">
        <v>79</v>
      </c>
      <c r="G868" s="17" t="str">
        <f>VLOOKUP(B868, 'Catégorie des articles'!A:E, 4, FALSE)</f>
        <v>BOULANGERIE</v>
      </c>
      <c r="H868" s="14">
        <f>IF(Tableau5[[#This Row],[Stock Moyen (UVC)]]&gt;0,1,0)</f>
        <v>1</v>
      </c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2.75" customHeight="1">
      <c r="A869" s="17">
        <v>202301</v>
      </c>
      <c r="B869" s="13">
        <v>5540246185278</v>
      </c>
      <c r="C869" s="8">
        <v>0</v>
      </c>
      <c r="D869" s="8">
        <v>0</v>
      </c>
      <c r="E869" s="25" t="str">
        <f t="shared" si="13"/>
        <v/>
      </c>
      <c r="F869" s="8">
        <v>14923</v>
      </c>
      <c r="G869" s="17" t="str">
        <f>VLOOKUP(B869, 'Catégorie des articles'!A:E, 4, FALSE)</f>
        <v>VOLAILLE</v>
      </c>
      <c r="H869" s="14">
        <f>IF(Tableau5[[#This Row],[Stock Moyen (UVC)]]&gt;0,1,0)</f>
        <v>0</v>
      </c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2.75" customHeight="1">
      <c r="A870" s="17">
        <v>202301</v>
      </c>
      <c r="B870" s="15">
        <v>5540246185429</v>
      </c>
      <c r="C870" s="11">
        <v>126</v>
      </c>
      <c r="D870" s="11">
        <v>662.51520000000005</v>
      </c>
      <c r="E870" s="25">
        <f t="shared" si="13"/>
        <v>5.258057142857143</v>
      </c>
      <c r="F870" s="11">
        <v>42</v>
      </c>
      <c r="G870" s="17" t="str">
        <f>VLOOKUP(B870, 'Catégorie des articles'!A:E, 4, FALSE)</f>
        <v>CREMERIE</v>
      </c>
      <c r="H870" s="14">
        <f>IF(Tableau5[[#This Row],[Stock Moyen (UVC)]]&gt;0,1,0)</f>
        <v>1</v>
      </c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2.75" customHeight="1">
      <c r="A871" s="17">
        <v>202301</v>
      </c>
      <c r="B871" s="15">
        <v>5540246185562</v>
      </c>
      <c r="C871" s="11">
        <v>362</v>
      </c>
      <c r="D871" s="11">
        <v>1051.3152000000002</v>
      </c>
      <c r="E871" s="25">
        <f t="shared" si="13"/>
        <v>2.9041856353591164</v>
      </c>
      <c r="F871" s="11">
        <v>209</v>
      </c>
      <c r="G871" s="17" t="str">
        <f>VLOOKUP(B871, 'Catégorie des articles'!A:E, 4, FALSE)</f>
        <v>CREMERIE</v>
      </c>
      <c r="H871" s="14">
        <f>IF(Tableau5[[#This Row],[Stock Moyen (UVC)]]&gt;0,1,0)</f>
        <v>1</v>
      </c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75" customHeight="1">
      <c r="A872" s="17">
        <v>202301</v>
      </c>
      <c r="B872" s="13">
        <v>5540246186010</v>
      </c>
      <c r="C872" s="8">
        <v>56</v>
      </c>
      <c r="D872" s="8">
        <v>8202.1248000000014</v>
      </c>
      <c r="E872" s="25">
        <f t="shared" si="13"/>
        <v>146.46651428571431</v>
      </c>
      <c r="F872" s="8">
        <v>5</v>
      </c>
      <c r="G872" s="17" t="str">
        <f>VLOOKUP(B872, 'Catégorie des articles'!A:E, 4, FALSE)</f>
        <v>EMBALLAGES</v>
      </c>
      <c r="H872" s="14">
        <f>IF(Tableau5[[#This Row],[Stock Moyen (UVC)]]&gt;0,1,0)</f>
        <v>1</v>
      </c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75" customHeight="1">
      <c r="A873" s="17">
        <v>202301</v>
      </c>
      <c r="B873" s="15">
        <v>5540246186011</v>
      </c>
      <c r="C873" s="11">
        <v>52</v>
      </c>
      <c r="D873" s="11">
        <v>2906.3232000000003</v>
      </c>
      <c r="E873" s="25">
        <f t="shared" si="13"/>
        <v>55.890830769230774</v>
      </c>
      <c r="F873" s="11">
        <v>0</v>
      </c>
      <c r="G873" s="17" t="str">
        <f>VLOOKUP(B873, 'Catégorie des articles'!A:E, 4, FALSE)</f>
        <v>EMBALLAGES</v>
      </c>
      <c r="H873" s="14">
        <f>IF(Tableau5[[#This Row],[Stock Moyen (UVC)]]&gt;0,1,0)</f>
        <v>1</v>
      </c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75" customHeight="1">
      <c r="A874" s="17">
        <v>202301</v>
      </c>
      <c r="B874" s="13">
        <v>5540246186017</v>
      </c>
      <c r="C874" s="8">
        <v>35</v>
      </c>
      <c r="D874" s="8">
        <v>3684.5280000000002</v>
      </c>
      <c r="E874" s="25">
        <f t="shared" si="13"/>
        <v>105.27222857142858</v>
      </c>
      <c r="F874" s="8">
        <v>3</v>
      </c>
      <c r="G874" s="17" t="str">
        <f>VLOOKUP(B874, 'Catégorie des articles'!A:E, 4, FALSE)</f>
        <v>EMBALLAGES</v>
      </c>
      <c r="H874" s="14">
        <f>IF(Tableau5[[#This Row],[Stock Moyen (UVC)]]&gt;0,1,0)</f>
        <v>1</v>
      </c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75" customHeight="1">
      <c r="A875" s="17">
        <v>202301</v>
      </c>
      <c r="B875" s="15">
        <v>5540246186325</v>
      </c>
      <c r="C875" s="11">
        <v>362</v>
      </c>
      <c r="D875" s="11">
        <v>889.57439999999997</v>
      </c>
      <c r="E875" s="25">
        <f t="shared" si="13"/>
        <v>2.4573878453038671</v>
      </c>
      <c r="F875" s="11">
        <v>70</v>
      </c>
      <c r="G875" s="17" t="str">
        <f>VLOOKUP(B875, 'Catégorie des articles'!A:E, 4, FALSE)</f>
        <v>CREMERIE</v>
      </c>
      <c r="H875" s="14">
        <f>IF(Tableau5[[#This Row],[Stock Moyen (UVC)]]&gt;0,1,0)</f>
        <v>1</v>
      </c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75" customHeight="1">
      <c r="A876" s="17">
        <v>202301</v>
      </c>
      <c r="B876" s="13">
        <v>5540246186351</v>
      </c>
      <c r="C876" s="8">
        <v>731</v>
      </c>
      <c r="D876" s="8">
        <v>43314.264000000003</v>
      </c>
      <c r="E876" s="25">
        <f t="shared" si="13"/>
        <v>59.253439124487009</v>
      </c>
      <c r="F876" s="8">
        <v>0</v>
      </c>
      <c r="G876" s="17" t="str">
        <f>VLOOKUP(B876, 'Catégorie des articles'!A:E, 4, FALSE)</f>
        <v>MIX LEGUMES</v>
      </c>
      <c r="H876" s="14">
        <f>IF(Tableau5[[#This Row],[Stock Moyen (UVC)]]&gt;0,1,0)</f>
        <v>1</v>
      </c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75" customHeight="1">
      <c r="A877" s="17">
        <v>202301</v>
      </c>
      <c r="B877" s="15">
        <v>5540246186352</v>
      </c>
      <c r="C877" s="11">
        <v>2088</v>
      </c>
      <c r="D877" s="11">
        <v>21967.200000000001</v>
      </c>
      <c r="E877" s="25">
        <f t="shared" si="13"/>
        <v>10.520689655172415</v>
      </c>
      <c r="F877" s="11">
        <v>256</v>
      </c>
      <c r="G877" s="17" t="str">
        <f>VLOOKUP(B877, 'Catégorie des articles'!A:E, 4, FALSE)</f>
        <v>MIX LEGUMES</v>
      </c>
      <c r="H877" s="14">
        <f>IF(Tableau5[[#This Row],[Stock Moyen (UVC)]]&gt;0,1,0)</f>
        <v>1</v>
      </c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75" customHeight="1">
      <c r="A878" s="17">
        <v>202301</v>
      </c>
      <c r="B878" s="13">
        <v>5540246187882</v>
      </c>
      <c r="C878" s="8">
        <v>188</v>
      </c>
      <c r="D878" s="8">
        <v>7534.1232000000009</v>
      </c>
      <c r="E878" s="25">
        <f t="shared" si="13"/>
        <v>40.075123404255322</v>
      </c>
      <c r="F878" s="8">
        <v>3</v>
      </c>
      <c r="G878" s="17" t="str">
        <f>VLOOKUP(B878, 'Catégorie des articles'!A:E, 4, FALSE)</f>
        <v>EMBALLAGES</v>
      </c>
      <c r="H878" s="14">
        <f>IF(Tableau5[[#This Row],[Stock Moyen (UVC)]]&gt;0,1,0)</f>
        <v>1</v>
      </c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75" customHeight="1">
      <c r="A879" s="17">
        <v>202301</v>
      </c>
      <c r="B879" s="15">
        <v>5540246187987</v>
      </c>
      <c r="C879" s="11">
        <v>2339</v>
      </c>
      <c r="D879" s="11">
        <v>1162.6848</v>
      </c>
      <c r="E879" s="25">
        <f t="shared" si="13"/>
        <v>0.49708627618640444</v>
      </c>
      <c r="F879" s="11">
        <v>6905</v>
      </c>
      <c r="G879" s="17" t="str">
        <f>VLOOKUP(B879, 'Catégorie des articles'!A:E, 4, FALSE)</f>
        <v>CREMERIE</v>
      </c>
      <c r="H879" s="14">
        <f>IF(Tableau5[[#This Row],[Stock Moyen (UVC)]]&gt;0,1,0)</f>
        <v>1</v>
      </c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2.75" customHeight="1">
      <c r="A880" s="17">
        <v>202301</v>
      </c>
      <c r="B880" s="13">
        <v>5540246187995</v>
      </c>
      <c r="C880" s="8">
        <v>3172</v>
      </c>
      <c r="D880" s="8">
        <v>278205.27840000001</v>
      </c>
      <c r="E880" s="25">
        <f t="shared" si="13"/>
        <v>87.706582093316527</v>
      </c>
      <c r="F880" s="8">
        <v>179</v>
      </c>
      <c r="G880" s="17" t="str">
        <f>VLOOKUP(B880, 'Catégorie des articles'!A:E, 4, FALSE)</f>
        <v>EMBALLAGES</v>
      </c>
      <c r="H880" s="14">
        <f>IF(Tableau5[[#This Row],[Stock Moyen (UVC)]]&gt;0,1,0)</f>
        <v>1</v>
      </c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75" customHeight="1">
      <c r="A881" s="17">
        <v>202301</v>
      </c>
      <c r="B881" s="15">
        <v>5540246187996</v>
      </c>
      <c r="C881" s="11">
        <v>258</v>
      </c>
      <c r="D881" s="11">
        <v>11906.481600000001</v>
      </c>
      <c r="E881" s="25">
        <f t="shared" si="13"/>
        <v>46.1491534883721</v>
      </c>
      <c r="F881" s="11">
        <v>0</v>
      </c>
      <c r="G881" s="17" t="str">
        <f>VLOOKUP(B881, 'Catégorie des articles'!A:E, 4, FALSE)</f>
        <v>EMBALLAGES</v>
      </c>
      <c r="H881" s="14">
        <f>IF(Tableau5[[#This Row],[Stock Moyen (UVC)]]&gt;0,1,0)</f>
        <v>1</v>
      </c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75" customHeight="1">
      <c r="A882" s="17">
        <v>202301</v>
      </c>
      <c r="B882" s="13">
        <v>5540246187997</v>
      </c>
      <c r="C882" s="8">
        <v>272</v>
      </c>
      <c r="D882" s="8">
        <v>13560.955200000002</v>
      </c>
      <c r="E882" s="25">
        <f t="shared" si="13"/>
        <v>49.856452941176478</v>
      </c>
      <c r="F882" s="8">
        <v>10</v>
      </c>
      <c r="G882" s="17" t="str">
        <f>VLOOKUP(B882, 'Catégorie des articles'!A:E, 4, FALSE)</f>
        <v>EMBALLAGES</v>
      </c>
      <c r="H882" s="14">
        <f>IF(Tableau5[[#This Row],[Stock Moyen (UVC)]]&gt;0,1,0)</f>
        <v>1</v>
      </c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75" customHeight="1">
      <c r="A883" s="17">
        <v>202301</v>
      </c>
      <c r="B883" s="15">
        <v>5540246187998</v>
      </c>
      <c r="C883" s="11">
        <v>1467</v>
      </c>
      <c r="D883" s="11">
        <v>75381.926400000011</v>
      </c>
      <c r="E883" s="25">
        <f t="shared" si="13"/>
        <v>51.385089570552154</v>
      </c>
      <c r="F883" s="11">
        <v>61</v>
      </c>
      <c r="G883" s="17" t="str">
        <f>VLOOKUP(B883, 'Catégorie des articles'!A:E, 4, FALSE)</f>
        <v>EMBALLAGES</v>
      </c>
      <c r="H883" s="14">
        <f>IF(Tableau5[[#This Row],[Stock Moyen (UVC)]]&gt;0,1,0)</f>
        <v>1</v>
      </c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75" customHeight="1">
      <c r="A884" s="17">
        <v>202301</v>
      </c>
      <c r="B884" s="15">
        <v>5540246188047</v>
      </c>
      <c r="C884" s="11">
        <v>128</v>
      </c>
      <c r="D884" s="11">
        <v>15543.792000000001</v>
      </c>
      <c r="E884" s="25">
        <f t="shared" si="13"/>
        <v>121.43587500000001</v>
      </c>
      <c r="F884" s="11">
        <v>7</v>
      </c>
      <c r="G884" s="17" t="str">
        <f>VLOOKUP(B884, 'Catégorie des articles'!A:E, 4, FALSE)</f>
        <v>EMBALLAGES</v>
      </c>
      <c r="H884" s="14">
        <f>IF(Tableau5[[#This Row],[Stock Moyen (UVC)]]&gt;0,1,0)</f>
        <v>1</v>
      </c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75" customHeight="1">
      <c r="A885" s="17">
        <v>202301</v>
      </c>
      <c r="B885" s="13">
        <v>5540246188175</v>
      </c>
      <c r="C885" s="8">
        <v>168</v>
      </c>
      <c r="D885" s="8">
        <v>4856.2848000000004</v>
      </c>
      <c r="E885" s="25">
        <f t="shared" si="13"/>
        <v>28.906457142857146</v>
      </c>
      <c r="F885" s="8">
        <v>186</v>
      </c>
      <c r="G885" s="17" t="str">
        <f>VLOOKUP(B885, 'Catégorie des articles'!A:E, 4, FALSE)</f>
        <v>CREMERIE</v>
      </c>
      <c r="H885" s="14">
        <f>IF(Tableau5[[#This Row],[Stock Moyen (UVC)]]&gt;0,1,0)</f>
        <v>1</v>
      </c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75" customHeight="1">
      <c r="A886" s="17">
        <v>202301</v>
      </c>
      <c r="B886" s="15">
        <v>5540246188200</v>
      </c>
      <c r="C886" s="11">
        <v>632</v>
      </c>
      <c r="D886" s="11">
        <v>1184.4576000000002</v>
      </c>
      <c r="E886" s="25">
        <f t="shared" si="13"/>
        <v>1.8741417721518989</v>
      </c>
      <c r="F886" s="11">
        <v>3490</v>
      </c>
      <c r="G886" s="17" t="str">
        <f>VLOOKUP(B886, 'Catégorie des articles'!A:E, 4, FALSE)</f>
        <v>CREMERIE</v>
      </c>
      <c r="H886" s="14">
        <f>IF(Tableau5[[#This Row],[Stock Moyen (UVC)]]&gt;0,1,0)</f>
        <v>1</v>
      </c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75" customHeight="1">
      <c r="A887" s="17">
        <v>202301</v>
      </c>
      <c r="B887" s="13">
        <v>5540246188512</v>
      </c>
      <c r="C887" s="8">
        <v>323</v>
      </c>
      <c r="D887" s="8">
        <v>44207.337600000006</v>
      </c>
      <c r="E887" s="25">
        <f t="shared" si="13"/>
        <v>136.86482229102168</v>
      </c>
      <c r="F887" s="8">
        <v>0</v>
      </c>
      <c r="G887" s="17" t="str">
        <f>VLOOKUP(B887, 'Catégorie des articles'!A:E, 4, FALSE)</f>
        <v>EMBALLAGES</v>
      </c>
      <c r="H887" s="14">
        <f>IF(Tableau5[[#This Row],[Stock Moyen (UVC)]]&gt;0,1,0)</f>
        <v>1</v>
      </c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75" customHeight="1">
      <c r="A888" s="17">
        <v>202301</v>
      </c>
      <c r="B888" s="15">
        <v>5540246190092</v>
      </c>
      <c r="C888" s="11">
        <v>230</v>
      </c>
      <c r="D888" s="11">
        <v>30026.980800000001</v>
      </c>
      <c r="E888" s="25">
        <f t="shared" si="13"/>
        <v>130.55209043478263</v>
      </c>
      <c r="F888" s="11">
        <v>0</v>
      </c>
      <c r="G888" s="17" t="str">
        <f>VLOOKUP(B888, 'Catégorie des articles'!A:E, 4, FALSE)</f>
        <v>EMBALLAGES</v>
      </c>
      <c r="H888" s="14">
        <f>IF(Tableau5[[#This Row],[Stock Moyen (UVC)]]&gt;0,1,0)</f>
        <v>1</v>
      </c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2.75" customHeight="1">
      <c r="A889" s="17">
        <v>202301</v>
      </c>
      <c r="B889" s="13">
        <v>5540246190727</v>
      </c>
      <c r="C889" s="8">
        <v>1880</v>
      </c>
      <c r="D889" s="8">
        <v>21236.644800000002</v>
      </c>
      <c r="E889" s="25">
        <f t="shared" si="13"/>
        <v>11.29608765957447</v>
      </c>
      <c r="F889" s="8">
        <v>186</v>
      </c>
      <c r="G889" s="17" t="str">
        <f>VLOOKUP(B889, 'Catégorie des articles'!A:E, 4, FALSE)</f>
        <v>BOULANGERIE</v>
      </c>
      <c r="H889" s="14">
        <f>IF(Tableau5[[#This Row],[Stock Moyen (UVC)]]&gt;0,1,0)</f>
        <v>1</v>
      </c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75" customHeight="1">
      <c r="A890" s="17">
        <v>202301</v>
      </c>
      <c r="B890" s="13">
        <v>5540246190743</v>
      </c>
      <c r="C890" s="8">
        <v>279</v>
      </c>
      <c r="D890" s="8">
        <v>2417.8175999999999</v>
      </c>
      <c r="E890" s="25">
        <f t="shared" si="13"/>
        <v>8.6660129032258055</v>
      </c>
      <c r="F890" s="8">
        <v>0</v>
      </c>
      <c r="G890" s="17" t="str">
        <f>VLOOKUP(B890, 'Catégorie des articles'!A:E, 4, FALSE)</f>
        <v>CREMERIE</v>
      </c>
      <c r="H890" s="14">
        <f>IF(Tableau5[[#This Row],[Stock Moyen (UVC)]]&gt;0,1,0)</f>
        <v>1</v>
      </c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75" customHeight="1">
      <c r="A891" s="17">
        <v>202301</v>
      </c>
      <c r="B891" s="15">
        <v>5540246190831</v>
      </c>
      <c r="C891" s="11">
        <v>476</v>
      </c>
      <c r="D891" s="11">
        <v>3578.7312000000002</v>
      </c>
      <c r="E891" s="25">
        <f t="shared" si="13"/>
        <v>7.5183428571428577</v>
      </c>
      <c r="F891" s="11">
        <v>0</v>
      </c>
      <c r="G891" s="17" t="str">
        <f>VLOOKUP(B891, 'Catégorie des articles'!A:E, 4, FALSE)</f>
        <v>MIX LEGUMES</v>
      </c>
      <c r="H891" s="14">
        <f>IF(Tableau5[[#This Row],[Stock Moyen (UVC)]]&gt;0,1,0)</f>
        <v>1</v>
      </c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75" customHeight="1">
      <c r="A892" s="17">
        <v>202301</v>
      </c>
      <c r="B892" s="13">
        <v>5540246190835</v>
      </c>
      <c r="C892" s="8">
        <v>26</v>
      </c>
      <c r="D892" s="8">
        <v>5394.4704000000002</v>
      </c>
      <c r="E892" s="25">
        <f t="shared" si="13"/>
        <v>207.47963076923077</v>
      </c>
      <c r="F892" s="8">
        <v>12</v>
      </c>
      <c r="G892" s="17" t="str">
        <f>VLOOKUP(B892, 'Catégorie des articles'!A:E, 4, FALSE)</f>
        <v>BOULANGERIE</v>
      </c>
      <c r="H892" s="14">
        <f>IF(Tableau5[[#This Row],[Stock Moyen (UVC)]]&gt;0,1,0)</f>
        <v>1</v>
      </c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75" customHeight="1">
      <c r="A893" s="17">
        <v>202301</v>
      </c>
      <c r="B893" s="15">
        <v>5540246191594</v>
      </c>
      <c r="C893" s="11">
        <v>0</v>
      </c>
      <c r="D893" s="11">
        <v>0</v>
      </c>
      <c r="E893" s="25" t="str">
        <f t="shared" si="13"/>
        <v/>
      </c>
      <c r="F893" s="11">
        <v>0</v>
      </c>
      <c r="G893" s="17" t="str">
        <f>VLOOKUP(B893, 'Catégorie des articles'!A:E, 4, FALSE)</f>
        <v>CREMERIE</v>
      </c>
      <c r="H893" s="14">
        <f>IF(Tableau5[[#This Row],[Stock Moyen (UVC)]]&gt;0,1,0)</f>
        <v>0</v>
      </c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75" customHeight="1">
      <c r="A894" s="17">
        <v>202301</v>
      </c>
      <c r="B894" s="13">
        <v>5540246191596</v>
      </c>
      <c r="C894" s="8">
        <v>158</v>
      </c>
      <c r="D894" s="8">
        <v>9728.1648000000005</v>
      </c>
      <c r="E894" s="25">
        <f t="shared" si="13"/>
        <v>61.57066329113924</v>
      </c>
      <c r="F894" s="8">
        <v>72</v>
      </c>
      <c r="G894" s="17" t="str">
        <f>VLOOKUP(B894, 'Catégorie des articles'!A:E, 4, FALSE)</f>
        <v>BOULANGERIE</v>
      </c>
      <c r="H894" s="14">
        <f>IF(Tableau5[[#This Row],[Stock Moyen (UVC)]]&gt;0,1,0)</f>
        <v>1</v>
      </c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75" customHeight="1">
      <c r="A895" s="17">
        <v>202301</v>
      </c>
      <c r="B895" s="15">
        <v>5540246191598</v>
      </c>
      <c r="C895" s="11">
        <v>84</v>
      </c>
      <c r="D895" s="11">
        <v>159.71039999999999</v>
      </c>
      <c r="E895" s="25">
        <f t="shared" si="13"/>
        <v>1.9013142857142857</v>
      </c>
      <c r="F895" s="11">
        <v>0</v>
      </c>
      <c r="G895" s="17" t="str">
        <f>VLOOKUP(B895, 'Catégorie des articles'!A:E, 4, FALSE)</f>
        <v>CREMERIE</v>
      </c>
      <c r="H895" s="14">
        <f>IF(Tableau5[[#This Row],[Stock Moyen (UVC)]]&gt;0,1,0)</f>
        <v>1</v>
      </c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75" customHeight="1">
      <c r="A896" s="17">
        <v>202301</v>
      </c>
      <c r="B896" s="13">
        <v>5540246191718</v>
      </c>
      <c r="C896" s="8">
        <v>1462</v>
      </c>
      <c r="D896" s="8">
        <v>4332.7872000000007</v>
      </c>
      <c r="E896" s="25">
        <f t="shared" si="13"/>
        <v>2.9636027359781125</v>
      </c>
      <c r="F896" s="8">
        <v>0</v>
      </c>
      <c r="G896" s="17" t="str">
        <f>VLOOKUP(B896, 'Catégorie des articles'!A:E, 4, FALSE)</f>
        <v>MIX LEGUMES</v>
      </c>
      <c r="H896" s="14">
        <f>IF(Tableau5[[#This Row],[Stock Moyen (UVC)]]&gt;0,1,0)</f>
        <v>1</v>
      </c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75" customHeight="1">
      <c r="A897" s="17">
        <v>202301</v>
      </c>
      <c r="B897" s="13">
        <v>5540246191736</v>
      </c>
      <c r="C897" s="8">
        <v>817</v>
      </c>
      <c r="D897" s="8">
        <v>26852.990400000002</v>
      </c>
      <c r="E897" s="25">
        <f t="shared" si="13"/>
        <v>32.867797307221544</v>
      </c>
      <c r="F897" s="8">
        <v>0</v>
      </c>
      <c r="G897" s="17" t="str">
        <f>VLOOKUP(B897, 'Catégorie des articles'!A:E, 4, FALSE)</f>
        <v>CREMERIE</v>
      </c>
      <c r="H897" s="14">
        <f>IF(Tableau5[[#This Row],[Stock Moyen (UVC)]]&gt;0,1,0)</f>
        <v>1</v>
      </c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2.75" customHeight="1">
      <c r="A898" s="17">
        <v>202301</v>
      </c>
      <c r="B898" s="13">
        <v>5540246192102</v>
      </c>
      <c r="C898" s="8">
        <v>9188</v>
      </c>
      <c r="D898" s="8">
        <v>11290.752</v>
      </c>
      <c r="E898" s="25">
        <f t="shared" si="13"/>
        <v>1.2288585111014367</v>
      </c>
      <c r="F898" s="8">
        <v>1128</v>
      </c>
      <c r="G898" s="17" t="str">
        <f>VLOOKUP(B898, 'Catégorie des articles'!A:E, 4, FALSE)</f>
        <v>CREMERIE</v>
      </c>
      <c r="H898" s="14">
        <f>IF(Tableau5[[#This Row],[Stock Moyen (UVC)]]&gt;0,1,0)</f>
        <v>1</v>
      </c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75" customHeight="1">
      <c r="A899" s="17">
        <v>202301</v>
      </c>
      <c r="B899" s="13">
        <v>5540246192148</v>
      </c>
      <c r="C899" s="8">
        <v>20045</v>
      </c>
      <c r="D899" s="8">
        <v>90288.691200000001</v>
      </c>
      <c r="E899" s="25">
        <f t="shared" ref="E899:E929" si="14">IF(C899=0,"",D899/C899)</f>
        <v>4.5042998852581695</v>
      </c>
      <c r="F899" s="8">
        <v>7796</v>
      </c>
      <c r="G899" s="17" t="str">
        <f>VLOOKUP(B899, 'Catégorie des articles'!A:E, 4, FALSE)</f>
        <v>MIX LEGUMES</v>
      </c>
      <c r="H899" s="14">
        <f>IF(Tableau5[[#This Row],[Stock Moyen (UVC)]]&gt;0,1,0)</f>
        <v>1</v>
      </c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75" customHeight="1">
      <c r="A900" s="17">
        <v>202301</v>
      </c>
      <c r="B900" s="15">
        <v>5540246192209</v>
      </c>
      <c r="C900" s="11">
        <v>4497</v>
      </c>
      <c r="D900" s="11">
        <v>23701.5936</v>
      </c>
      <c r="E900" s="25">
        <f t="shared" si="14"/>
        <v>5.2705344896597728</v>
      </c>
      <c r="F900" s="11">
        <v>613</v>
      </c>
      <c r="G900" s="17" t="str">
        <f>VLOOKUP(B900, 'Catégorie des articles'!A:E, 4, FALSE)</f>
        <v>MIX LEGUMES</v>
      </c>
      <c r="H900" s="14">
        <f>IF(Tableau5[[#This Row],[Stock Moyen (UVC)]]&gt;0,1,0)</f>
        <v>1</v>
      </c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75" customHeight="1">
      <c r="A901" s="17">
        <v>202301</v>
      </c>
      <c r="B901" s="13">
        <v>5540246192462</v>
      </c>
      <c r="C901" s="8">
        <v>1133</v>
      </c>
      <c r="D901" s="8">
        <v>8289.3024000000005</v>
      </c>
      <c r="E901" s="25">
        <f t="shared" si="14"/>
        <v>7.316242188879083</v>
      </c>
      <c r="F901" s="8">
        <v>93</v>
      </c>
      <c r="G901" s="17" t="str">
        <f>VLOOKUP(B901, 'Catégorie des articles'!A:E, 4, FALSE)</f>
        <v>MIX LEGUMES</v>
      </c>
      <c r="H901" s="14">
        <f>IF(Tableau5[[#This Row],[Stock Moyen (UVC)]]&gt;0,1,0)</f>
        <v>1</v>
      </c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75" customHeight="1">
      <c r="A902" s="17">
        <v>202301</v>
      </c>
      <c r="B902" s="13">
        <v>5540246192518</v>
      </c>
      <c r="C902" s="8">
        <v>6933</v>
      </c>
      <c r="D902" s="8">
        <v>54588.600000000006</v>
      </c>
      <c r="E902" s="25">
        <f t="shared" si="14"/>
        <v>7.8737343141497194</v>
      </c>
      <c r="F902" s="8">
        <v>1671</v>
      </c>
      <c r="G902" s="17" t="str">
        <f>VLOOKUP(B902, 'Catégorie des articles'!A:E, 4, FALSE)</f>
        <v>MIX LEGUMES</v>
      </c>
      <c r="H902" s="14">
        <f>IF(Tableau5[[#This Row],[Stock Moyen (UVC)]]&gt;0,1,0)</f>
        <v>1</v>
      </c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75" customHeight="1">
      <c r="A903" s="17">
        <v>202301</v>
      </c>
      <c r="B903" s="15">
        <v>5540246192571</v>
      </c>
      <c r="C903" s="11">
        <v>2423</v>
      </c>
      <c r="D903" s="11">
        <v>10819.699200000001</v>
      </c>
      <c r="E903" s="25">
        <f t="shared" si="14"/>
        <v>4.4654144449030131</v>
      </c>
      <c r="F903" s="11">
        <v>460</v>
      </c>
      <c r="G903" s="17" t="str">
        <f>VLOOKUP(B903, 'Catégorie des articles'!A:E, 4, FALSE)</f>
        <v>MIX LEGUMES</v>
      </c>
      <c r="H903" s="14">
        <f>IF(Tableau5[[#This Row],[Stock Moyen (UVC)]]&gt;0,1,0)</f>
        <v>1</v>
      </c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75" customHeight="1">
      <c r="A904" s="17">
        <v>202301</v>
      </c>
      <c r="B904" s="13">
        <v>5540246192594</v>
      </c>
      <c r="C904" s="8">
        <v>1430</v>
      </c>
      <c r="D904" s="8">
        <v>10870.675200000001</v>
      </c>
      <c r="E904" s="25">
        <f t="shared" si="14"/>
        <v>7.6018707692307705</v>
      </c>
      <c r="F904" s="8">
        <v>93</v>
      </c>
      <c r="G904" s="17" t="str">
        <f>VLOOKUP(B904, 'Catégorie des articles'!A:E, 4, FALSE)</f>
        <v>MIX LEGUMES</v>
      </c>
      <c r="H904" s="14">
        <f>IF(Tableau5[[#This Row],[Stock Moyen (UVC)]]&gt;0,1,0)</f>
        <v>1</v>
      </c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75" customHeight="1">
      <c r="A905" s="17">
        <v>202301</v>
      </c>
      <c r="B905" s="13">
        <v>5540246192831</v>
      </c>
      <c r="C905" s="8">
        <v>826</v>
      </c>
      <c r="D905" s="8">
        <v>7501.9823999999999</v>
      </c>
      <c r="E905" s="25">
        <f t="shared" si="14"/>
        <v>9.0823031476997578</v>
      </c>
      <c r="F905" s="8">
        <v>65</v>
      </c>
      <c r="G905" s="17" t="str">
        <f>VLOOKUP(B905, 'Catégorie des articles'!A:E, 4, FALSE)</f>
        <v>MIX LEGUMES</v>
      </c>
      <c r="H905" s="14">
        <f>IF(Tableau5[[#This Row],[Stock Moyen (UVC)]]&gt;0,1,0)</f>
        <v>1</v>
      </c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75" customHeight="1">
      <c r="A906" s="17">
        <v>202301</v>
      </c>
      <c r="B906" s="15">
        <v>5540246192907</v>
      </c>
      <c r="C906" s="11">
        <v>6654</v>
      </c>
      <c r="D906" s="11">
        <v>186775.63200000001</v>
      </c>
      <c r="E906" s="25">
        <f t="shared" si="14"/>
        <v>28.069677186654644</v>
      </c>
      <c r="F906" s="11">
        <v>1968</v>
      </c>
      <c r="G906" s="17" t="str">
        <f>VLOOKUP(B906, 'Catégorie des articles'!A:E, 4, FALSE)</f>
        <v>VOLAILLE</v>
      </c>
      <c r="H906" s="14">
        <f>IF(Tableau5[[#This Row],[Stock Moyen (UVC)]]&gt;0,1,0)</f>
        <v>1</v>
      </c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2.75" customHeight="1">
      <c r="A907" s="17">
        <v>202301</v>
      </c>
      <c r="B907" s="13">
        <v>5540246193316</v>
      </c>
      <c r="C907" s="8">
        <v>270</v>
      </c>
      <c r="D907" s="8">
        <v>9150.4511999999995</v>
      </c>
      <c r="E907" s="25">
        <f t="shared" si="14"/>
        <v>33.890560000000001</v>
      </c>
      <c r="F907" s="8">
        <v>126</v>
      </c>
      <c r="G907" s="17" t="str">
        <f>VLOOKUP(B907, 'Catégorie des articles'!A:E, 4, FALSE)</f>
        <v>BOULANGERIE</v>
      </c>
      <c r="H907" s="14">
        <f>IF(Tableau5[[#This Row],[Stock Moyen (UVC)]]&gt;0,1,0)</f>
        <v>1</v>
      </c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75" customHeight="1">
      <c r="A908" s="17">
        <v>202301</v>
      </c>
      <c r="B908" s="15">
        <v>5540246193409</v>
      </c>
      <c r="C908" s="11">
        <v>63</v>
      </c>
      <c r="D908" s="11">
        <v>3219.2640000000006</v>
      </c>
      <c r="E908" s="25">
        <f t="shared" si="14"/>
        <v>51.099428571428582</v>
      </c>
      <c r="F908" s="11">
        <v>3</v>
      </c>
      <c r="G908" s="17" t="str">
        <f>VLOOKUP(B908, 'Catégorie des articles'!A:E, 4, FALSE)</f>
        <v>BOULANGERIE</v>
      </c>
      <c r="H908" s="14">
        <f>IF(Tableau5[[#This Row],[Stock Moyen (UVC)]]&gt;0,1,0)</f>
        <v>1</v>
      </c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75" customHeight="1">
      <c r="A909" s="17">
        <v>202301</v>
      </c>
      <c r="B909" s="13">
        <v>5540246193878</v>
      </c>
      <c r="C909" s="8">
        <v>29395</v>
      </c>
      <c r="D909" s="8">
        <v>207990.72</v>
      </c>
      <c r="E909" s="25">
        <f t="shared" si="14"/>
        <v>7.0757176390542611</v>
      </c>
      <c r="F909" s="8">
        <v>986</v>
      </c>
      <c r="G909" s="17" t="str">
        <f>VLOOKUP(B909, 'Catégorie des articles'!A:E, 4, FALSE)</f>
        <v>VOLAILLE</v>
      </c>
      <c r="H909" s="14">
        <f>IF(Tableau5[[#This Row],[Stock Moyen (UVC)]]&gt;0,1,0)</f>
        <v>1</v>
      </c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75" customHeight="1">
      <c r="A910" s="17">
        <v>202301</v>
      </c>
      <c r="B910" s="15">
        <v>5540246194467</v>
      </c>
      <c r="C910" s="11">
        <v>93209</v>
      </c>
      <c r="D910" s="11">
        <v>93896.150400000013</v>
      </c>
      <c r="E910" s="25">
        <f t="shared" si="14"/>
        <v>1.0073721464665431</v>
      </c>
      <c r="F910" s="11">
        <v>8909</v>
      </c>
      <c r="G910" s="17" t="str">
        <f>VLOOKUP(B910, 'Catégorie des articles'!A:E, 4, FALSE)</f>
        <v>BOULANGERIE</v>
      </c>
      <c r="H910" s="14">
        <f>IF(Tableau5[[#This Row],[Stock Moyen (UVC)]]&gt;0,1,0)</f>
        <v>1</v>
      </c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75" customHeight="1">
      <c r="A911" s="17">
        <v>202301</v>
      </c>
      <c r="B911" s="15">
        <v>5540246194632</v>
      </c>
      <c r="C911" s="11">
        <v>2239</v>
      </c>
      <c r="D911" s="11">
        <v>28931.472000000005</v>
      </c>
      <c r="E911" s="25">
        <f t="shared" si="14"/>
        <v>12.921604287628409</v>
      </c>
      <c r="F911" s="11">
        <v>1569</v>
      </c>
      <c r="G911" s="17" t="str">
        <f>VLOOKUP(B911, 'Catégorie des articles'!A:E, 4, FALSE)</f>
        <v>BOULANGERIE</v>
      </c>
      <c r="H911" s="14">
        <f>IF(Tableau5[[#This Row],[Stock Moyen (UVC)]]&gt;0,1,0)</f>
        <v>1</v>
      </c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75" customHeight="1">
      <c r="A912" s="17">
        <v>202301</v>
      </c>
      <c r="B912" s="13">
        <v>5540246194790</v>
      </c>
      <c r="C912" s="8">
        <v>1504</v>
      </c>
      <c r="D912" s="8">
        <v>17356.031999999999</v>
      </c>
      <c r="E912" s="25">
        <f t="shared" si="14"/>
        <v>11.53991489361702</v>
      </c>
      <c r="F912" s="8">
        <v>335</v>
      </c>
      <c r="G912" s="17" t="str">
        <f>VLOOKUP(B912, 'Catégorie des articles'!A:E, 4, FALSE)</f>
        <v>MIX LEGUMES</v>
      </c>
      <c r="H912" s="14">
        <f>IF(Tableau5[[#This Row],[Stock Moyen (UVC)]]&gt;0,1,0)</f>
        <v>1</v>
      </c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75" customHeight="1">
      <c r="A913" s="17">
        <v>202301</v>
      </c>
      <c r="B913" s="13">
        <v>5540246194947</v>
      </c>
      <c r="C913" s="8">
        <v>230</v>
      </c>
      <c r="D913" s="8">
        <v>6137.2080000000005</v>
      </c>
      <c r="E913" s="25">
        <f t="shared" si="14"/>
        <v>26.683513043478264</v>
      </c>
      <c r="F913" s="8">
        <v>19</v>
      </c>
      <c r="G913" s="17" t="str">
        <f>VLOOKUP(B913, 'Catégorie des articles'!A:E, 4, FALSE)</f>
        <v>EMBALLAGES</v>
      </c>
      <c r="H913" s="14">
        <f>IF(Tableau5[[#This Row],[Stock Moyen (UVC)]]&gt;0,1,0)</f>
        <v>1</v>
      </c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75" customHeight="1">
      <c r="A914" s="17">
        <v>202301</v>
      </c>
      <c r="B914" s="15">
        <v>5540246195096</v>
      </c>
      <c r="C914" s="11">
        <v>1272</v>
      </c>
      <c r="D914" s="11">
        <v>7563.7151999999996</v>
      </c>
      <c r="E914" s="25">
        <f t="shared" si="14"/>
        <v>5.9463169811320755</v>
      </c>
      <c r="F914" s="11">
        <v>28</v>
      </c>
      <c r="G914" s="17" t="str">
        <f>VLOOKUP(B914, 'Catégorie des articles'!A:E, 4, FALSE)</f>
        <v>MIX LEGUMES</v>
      </c>
      <c r="H914" s="14">
        <f>IF(Tableau5[[#This Row],[Stock Moyen (UVC)]]&gt;0,1,0)</f>
        <v>1</v>
      </c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75" customHeight="1">
      <c r="A915" s="17">
        <v>202301</v>
      </c>
      <c r="B915" s="13">
        <v>5540246195195</v>
      </c>
      <c r="C915" s="8">
        <v>54</v>
      </c>
      <c r="D915" s="8">
        <v>5010.7248000000009</v>
      </c>
      <c r="E915" s="25">
        <f t="shared" si="14"/>
        <v>92.791200000000018</v>
      </c>
      <c r="F915" s="8">
        <v>0</v>
      </c>
      <c r="G915" s="17" t="str">
        <f>VLOOKUP(B915, 'Catégorie des articles'!A:E, 4, FALSE)</f>
        <v>EMBALLAGES</v>
      </c>
      <c r="H915" s="14">
        <f>IF(Tableau5[[#This Row],[Stock Moyen (UVC)]]&gt;0,1,0)</f>
        <v>1</v>
      </c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2.75" customHeight="1">
      <c r="A916" s="17">
        <v>202301</v>
      </c>
      <c r="B916" s="13">
        <v>5540246195241</v>
      </c>
      <c r="C916" s="8">
        <v>580</v>
      </c>
      <c r="D916" s="8">
        <v>17753.04</v>
      </c>
      <c r="E916" s="25">
        <f t="shared" si="14"/>
        <v>30.608689655172416</v>
      </c>
      <c r="F916" s="8">
        <v>70</v>
      </c>
      <c r="G916" s="17" t="str">
        <f>VLOOKUP(B916, 'Catégorie des articles'!A:E, 4, FALSE)</f>
        <v>MIX LEGUMES</v>
      </c>
      <c r="H916" s="14">
        <f>IF(Tableau5[[#This Row],[Stock Moyen (UVC)]]&gt;0,1,0)</f>
        <v>1</v>
      </c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75" customHeight="1">
      <c r="A917" s="17">
        <v>202301</v>
      </c>
      <c r="B917" s="15">
        <v>5540246195242</v>
      </c>
      <c r="C917" s="11">
        <v>836</v>
      </c>
      <c r="D917" s="11">
        <v>29317.075199999999</v>
      </c>
      <c r="E917" s="25">
        <f t="shared" si="14"/>
        <v>35.068271770334924</v>
      </c>
      <c r="F917" s="11">
        <v>47</v>
      </c>
      <c r="G917" s="17" t="str">
        <f>VLOOKUP(B917, 'Catégorie des articles'!A:E, 4, FALSE)</f>
        <v>MIX LEGUMES</v>
      </c>
      <c r="H917" s="14">
        <f>IF(Tableau5[[#This Row],[Stock Moyen (UVC)]]&gt;0,1,0)</f>
        <v>1</v>
      </c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75" customHeight="1">
      <c r="A918" s="17">
        <v>202301</v>
      </c>
      <c r="B918" s="15">
        <v>5540246195250</v>
      </c>
      <c r="C918" s="11">
        <v>574</v>
      </c>
      <c r="D918" s="11">
        <v>22482.532800000001</v>
      </c>
      <c r="E918" s="25">
        <f t="shared" si="14"/>
        <v>39.168175609756098</v>
      </c>
      <c r="F918" s="11">
        <v>149</v>
      </c>
      <c r="G918" s="17" t="str">
        <f>VLOOKUP(B918, 'Catégorie des articles'!A:E, 4, FALSE)</f>
        <v>BOULANGERIE</v>
      </c>
      <c r="H918" s="14">
        <f>IF(Tableau5[[#This Row],[Stock Moyen (UVC)]]&gt;0,1,0)</f>
        <v>1</v>
      </c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75" customHeight="1">
      <c r="A919" s="17">
        <v>202301</v>
      </c>
      <c r="B919" s="15">
        <v>5540246195653</v>
      </c>
      <c r="C919" s="11">
        <v>773</v>
      </c>
      <c r="D919" s="11">
        <v>27466.430400000001</v>
      </c>
      <c r="E919" s="25">
        <f t="shared" si="14"/>
        <v>35.532251487710219</v>
      </c>
      <c r="F919" s="11">
        <v>10</v>
      </c>
      <c r="G919" s="17" t="str">
        <f>VLOOKUP(B919, 'Catégorie des articles'!A:E, 4, FALSE)</f>
        <v>EMBALLAGES</v>
      </c>
      <c r="H919" s="14">
        <f>IF(Tableau5[[#This Row],[Stock Moyen (UVC)]]&gt;0,1,0)</f>
        <v>1</v>
      </c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75" customHeight="1">
      <c r="A920" s="17">
        <v>202301</v>
      </c>
      <c r="B920" s="15">
        <v>5540246195943</v>
      </c>
      <c r="C920" s="11">
        <v>2622</v>
      </c>
      <c r="D920" s="11">
        <v>78007.968000000008</v>
      </c>
      <c r="E920" s="25">
        <f t="shared" si="14"/>
        <v>29.751322654462246</v>
      </c>
      <c r="F920" s="11">
        <v>163</v>
      </c>
      <c r="G920" s="17" t="str">
        <f>VLOOKUP(B920, 'Catégorie des articles'!A:E, 4, FALSE)</f>
        <v>CREMERIE</v>
      </c>
      <c r="H920" s="14">
        <f>IF(Tableau5[[#This Row],[Stock Moyen (UVC)]]&gt;0,1,0)</f>
        <v>1</v>
      </c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75" customHeight="1">
      <c r="A921" s="17">
        <v>202301</v>
      </c>
      <c r="B921" s="13">
        <v>5540246195944</v>
      </c>
      <c r="C921" s="8">
        <v>2692</v>
      </c>
      <c r="D921" s="8">
        <v>73814.975999999995</v>
      </c>
      <c r="E921" s="25">
        <f t="shared" si="14"/>
        <v>27.420124814264486</v>
      </c>
      <c r="F921" s="8">
        <v>209</v>
      </c>
      <c r="G921" s="17" t="str">
        <f>VLOOKUP(B921, 'Catégorie des articles'!A:E, 4, FALSE)</f>
        <v>CREMERIE</v>
      </c>
      <c r="H921" s="14">
        <f>IF(Tableau5[[#This Row],[Stock Moyen (UVC)]]&gt;0,1,0)</f>
        <v>1</v>
      </c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75" customHeight="1">
      <c r="A922" s="17">
        <v>202301</v>
      </c>
      <c r="B922" s="15">
        <v>5540246195999</v>
      </c>
      <c r="C922" s="11">
        <v>9779</v>
      </c>
      <c r="D922" s="11">
        <v>50128.847999999998</v>
      </c>
      <c r="E922" s="25">
        <f t="shared" si="14"/>
        <v>5.1261732283464569</v>
      </c>
      <c r="F922" s="11">
        <v>163</v>
      </c>
      <c r="G922" s="17" t="str">
        <f>VLOOKUP(B922, 'Catégorie des articles'!A:E, 4, FALSE)</f>
        <v>MIX LEGUMES</v>
      </c>
      <c r="H922" s="14">
        <f>IF(Tableau5[[#This Row],[Stock Moyen (UVC)]]&gt;0,1,0)</f>
        <v>1</v>
      </c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75" customHeight="1">
      <c r="A923" s="17">
        <v>202301</v>
      </c>
      <c r="B923" s="13">
        <v>5540246196002</v>
      </c>
      <c r="C923" s="8">
        <v>819</v>
      </c>
      <c r="D923" s="8">
        <v>39557.462400000004</v>
      </c>
      <c r="E923" s="25">
        <f t="shared" si="14"/>
        <v>48.299709890109895</v>
      </c>
      <c r="F923" s="8">
        <v>38</v>
      </c>
      <c r="G923" s="17" t="str">
        <f>VLOOKUP(B923, 'Catégorie des articles'!A:E, 4, FALSE)</f>
        <v>CREMERIE</v>
      </c>
      <c r="H923" s="14">
        <f>IF(Tableau5[[#This Row],[Stock Moyen (UVC)]]&gt;0,1,0)</f>
        <v>1</v>
      </c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75" customHeight="1">
      <c r="A924" s="17">
        <v>202301</v>
      </c>
      <c r="B924" s="15">
        <v>5540246196046</v>
      </c>
      <c r="C924" s="11">
        <v>720</v>
      </c>
      <c r="D924" s="11">
        <v>13065.235200000001</v>
      </c>
      <c r="E924" s="25">
        <f t="shared" si="14"/>
        <v>18.146160000000002</v>
      </c>
      <c r="F924" s="11">
        <v>100</v>
      </c>
      <c r="G924" s="17" t="str">
        <f>VLOOKUP(B924, 'Catégorie des articles'!A:E, 4, FALSE)</f>
        <v>BOULANGERIE</v>
      </c>
      <c r="H924" s="14">
        <f>IF(Tableau5[[#This Row],[Stock Moyen (UVC)]]&gt;0,1,0)</f>
        <v>1</v>
      </c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2.75" customHeight="1">
      <c r="A925" s="17">
        <v>202301</v>
      </c>
      <c r="B925" s="15">
        <v>5540246196065</v>
      </c>
      <c r="C925" s="11">
        <v>775</v>
      </c>
      <c r="D925" s="11">
        <v>17913.355199999998</v>
      </c>
      <c r="E925" s="25">
        <f t="shared" si="14"/>
        <v>23.114006709677415</v>
      </c>
      <c r="F925" s="11">
        <v>98</v>
      </c>
      <c r="G925" s="17" t="str">
        <f>VLOOKUP(B925, 'Catégorie des articles'!A:E, 4, FALSE)</f>
        <v>BOULANGERIE</v>
      </c>
      <c r="H925" s="14">
        <f>IF(Tableau5[[#This Row],[Stock Moyen (UVC)]]&gt;0,1,0)</f>
        <v>1</v>
      </c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75" customHeight="1">
      <c r="A926" s="17">
        <v>202301</v>
      </c>
      <c r="B926" s="15">
        <v>5540246196092</v>
      </c>
      <c r="C926" s="11">
        <v>557</v>
      </c>
      <c r="D926" s="11">
        <v>24027.84</v>
      </c>
      <c r="E926" s="25">
        <f t="shared" si="14"/>
        <v>43.137953321364449</v>
      </c>
      <c r="F926" s="11">
        <v>56</v>
      </c>
      <c r="G926" s="17" t="str">
        <f>VLOOKUP(B926, 'Catégorie des articles'!A:E, 4, FALSE)</f>
        <v>VOLAILLE</v>
      </c>
      <c r="H926" s="14">
        <f>IF(Tableau5[[#This Row],[Stock Moyen (UVC)]]&gt;0,1,0)</f>
        <v>1</v>
      </c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75" customHeight="1">
      <c r="A927" s="17">
        <v>202301</v>
      </c>
      <c r="B927" s="13">
        <v>5540246196148</v>
      </c>
      <c r="C927" s="8">
        <v>659</v>
      </c>
      <c r="D927" s="8">
        <v>27972.864000000001</v>
      </c>
      <c r="E927" s="25">
        <f t="shared" si="14"/>
        <v>42.447441578148712</v>
      </c>
      <c r="F927" s="8">
        <v>82</v>
      </c>
      <c r="G927" s="17" t="str">
        <f>VLOOKUP(B927, 'Catégorie des articles'!A:E, 4, FALSE)</f>
        <v>EMBALLAGES</v>
      </c>
      <c r="H927" s="14">
        <f>IF(Tableau5[[#This Row],[Stock Moyen (UVC)]]&gt;0,1,0)</f>
        <v>1</v>
      </c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75" customHeight="1">
      <c r="A928" s="17">
        <v>202301</v>
      </c>
      <c r="B928" s="15">
        <v>5540246196466</v>
      </c>
      <c r="C928" s="11">
        <v>817</v>
      </c>
      <c r="D928" s="11">
        <v>4242.5856000000003</v>
      </c>
      <c r="E928" s="25">
        <f t="shared" si="14"/>
        <v>5.1928832313341493</v>
      </c>
      <c r="F928" s="11">
        <v>223</v>
      </c>
      <c r="G928" s="17" t="str">
        <f>VLOOKUP(B928, 'Catégorie des articles'!A:E, 4, FALSE)</f>
        <v>BOULANGERIE</v>
      </c>
      <c r="H928" s="14">
        <f>IF(Tableau5[[#This Row],[Stock Moyen (UVC)]]&gt;0,1,0)</f>
        <v>1</v>
      </c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75" customHeight="1">
      <c r="A929" s="17">
        <v>202301</v>
      </c>
      <c r="B929" s="13">
        <v>5540246196800</v>
      </c>
      <c r="C929" s="8">
        <v>0</v>
      </c>
      <c r="D929" s="8">
        <v>0</v>
      </c>
      <c r="E929" s="25" t="str">
        <f t="shared" si="14"/>
        <v/>
      </c>
      <c r="F929" s="8">
        <v>0</v>
      </c>
      <c r="G929" s="17" t="str">
        <f>VLOOKUP(B929, 'Catégorie des articles'!A:E, 4, FALSE)</f>
        <v>MIX LEGUMES</v>
      </c>
      <c r="H929" s="14">
        <f>IF(Tableau5[[#This Row],[Stock Moyen (UVC)]]&gt;0,1,0)</f>
        <v>0</v>
      </c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8.75" customHeight="1">
      <c r="A930" s="14"/>
      <c r="B930" s="17"/>
      <c r="C930" s="14"/>
      <c r="D930" s="14"/>
      <c r="E930" s="26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" customHeight="1">
      <c r="B931" s="3"/>
    </row>
    <row r="932" spans="1:26" ht="12" customHeight="1">
      <c r="B932" s="3"/>
    </row>
    <row r="933" spans="1:26" ht="12" customHeight="1">
      <c r="B933" s="3"/>
    </row>
    <row r="934" spans="1:26" ht="12" customHeight="1">
      <c r="B934" s="3"/>
    </row>
    <row r="935" spans="1:26" ht="12" customHeight="1">
      <c r="B935" s="3"/>
    </row>
    <row r="936" spans="1:26" ht="12" customHeight="1">
      <c r="B936" s="3"/>
    </row>
    <row r="937" spans="1:26" ht="12" customHeight="1">
      <c r="B937" s="3"/>
    </row>
    <row r="938" spans="1:26" ht="12" customHeight="1">
      <c r="B938" s="3"/>
    </row>
    <row r="939" spans="1:26" ht="12" customHeight="1">
      <c r="B939" s="3"/>
    </row>
    <row r="940" spans="1:26" ht="12" customHeight="1">
      <c r="B940" s="3"/>
    </row>
    <row r="941" spans="1:26" ht="12" customHeight="1">
      <c r="B941" s="3"/>
    </row>
    <row r="942" spans="1:26" ht="12" customHeight="1">
      <c r="B942" s="3"/>
    </row>
    <row r="943" spans="1:26" ht="12" customHeight="1">
      <c r="B943" s="3"/>
    </row>
    <row r="944" spans="1:26" ht="12" customHeight="1">
      <c r="B944" s="3"/>
    </row>
    <row r="945" spans="2:2" ht="12" customHeight="1">
      <c r="B945" s="3"/>
    </row>
    <row r="946" spans="2:2" ht="12" customHeight="1">
      <c r="B946" s="3"/>
    </row>
    <row r="947" spans="2:2" ht="12" customHeight="1">
      <c r="B947" s="3"/>
    </row>
    <row r="948" spans="2:2" ht="12" customHeight="1">
      <c r="B948" s="3"/>
    </row>
    <row r="949" spans="2:2" ht="12" customHeight="1">
      <c r="B949" s="3"/>
    </row>
    <row r="950" spans="2:2" ht="12" customHeight="1">
      <c r="B950" s="3"/>
    </row>
    <row r="951" spans="2:2" ht="12" customHeight="1">
      <c r="B951" s="3"/>
    </row>
    <row r="952" spans="2:2" ht="12" customHeight="1">
      <c r="B952" s="3"/>
    </row>
    <row r="953" spans="2:2" ht="12" customHeight="1">
      <c r="B953" s="3"/>
    </row>
    <row r="954" spans="2:2" ht="12" customHeight="1">
      <c r="B954" s="3"/>
    </row>
    <row r="955" spans="2:2" ht="12" customHeight="1">
      <c r="B955" s="3"/>
    </row>
    <row r="956" spans="2:2" ht="12" customHeight="1">
      <c r="B956" s="3"/>
    </row>
    <row r="957" spans="2:2" ht="12" customHeight="1">
      <c r="B957" s="3"/>
    </row>
    <row r="958" spans="2:2" ht="12" customHeight="1">
      <c r="B958" s="3"/>
    </row>
    <row r="959" spans="2:2" ht="12" customHeight="1">
      <c r="B959" s="3"/>
    </row>
    <row r="960" spans="2:2" ht="12" customHeight="1">
      <c r="B960" s="3"/>
    </row>
    <row r="961" spans="2:2" ht="12" customHeight="1">
      <c r="B961" s="3"/>
    </row>
    <row r="962" spans="2:2" ht="12" customHeight="1">
      <c r="B962" s="3"/>
    </row>
    <row r="963" spans="2:2" ht="12" customHeight="1">
      <c r="B963" s="3"/>
    </row>
    <row r="964" spans="2:2" ht="12" customHeight="1">
      <c r="B964" s="3"/>
    </row>
    <row r="965" spans="2:2" ht="12" customHeight="1">
      <c r="B965" s="3"/>
    </row>
    <row r="966" spans="2:2" ht="12" customHeight="1">
      <c r="B966" s="3"/>
    </row>
    <row r="967" spans="2:2" ht="12" customHeight="1">
      <c r="B967" s="3"/>
    </row>
    <row r="968" spans="2:2" ht="12" customHeight="1">
      <c r="B968" s="3"/>
    </row>
    <row r="969" spans="2:2" ht="12" customHeight="1">
      <c r="B969" s="3"/>
    </row>
    <row r="970" spans="2:2" ht="12" customHeight="1">
      <c r="B970" s="3"/>
    </row>
    <row r="971" spans="2:2" ht="12" customHeight="1">
      <c r="B971" s="3"/>
    </row>
    <row r="972" spans="2:2" ht="12" customHeight="1">
      <c r="B972" s="3"/>
    </row>
    <row r="973" spans="2:2" ht="12" customHeight="1">
      <c r="B973" s="3"/>
    </row>
    <row r="974" spans="2:2" ht="12" customHeight="1">
      <c r="B974" s="3"/>
    </row>
    <row r="975" spans="2:2" ht="12" customHeight="1">
      <c r="B975" s="3"/>
    </row>
    <row r="976" spans="2:2" ht="12" customHeight="1">
      <c r="B976" s="3"/>
    </row>
    <row r="977" spans="2:2" ht="12" customHeight="1">
      <c r="B977" s="3"/>
    </row>
    <row r="978" spans="2:2" ht="12" customHeight="1">
      <c r="B978" s="3"/>
    </row>
    <row r="979" spans="2:2" ht="12" customHeight="1">
      <c r="B979" s="3"/>
    </row>
    <row r="980" spans="2:2" ht="12" customHeight="1">
      <c r="B980" s="3"/>
    </row>
    <row r="981" spans="2:2" ht="12" customHeight="1">
      <c r="B981" s="3"/>
    </row>
    <row r="982" spans="2:2" ht="12" customHeight="1">
      <c r="B982" s="3"/>
    </row>
    <row r="983" spans="2:2" ht="12" customHeight="1">
      <c r="B983" s="3"/>
    </row>
    <row r="984" spans="2:2" ht="12" customHeight="1">
      <c r="B984" s="3"/>
    </row>
    <row r="985" spans="2:2" ht="12" customHeight="1">
      <c r="B985" s="3"/>
    </row>
    <row r="986" spans="2:2" ht="12" customHeight="1">
      <c r="B986" s="3"/>
    </row>
    <row r="987" spans="2:2" ht="12" customHeight="1">
      <c r="B987" s="3"/>
    </row>
    <row r="988" spans="2:2" ht="12" customHeight="1">
      <c r="B988" s="3"/>
    </row>
    <row r="989" spans="2:2" ht="12" customHeight="1">
      <c r="B989" s="3"/>
    </row>
    <row r="990" spans="2:2" ht="12" customHeight="1">
      <c r="B990" s="3"/>
    </row>
    <row r="991" spans="2:2" ht="12" customHeight="1">
      <c r="B991" s="3"/>
    </row>
    <row r="992" spans="2:2" ht="12" customHeight="1">
      <c r="B992" s="3"/>
    </row>
    <row r="993" spans="2:2" ht="12" customHeight="1">
      <c r="B993" s="3"/>
    </row>
    <row r="994" spans="2:2" ht="12" customHeight="1">
      <c r="B994" s="3"/>
    </row>
    <row r="995" spans="2:2" ht="12" customHeight="1">
      <c r="B995" s="3"/>
    </row>
    <row r="996" spans="2:2" ht="12" customHeight="1">
      <c r="B996" s="3"/>
    </row>
    <row r="997" spans="2:2" ht="12" customHeight="1">
      <c r="B997" s="3"/>
    </row>
    <row r="998" spans="2:2" ht="12" customHeight="1">
      <c r="B998" s="3"/>
    </row>
    <row r="999" spans="2:2" ht="12" customHeight="1">
      <c r="B999" s="3"/>
    </row>
  </sheetData>
  <pageMargins left="0.7" right="0.7" top="0.75" bottom="0.75" header="0" footer="0"/>
  <pageSetup paperSize="9" orientation="portrait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09EB-2A5C-AE48-A09E-FCAF7EDA997B}">
  <sheetPr>
    <tabColor theme="0" tint="-0.14999847407452621"/>
  </sheetPr>
  <dimension ref="A1:D28"/>
  <sheetViews>
    <sheetView workbookViewId="0">
      <selection activeCell="D33" sqref="D33"/>
    </sheetView>
  </sheetViews>
  <sheetFormatPr baseColWidth="10" defaultRowHeight="13"/>
  <cols>
    <col min="1" max="1" width="19.5" bestFit="1" customWidth="1"/>
    <col min="2" max="2" width="26.1640625" bestFit="1" customWidth="1"/>
  </cols>
  <sheetData>
    <row r="1" spans="1:2">
      <c r="A1" s="18" t="s">
        <v>3</v>
      </c>
      <c r="B1" t="s">
        <v>168</v>
      </c>
    </row>
    <row r="3" spans="1:2">
      <c r="A3" s="18" t="s">
        <v>165</v>
      </c>
      <c r="B3" t="s">
        <v>167</v>
      </c>
    </row>
    <row r="4" spans="1:2">
      <c r="A4" s="36">
        <v>202205</v>
      </c>
      <c r="B4" s="77">
        <v>207364</v>
      </c>
    </row>
    <row r="5" spans="1:2">
      <c r="A5" s="36">
        <v>202206</v>
      </c>
      <c r="B5" s="77">
        <v>351521</v>
      </c>
    </row>
    <row r="6" spans="1:2">
      <c r="A6" s="36">
        <v>202207</v>
      </c>
      <c r="B6" s="77">
        <v>284421</v>
      </c>
    </row>
    <row r="7" spans="1:2">
      <c r="A7" s="36">
        <v>202208</v>
      </c>
      <c r="B7" s="77">
        <v>280572</v>
      </c>
    </row>
    <row r="8" spans="1:2">
      <c r="A8" s="36">
        <v>202209</v>
      </c>
      <c r="B8" s="77">
        <v>246851</v>
      </c>
    </row>
    <row r="9" spans="1:2">
      <c r="A9" s="36">
        <v>202210</v>
      </c>
      <c r="B9" s="77">
        <v>245160</v>
      </c>
    </row>
    <row r="10" spans="1:2">
      <c r="A10" s="36">
        <v>202211</v>
      </c>
      <c r="B10" s="77">
        <v>401047</v>
      </c>
    </row>
    <row r="11" spans="1:2">
      <c r="A11" s="36">
        <v>202212</v>
      </c>
      <c r="B11" s="77">
        <v>407052</v>
      </c>
    </row>
    <row r="12" spans="1:2">
      <c r="A12" s="36">
        <v>202301</v>
      </c>
      <c r="B12" s="77">
        <v>345478</v>
      </c>
    </row>
    <row r="13" spans="1:2">
      <c r="A13" s="36" t="s">
        <v>166</v>
      </c>
      <c r="B13" s="77">
        <v>2769466</v>
      </c>
    </row>
    <row r="16" spans="1:2" ht="14" thickBot="1"/>
    <row r="17" spans="1:4" ht="14" thickBot="1">
      <c r="A17" s="28" t="s">
        <v>196</v>
      </c>
      <c r="B17" s="68">
        <f>(B12-B4)/B4</f>
        <v>0.66604617966474411</v>
      </c>
    </row>
    <row r="18" spans="1:4" ht="14" thickBot="1">
      <c r="A18" s="28" t="s">
        <v>195</v>
      </c>
      <c r="B18" s="69">
        <f>B12-B4</f>
        <v>138114</v>
      </c>
    </row>
    <row r="27" spans="1:4">
      <c r="D27" s="67"/>
    </row>
    <row r="28" spans="1:4">
      <c r="D28" s="67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691D-68EB-ED40-8572-D44C86E9386B}">
  <sheetPr>
    <tabColor theme="4" tint="0.59999389629810485"/>
  </sheetPr>
  <dimension ref="A2:E31"/>
  <sheetViews>
    <sheetView tabSelected="1" workbookViewId="0">
      <selection activeCell="E36" sqref="E36"/>
    </sheetView>
  </sheetViews>
  <sheetFormatPr baseColWidth="10" defaultRowHeight="13"/>
  <cols>
    <col min="1" max="1" width="26.1640625" bestFit="1" customWidth="1"/>
    <col min="2" max="2" width="22" bestFit="1" customWidth="1"/>
    <col min="3" max="3" width="10" bestFit="1" customWidth="1"/>
    <col min="4" max="4" width="12.83203125" bestFit="1" customWidth="1"/>
    <col min="5" max="8" width="11.5" bestFit="1" customWidth="1"/>
  </cols>
  <sheetData>
    <row r="2" spans="1:5" hidden="1"/>
    <row r="3" spans="1:5">
      <c r="A3" s="18" t="s">
        <v>167</v>
      </c>
      <c r="B3" s="18" t="s">
        <v>193</v>
      </c>
    </row>
    <row r="4" spans="1:5">
      <c r="A4" s="18" t="s">
        <v>165</v>
      </c>
      <c r="B4" t="s">
        <v>7</v>
      </c>
      <c r="C4" t="s">
        <v>37</v>
      </c>
      <c r="D4" t="s">
        <v>124</v>
      </c>
      <c r="E4" t="s">
        <v>166</v>
      </c>
    </row>
    <row r="5" spans="1:5">
      <c r="A5" s="19">
        <v>202205</v>
      </c>
      <c r="B5">
        <v>10200</v>
      </c>
      <c r="C5">
        <v>22508</v>
      </c>
      <c r="D5">
        <v>3029</v>
      </c>
      <c r="E5">
        <v>35737</v>
      </c>
    </row>
    <row r="6" spans="1:5">
      <c r="A6" s="19">
        <v>202206</v>
      </c>
      <c r="B6">
        <v>33814</v>
      </c>
      <c r="C6">
        <v>24700</v>
      </c>
      <c r="D6">
        <v>6102</v>
      </c>
      <c r="E6">
        <v>64616</v>
      </c>
    </row>
    <row r="7" spans="1:5">
      <c r="A7" s="19">
        <v>202207</v>
      </c>
      <c r="B7">
        <v>19386</v>
      </c>
      <c r="C7">
        <v>18537</v>
      </c>
      <c r="D7">
        <v>5057</v>
      </c>
      <c r="E7">
        <v>42980</v>
      </c>
    </row>
    <row r="8" spans="1:5">
      <c r="A8" s="19">
        <v>202208</v>
      </c>
      <c r="B8">
        <v>32000</v>
      </c>
      <c r="C8">
        <v>25112</v>
      </c>
      <c r="D8">
        <v>4106</v>
      </c>
      <c r="E8">
        <v>61218</v>
      </c>
    </row>
    <row r="9" spans="1:5">
      <c r="A9" s="19">
        <v>202209</v>
      </c>
      <c r="B9">
        <v>40725</v>
      </c>
      <c r="C9">
        <v>27558</v>
      </c>
      <c r="D9">
        <v>7943</v>
      </c>
      <c r="E9">
        <v>76226</v>
      </c>
    </row>
    <row r="10" spans="1:5">
      <c r="A10" s="19">
        <v>202210</v>
      </c>
      <c r="B10">
        <v>57990</v>
      </c>
      <c r="C10">
        <v>39661</v>
      </c>
      <c r="D10">
        <v>6468</v>
      </c>
      <c r="E10">
        <v>104119</v>
      </c>
    </row>
    <row r="11" spans="1:5">
      <c r="A11" s="19">
        <v>202211</v>
      </c>
      <c r="B11">
        <v>77934</v>
      </c>
      <c r="C11">
        <v>37794</v>
      </c>
      <c r="D11">
        <v>5938</v>
      </c>
      <c r="E11">
        <v>121666</v>
      </c>
    </row>
    <row r="12" spans="1:5">
      <c r="A12" s="19">
        <v>202212</v>
      </c>
      <c r="B12">
        <v>80717</v>
      </c>
      <c r="C12">
        <v>25570</v>
      </c>
      <c r="D12">
        <v>7702</v>
      </c>
      <c r="E12">
        <v>113989</v>
      </c>
    </row>
    <row r="13" spans="1:5" ht="16" customHeight="1">
      <c r="A13" s="19">
        <v>202301</v>
      </c>
      <c r="B13">
        <v>112484</v>
      </c>
      <c r="C13">
        <v>40564</v>
      </c>
      <c r="D13">
        <v>7897</v>
      </c>
      <c r="E13">
        <v>160945</v>
      </c>
    </row>
    <row r="14" spans="1:5">
      <c r="A14" s="19" t="s">
        <v>166</v>
      </c>
      <c r="B14">
        <v>465250</v>
      </c>
      <c r="C14">
        <v>262004</v>
      </c>
      <c r="D14">
        <v>54242</v>
      </c>
      <c r="E14">
        <v>781496</v>
      </c>
    </row>
    <row r="15" spans="1:5" ht="14" thickBot="1"/>
    <row r="16" spans="1:5" ht="14" thickBot="1">
      <c r="A16" s="74" t="s">
        <v>194</v>
      </c>
      <c r="B16" s="75">
        <f>B13-B5</f>
        <v>102284</v>
      </c>
      <c r="C16" s="76">
        <f>C13-C5</f>
        <v>18056</v>
      </c>
      <c r="D16" s="38">
        <f>D13-D5</f>
        <v>4868</v>
      </c>
    </row>
    <row r="17" spans="1:4" ht="14" thickBot="1">
      <c r="A17" s="73" t="s">
        <v>187</v>
      </c>
      <c r="B17" s="70">
        <f>(B13-B5)/B5</f>
        <v>10.027843137254902</v>
      </c>
      <c r="C17" s="71">
        <f>(C13-C5)/C5</f>
        <v>0.80220366092056161</v>
      </c>
      <c r="D17" s="72">
        <f>(D13-D5)/D5</f>
        <v>1.6071310663585341</v>
      </c>
    </row>
    <row r="22" spans="1:4">
      <c r="A22" s="22"/>
    </row>
    <row r="29" spans="1:4">
      <c r="B29" s="22"/>
    </row>
    <row r="30" spans="1:4">
      <c r="A30" s="65"/>
      <c r="B30" s="66"/>
    </row>
    <row r="31" spans="1:4">
      <c r="B31" s="64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25C7-5240-9D4B-9C9E-F980B5B1C125}">
  <sheetPr>
    <tabColor theme="5" tint="0.79998168889431442"/>
  </sheetPr>
  <dimension ref="A1:B21"/>
  <sheetViews>
    <sheetView workbookViewId="0">
      <selection activeCell="B39" sqref="B39"/>
    </sheetView>
  </sheetViews>
  <sheetFormatPr baseColWidth="10" defaultRowHeight="13"/>
  <cols>
    <col min="1" max="1" width="19.5" bestFit="1" customWidth="1"/>
    <col min="2" max="2" width="20" bestFit="1" customWidth="1"/>
    <col min="3" max="5" width="12.1640625" bestFit="1" customWidth="1"/>
    <col min="6" max="6" width="10.1640625" bestFit="1" customWidth="1"/>
    <col min="7" max="16" width="12.1640625" bestFit="1" customWidth="1"/>
    <col min="17" max="17" width="11.1640625" bestFit="1" customWidth="1"/>
    <col min="18" max="19" width="12.1640625" bestFit="1" customWidth="1"/>
    <col min="20" max="20" width="11.1640625" bestFit="1" customWidth="1"/>
    <col min="21" max="28" width="12.1640625" bestFit="1" customWidth="1"/>
    <col min="29" max="29" width="9.1640625" bestFit="1" customWidth="1"/>
    <col min="30" max="31" width="12.1640625" bestFit="1" customWidth="1"/>
    <col min="32" max="32" width="7.1640625" bestFit="1" customWidth="1"/>
    <col min="33" max="43" width="12.1640625" bestFit="1" customWidth="1"/>
    <col min="44" max="44" width="11.1640625" bestFit="1" customWidth="1"/>
    <col min="45" max="48" width="12.1640625" bestFit="1" customWidth="1"/>
    <col min="49" max="49" width="11.1640625" bestFit="1" customWidth="1"/>
    <col min="50" max="50" width="12.1640625" bestFit="1" customWidth="1"/>
    <col min="51" max="51" width="11.1640625" bestFit="1" customWidth="1"/>
    <col min="52" max="66" width="12.1640625" bestFit="1" customWidth="1"/>
    <col min="67" max="68" width="11.1640625" bestFit="1" customWidth="1"/>
    <col min="69" max="71" width="12.1640625" bestFit="1" customWidth="1"/>
    <col min="72" max="72" width="11.1640625" bestFit="1" customWidth="1"/>
    <col min="73" max="75" width="12.1640625" bestFit="1" customWidth="1"/>
    <col min="76" max="76" width="11.1640625" bestFit="1" customWidth="1"/>
    <col min="77" max="78" width="12.1640625" bestFit="1" customWidth="1"/>
    <col min="79" max="79" width="8.1640625" bestFit="1" customWidth="1"/>
    <col min="80" max="85" width="12.1640625" bestFit="1" customWidth="1"/>
    <col min="86" max="86" width="11.1640625" bestFit="1" customWidth="1"/>
    <col min="87" max="111" width="12.1640625" bestFit="1" customWidth="1"/>
    <col min="112" max="112" width="7.1640625" bestFit="1" customWidth="1"/>
    <col min="113" max="113" width="11.1640625" bestFit="1" customWidth="1"/>
    <col min="114" max="115" width="12.1640625" bestFit="1" customWidth="1"/>
    <col min="116" max="116" width="11.1640625" bestFit="1" customWidth="1"/>
    <col min="117" max="121" width="12.1640625" bestFit="1" customWidth="1"/>
    <col min="122" max="122" width="11.1640625" bestFit="1" customWidth="1"/>
    <col min="123" max="127" width="12.1640625" bestFit="1" customWidth="1"/>
    <col min="128" max="128" width="9.1640625" bestFit="1" customWidth="1"/>
    <col min="129" max="136" width="12.1640625" bestFit="1" customWidth="1"/>
    <col min="137" max="137" width="11.1640625" bestFit="1" customWidth="1"/>
    <col min="138" max="152" width="12.1640625" bestFit="1" customWidth="1"/>
    <col min="153" max="153" width="8.1640625" bestFit="1" customWidth="1"/>
    <col min="154" max="161" width="12.1640625" bestFit="1" customWidth="1"/>
    <col min="162" max="162" width="11.1640625" bestFit="1" customWidth="1"/>
    <col min="163" max="166" width="12.1640625" bestFit="1" customWidth="1"/>
    <col min="167" max="167" width="11.1640625" bestFit="1" customWidth="1"/>
    <col min="168" max="170" width="12.1640625" bestFit="1" customWidth="1"/>
    <col min="171" max="171" width="11.1640625" bestFit="1" customWidth="1"/>
    <col min="172" max="176" width="12.1640625" bestFit="1" customWidth="1"/>
    <col min="177" max="177" width="11.1640625" bestFit="1" customWidth="1"/>
    <col min="178" max="182" width="12.1640625" bestFit="1" customWidth="1"/>
    <col min="183" max="183" width="11.1640625" bestFit="1" customWidth="1"/>
    <col min="184" max="191" width="12.1640625" bestFit="1" customWidth="1"/>
    <col min="192" max="192" width="11.1640625" bestFit="1" customWidth="1"/>
    <col min="193" max="206" width="12.1640625" bestFit="1" customWidth="1"/>
    <col min="207" max="207" width="11.1640625" bestFit="1" customWidth="1"/>
    <col min="208" max="213" width="12.1640625" bestFit="1" customWidth="1"/>
    <col min="214" max="214" width="10.1640625" bestFit="1" customWidth="1"/>
    <col min="215" max="215" width="12.1640625" bestFit="1" customWidth="1"/>
    <col min="216" max="216" width="6.1640625" bestFit="1" customWidth="1"/>
    <col min="217" max="223" width="12.1640625" bestFit="1" customWidth="1"/>
    <col min="224" max="224" width="11.1640625" bestFit="1" customWidth="1"/>
    <col min="225" max="226" width="12.1640625" bestFit="1" customWidth="1"/>
    <col min="227" max="227" width="11.1640625" bestFit="1" customWidth="1"/>
    <col min="228" max="233" width="12.1640625" bestFit="1" customWidth="1"/>
    <col min="234" max="234" width="11.1640625" bestFit="1" customWidth="1"/>
    <col min="235" max="235" width="12.1640625" bestFit="1" customWidth="1"/>
    <col min="236" max="236" width="11.1640625" bestFit="1" customWidth="1"/>
    <col min="237" max="238" width="12.1640625" bestFit="1" customWidth="1"/>
    <col min="239" max="239" width="11.1640625" bestFit="1" customWidth="1"/>
    <col min="240" max="242" width="12.1640625" bestFit="1" customWidth="1"/>
    <col min="243" max="244" width="11.1640625" bestFit="1" customWidth="1"/>
    <col min="245" max="251" width="12.1640625" bestFit="1" customWidth="1"/>
    <col min="252" max="252" width="11.1640625" bestFit="1" customWidth="1"/>
    <col min="253" max="264" width="12.1640625" bestFit="1" customWidth="1"/>
    <col min="265" max="265" width="11.1640625" bestFit="1" customWidth="1"/>
    <col min="266" max="273" width="12.1640625" bestFit="1" customWidth="1"/>
    <col min="274" max="274" width="11.1640625" bestFit="1" customWidth="1"/>
    <col min="275" max="298" width="12.1640625" bestFit="1" customWidth="1"/>
    <col min="299" max="299" width="8.1640625" bestFit="1" customWidth="1"/>
    <col min="300" max="303" width="12.1640625" bestFit="1" customWidth="1"/>
    <col min="304" max="304" width="11.1640625" bestFit="1" customWidth="1"/>
    <col min="305" max="305" width="12.1640625" bestFit="1" customWidth="1"/>
    <col min="306" max="306" width="8.1640625" bestFit="1" customWidth="1"/>
    <col min="307" max="307" width="12.1640625" bestFit="1" customWidth="1"/>
    <col min="308" max="308" width="11.1640625" bestFit="1" customWidth="1"/>
    <col min="309" max="315" width="12.1640625" bestFit="1" customWidth="1"/>
    <col min="316" max="316" width="11.1640625" bestFit="1" customWidth="1"/>
    <col min="317" max="321" width="12.1640625" bestFit="1" customWidth="1"/>
    <col min="322" max="322" width="10.1640625" bestFit="1" customWidth="1"/>
    <col min="323" max="334" width="12.1640625" bestFit="1" customWidth="1"/>
    <col min="335" max="335" width="11.1640625" bestFit="1" customWidth="1"/>
    <col min="336" max="340" width="12.1640625" bestFit="1" customWidth="1"/>
    <col min="341" max="341" width="7.1640625" bestFit="1" customWidth="1"/>
    <col min="342" max="347" width="12.1640625" bestFit="1" customWidth="1"/>
    <col min="348" max="348" width="11.1640625" bestFit="1" customWidth="1"/>
    <col min="349" max="352" width="12.1640625" bestFit="1" customWidth="1"/>
    <col min="353" max="353" width="6.1640625" bestFit="1" customWidth="1"/>
    <col min="354" max="358" width="12.1640625" bestFit="1" customWidth="1"/>
    <col min="359" max="359" width="11.1640625" bestFit="1" customWidth="1"/>
    <col min="360" max="361" width="12.1640625" bestFit="1" customWidth="1"/>
    <col min="362" max="362" width="11.1640625" bestFit="1" customWidth="1"/>
    <col min="363" max="363" width="12.1640625" bestFit="1" customWidth="1"/>
    <col min="364" max="364" width="11.1640625" bestFit="1" customWidth="1"/>
    <col min="365" max="374" width="12.1640625" bestFit="1" customWidth="1"/>
    <col min="375" max="375" width="11.1640625" bestFit="1" customWidth="1"/>
    <col min="376" max="382" width="12.1640625" bestFit="1" customWidth="1"/>
    <col min="383" max="383" width="8.1640625" bestFit="1" customWidth="1"/>
    <col min="384" max="384" width="11.1640625" bestFit="1" customWidth="1"/>
    <col min="385" max="391" width="12.1640625" bestFit="1" customWidth="1"/>
    <col min="392" max="392" width="11.1640625" bestFit="1" customWidth="1"/>
    <col min="393" max="393" width="12.1640625" bestFit="1" customWidth="1"/>
    <col min="394" max="394" width="11.1640625" bestFit="1" customWidth="1"/>
    <col min="395" max="396" width="12.1640625" bestFit="1" customWidth="1"/>
    <col min="397" max="397" width="11.1640625" bestFit="1" customWidth="1"/>
    <col min="398" max="400" width="12.1640625" bestFit="1" customWidth="1"/>
    <col min="401" max="401" width="8.1640625" bestFit="1" customWidth="1"/>
    <col min="402" max="412" width="12.1640625" bestFit="1" customWidth="1"/>
    <col min="413" max="413" width="11.1640625" bestFit="1" customWidth="1"/>
    <col min="414" max="428" width="12.1640625" bestFit="1" customWidth="1"/>
    <col min="429" max="429" width="11.1640625" bestFit="1" customWidth="1"/>
    <col min="430" max="430" width="12.1640625" bestFit="1" customWidth="1"/>
    <col min="431" max="431" width="11.1640625" bestFit="1" customWidth="1"/>
    <col min="432" max="448" width="12.1640625" bestFit="1" customWidth="1"/>
    <col min="449" max="449" width="11.1640625" bestFit="1" customWidth="1"/>
    <col min="450" max="452" width="12.1640625" bestFit="1" customWidth="1"/>
    <col min="453" max="453" width="8.1640625" bestFit="1" customWidth="1"/>
    <col min="454" max="455" width="12.1640625" bestFit="1" customWidth="1"/>
    <col min="456" max="456" width="11.1640625" bestFit="1" customWidth="1"/>
    <col min="457" max="470" width="12.1640625" bestFit="1" customWidth="1"/>
    <col min="471" max="471" width="11.1640625" bestFit="1" customWidth="1"/>
    <col min="472" max="472" width="12.1640625" bestFit="1" customWidth="1"/>
    <col min="473" max="473" width="8.1640625" bestFit="1" customWidth="1"/>
    <col min="474" max="483" width="12.1640625" bestFit="1" customWidth="1"/>
    <col min="484" max="484" width="9.1640625" bestFit="1" customWidth="1"/>
    <col min="485" max="488" width="12.1640625" bestFit="1" customWidth="1"/>
    <col min="489" max="489" width="11.1640625" bestFit="1" customWidth="1"/>
    <col min="490" max="493" width="12.1640625" bestFit="1" customWidth="1"/>
    <col min="494" max="494" width="8.1640625" bestFit="1" customWidth="1"/>
    <col min="495" max="501" width="12.1640625" bestFit="1" customWidth="1"/>
    <col min="502" max="502" width="9.1640625" bestFit="1" customWidth="1"/>
    <col min="503" max="503" width="7.1640625" bestFit="1" customWidth="1"/>
    <col min="504" max="504" width="12.1640625" bestFit="1" customWidth="1"/>
    <col min="505" max="505" width="10.1640625" bestFit="1" customWidth="1"/>
    <col min="506" max="506" width="11.1640625" bestFit="1" customWidth="1"/>
    <col min="507" max="512" width="12.1640625" bestFit="1" customWidth="1"/>
    <col min="513" max="513" width="11.1640625" bestFit="1" customWidth="1"/>
    <col min="514" max="514" width="12.1640625" bestFit="1" customWidth="1"/>
    <col min="515" max="515" width="10.1640625" bestFit="1" customWidth="1"/>
    <col min="516" max="517" width="12.1640625" bestFit="1" customWidth="1"/>
    <col min="518" max="518" width="11.1640625" bestFit="1" customWidth="1"/>
    <col min="519" max="521" width="12.1640625" bestFit="1" customWidth="1"/>
    <col min="522" max="522" width="7.1640625" bestFit="1" customWidth="1"/>
    <col min="523" max="527" width="12.1640625" bestFit="1" customWidth="1"/>
    <col min="528" max="528" width="8.1640625" bestFit="1" customWidth="1"/>
    <col min="529" max="544" width="12.1640625" bestFit="1" customWidth="1"/>
    <col min="545" max="545" width="11.1640625" bestFit="1" customWidth="1"/>
    <col min="546" max="550" width="12.1640625" bestFit="1" customWidth="1"/>
    <col min="551" max="551" width="11.1640625" bestFit="1" customWidth="1"/>
    <col min="552" max="562" width="12.1640625" bestFit="1" customWidth="1"/>
    <col min="563" max="563" width="11.1640625" bestFit="1" customWidth="1"/>
    <col min="564" max="566" width="12.1640625" bestFit="1" customWidth="1"/>
    <col min="567" max="567" width="8.1640625" bestFit="1" customWidth="1"/>
    <col min="568" max="573" width="12.1640625" bestFit="1" customWidth="1"/>
    <col min="574" max="574" width="10.1640625" bestFit="1" customWidth="1"/>
    <col min="575" max="576" width="12.1640625" bestFit="1" customWidth="1"/>
    <col min="577" max="577" width="11.1640625" bestFit="1" customWidth="1"/>
    <col min="578" max="578" width="6.1640625" bestFit="1" customWidth="1"/>
    <col min="579" max="585" width="12.1640625" bestFit="1" customWidth="1"/>
    <col min="586" max="586" width="11.1640625" bestFit="1" customWidth="1"/>
    <col min="587" max="588" width="12.1640625" bestFit="1" customWidth="1"/>
    <col min="589" max="589" width="11.1640625" bestFit="1" customWidth="1"/>
    <col min="590" max="594" width="12.1640625" bestFit="1" customWidth="1"/>
    <col min="595" max="595" width="9.1640625" bestFit="1" customWidth="1"/>
    <col min="596" max="597" width="12.1640625" bestFit="1" customWidth="1"/>
    <col min="598" max="598" width="9.1640625" bestFit="1" customWidth="1"/>
    <col min="599" max="601" width="12.1640625" bestFit="1" customWidth="1"/>
    <col min="602" max="602" width="8.1640625" bestFit="1" customWidth="1"/>
    <col min="603" max="606" width="12.1640625" bestFit="1" customWidth="1"/>
    <col min="607" max="607" width="9.1640625" bestFit="1" customWidth="1"/>
    <col min="608" max="608" width="12.1640625" bestFit="1" customWidth="1"/>
    <col min="609" max="609" width="8.1640625" bestFit="1" customWidth="1"/>
    <col min="610" max="613" width="12.1640625" bestFit="1" customWidth="1"/>
    <col min="614" max="614" width="11.1640625" bestFit="1" customWidth="1"/>
    <col min="615" max="617" width="12.1640625" bestFit="1" customWidth="1"/>
    <col min="618" max="618" width="9.1640625" bestFit="1" customWidth="1"/>
    <col min="619" max="621" width="12.1640625" bestFit="1" customWidth="1"/>
    <col min="622" max="622" width="8.1640625" bestFit="1" customWidth="1"/>
    <col min="623" max="625" width="12.1640625" bestFit="1" customWidth="1"/>
    <col min="626" max="626" width="8.1640625" bestFit="1" customWidth="1"/>
    <col min="627" max="635" width="12.1640625" bestFit="1" customWidth="1"/>
    <col min="636" max="636" width="11.1640625" bestFit="1" customWidth="1"/>
    <col min="637" max="638" width="12.1640625" bestFit="1" customWidth="1"/>
    <col min="639" max="639" width="11.1640625" bestFit="1" customWidth="1"/>
    <col min="640" max="644" width="12.1640625" bestFit="1" customWidth="1"/>
    <col min="645" max="645" width="8.1640625" bestFit="1" customWidth="1"/>
    <col min="646" max="661" width="12.1640625" bestFit="1" customWidth="1"/>
    <col min="662" max="662" width="7.1640625" bestFit="1" customWidth="1"/>
    <col min="663" max="666" width="12.1640625" bestFit="1" customWidth="1"/>
    <col min="667" max="667" width="7.1640625" bestFit="1" customWidth="1"/>
    <col min="668" max="668" width="8.1640625" bestFit="1" customWidth="1"/>
    <col min="669" max="673" width="12.1640625" bestFit="1" customWidth="1"/>
    <col min="674" max="674" width="7.1640625" bestFit="1" customWidth="1"/>
    <col min="675" max="678" width="12.1640625" bestFit="1" customWidth="1"/>
    <col min="679" max="679" width="7.1640625" bestFit="1" customWidth="1"/>
    <col min="680" max="683" width="12.1640625" bestFit="1" customWidth="1"/>
    <col min="684" max="684" width="9.1640625" bestFit="1" customWidth="1"/>
    <col min="685" max="700" width="12.1640625" bestFit="1" customWidth="1"/>
    <col min="701" max="701" width="8.1640625" bestFit="1" customWidth="1"/>
    <col min="702" max="702" width="9.1640625" bestFit="1" customWidth="1"/>
    <col min="703" max="705" width="12.1640625" bestFit="1" customWidth="1"/>
    <col min="706" max="706" width="10.1640625" bestFit="1" customWidth="1"/>
    <col min="707" max="709" width="12.1640625" bestFit="1" customWidth="1"/>
    <col min="710" max="710" width="11.1640625" bestFit="1" customWidth="1"/>
    <col min="711" max="714" width="12.1640625" bestFit="1" customWidth="1"/>
    <col min="715" max="715" width="11.1640625" bestFit="1" customWidth="1"/>
    <col min="716" max="727" width="12.1640625" bestFit="1" customWidth="1"/>
    <col min="728" max="728" width="8.1640625" bestFit="1" customWidth="1"/>
    <col min="729" max="729" width="10.1640625" bestFit="1" customWidth="1"/>
    <col min="730" max="731" width="12.1640625" bestFit="1" customWidth="1"/>
    <col min="732" max="732" width="11.1640625" bestFit="1" customWidth="1"/>
    <col min="733" max="735" width="12.1640625" bestFit="1" customWidth="1"/>
    <col min="736" max="736" width="10.1640625" bestFit="1" customWidth="1"/>
    <col min="737" max="737" width="11.1640625" bestFit="1" customWidth="1"/>
    <col min="738" max="743" width="12.1640625" bestFit="1" customWidth="1"/>
    <col min="744" max="744" width="11.1640625" bestFit="1" customWidth="1"/>
    <col min="745" max="751" width="12.1640625" bestFit="1" customWidth="1"/>
    <col min="752" max="752" width="11.1640625" bestFit="1" customWidth="1"/>
    <col min="753" max="753" width="12.1640625" bestFit="1" customWidth="1"/>
    <col min="754" max="754" width="9.1640625" bestFit="1" customWidth="1"/>
    <col min="755" max="763" width="12.1640625" bestFit="1" customWidth="1"/>
    <col min="764" max="764" width="11.1640625" bestFit="1" customWidth="1"/>
    <col min="765" max="767" width="12.1640625" bestFit="1" customWidth="1"/>
    <col min="768" max="768" width="10.1640625" bestFit="1" customWidth="1"/>
    <col min="769" max="770" width="12.1640625" bestFit="1" customWidth="1"/>
    <col min="771" max="771" width="11.1640625" bestFit="1" customWidth="1"/>
    <col min="772" max="772" width="9.1640625" bestFit="1" customWidth="1"/>
    <col min="773" max="773" width="8.1640625" bestFit="1" customWidth="1"/>
    <col min="775" max="775" width="5.6640625" bestFit="1" customWidth="1"/>
    <col min="776" max="776" width="11.5" bestFit="1" customWidth="1"/>
  </cols>
  <sheetData>
    <row r="1" spans="1:2">
      <c r="A1" s="18" t="s">
        <v>3</v>
      </c>
      <c r="B1" t="s">
        <v>168</v>
      </c>
    </row>
    <row r="3" spans="1:2">
      <c r="A3" s="18" t="s">
        <v>165</v>
      </c>
      <c r="B3" t="s">
        <v>170</v>
      </c>
    </row>
    <row r="4" spans="1:2">
      <c r="A4" s="19">
        <v>202205</v>
      </c>
      <c r="B4" s="39">
        <v>30.244538648181916</v>
      </c>
    </row>
    <row r="5" spans="1:2">
      <c r="A5" s="19">
        <v>202206</v>
      </c>
      <c r="B5" s="39">
        <v>29.435906942591377</v>
      </c>
    </row>
    <row r="6" spans="1:2">
      <c r="A6" s="19">
        <v>202207</v>
      </c>
      <c r="B6" s="39">
        <v>30.109033907209284</v>
      </c>
    </row>
    <row r="7" spans="1:2">
      <c r="A7" s="19">
        <v>202208</v>
      </c>
      <c r="B7" s="39">
        <v>25.077206167744201</v>
      </c>
    </row>
    <row r="8" spans="1:2">
      <c r="A8" s="19">
        <v>202209</v>
      </c>
      <c r="B8" s="39">
        <v>25.42556865822516</v>
      </c>
    </row>
    <row r="9" spans="1:2">
      <c r="A9" s="19">
        <v>202210</v>
      </c>
      <c r="B9" s="39">
        <v>24.940123602283979</v>
      </c>
    </row>
    <row r="10" spans="1:2">
      <c r="A10" s="19">
        <v>202211</v>
      </c>
      <c r="B10" s="39">
        <v>26.219492579549527</v>
      </c>
    </row>
    <row r="11" spans="1:2">
      <c r="A11" s="19">
        <v>202212</v>
      </c>
      <c r="B11" s="39">
        <v>26.658604488125064</v>
      </c>
    </row>
    <row r="12" spans="1:2">
      <c r="A12" s="19">
        <v>202301</v>
      </c>
      <c r="B12" s="39">
        <v>27.331815022011927</v>
      </c>
    </row>
    <row r="13" spans="1:2">
      <c r="A13" s="19" t="s">
        <v>166</v>
      </c>
      <c r="B13" s="39">
        <v>27.275326277049594</v>
      </c>
    </row>
    <row r="20" spans="1:2" ht="14" thickBot="1"/>
    <row r="21" spans="1:2" ht="14" thickBot="1">
      <c r="A21" s="28" t="s">
        <v>171</v>
      </c>
      <c r="B21" s="29">
        <f>(B12-B4)/B4</f>
        <v>-9.6305771433715701E-2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FC04-3265-ED41-B05C-8363AF61A4C7}">
  <sheetPr>
    <tabColor theme="7" tint="0.79998168889431442"/>
  </sheetPr>
  <dimension ref="A1:B21"/>
  <sheetViews>
    <sheetView zoomScale="125" workbookViewId="0">
      <selection activeCell="L22" sqref="L22"/>
    </sheetView>
  </sheetViews>
  <sheetFormatPr baseColWidth="10" defaultRowHeight="13"/>
  <cols>
    <col min="1" max="1" width="19.5" bestFit="1" customWidth="1"/>
    <col min="2" max="2" width="27.1640625" bestFit="1" customWidth="1"/>
  </cols>
  <sheetData>
    <row r="1" spans="1:2">
      <c r="A1" s="18" t="s">
        <v>3</v>
      </c>
      <c r="B1" t="s">
        <v>186</v>
      </c>
    </row>
    <row r="3" spans="1:2">
      <c r="A3" s="18" t="s">
        <v>165</v>
      </c>
      <c r="B3" t="s">
        <v>177</v>
      </c>
    </row>
    <row r="4" spans="1:2">
      <c r="A4" s="36">
        <v>202205</v>
      </c>
      <c r="B4">
        <v>88</v>
      </c>
    </row>
    <row r="5" spans="1:2">
      <c r="A5" s="36">
        <v>202206</v>
      </c>
      <c r="B5">
        <v>99</v>
      </c>
    </row>
    <row r="6" spans="1:2">
      <c r="A6" s="36">
        <v>202207</v>
      </c>
      <c r="B6">
        <v>96</v>
      </c>
    </row>
    <row r="7" spans="1:2">
      <c r="A7" s="36">
        <v>202208</v>
      </c>
      <c r="B7">
        <v>92</v>
      </c>
    </row>
    <row r="8" spans="1:2">
      <c r="A8" s="36">
        <v>202209</v>
      </c>
      <c r="B8">
        <v>91</v>
      </c>
    </row>
    <row r="9" spans="1:2">
      <c r="A9" s="36">
        <v>202210</v>
      </c>
      <c r="B9">
        <v>95</v>
      </c>
    </row>
    <row r="10" spans="1:2">
      <c r="A10" s="36">
        <v>202211</v>
      </c>
      <c r="B10">
        <v>97</v>
      </c>
    </row>
    <row r="11" spans="1:2">
      <c r="A11" s="36">
        <v>202212</v>
      </c>
      <c r="B11">
        <v>99</v>
      </c>
    </row>
    <row r="12" spans="1:2">
      <c r="A12" s="36">
        <v>202301</v>
      </c>
      <c r="B12">
        <v>95</v>
      </c>
    </row>
    <row r="13" spans="1:2">
      <c r="A13" s="36" t="s">
        <v>166</v>
      </c>
      <c r="B13">
        <v>852</v>
      </c>
    </row>
    <row r="18" spans="1:2" ht="14" thickBot="1"/>
    <row r="19" spans="1:2" ht="14" thickBot="1">
      <c r="A19" s="35" t="s">
        <v>192</v>
      </c>
      <c r="B19" s="38">
        <f>B12-B4</f>
        <v>7</v>
      </c>
    </row>
    <row r="20" spans="1:2" ht="14" thickBot="1">
      <c r="A20" s="35" t="s">
        <v>184</v>
      </c>
      <c r="B20" s="46">
        <f>(B12-B4)/B4</f>
        <v>7.9545454545454544E-2</v>
      </c>
    </row>
    <row r="21" spans="1:2">
      <c r="B21" s="22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6609-2128-9B42-BF75-FF635FF9CAD0}">
  <sheetPr>
    <tabColor theme="0" tint="-0.14999847407452621"/>
  </sheetPr>
  <dimension ref="A1:D46"/>
  <sheetViews>
    <sheetView workbookViewId="0">
      <selection activeCell="H38" sqref="H38"/>
    </sheetView>
  </sheetViews>
  <sheetFormatPr baseColWidth="10" defaultRowHeight="13"/>
  <cols>
    <col min="1" max="1" width="18.5" bestFit="1" customWidth="1"/>
    <col min="2" max="2" width="12.5" customWidth="1"/>
    <col min="3" max="3" width="12.33203125" bestFit="1" customWidth="1"/>
    <col min="4" max="4" width="13" customWidth="1"/>
  </cols>
  <sheetData>
    <row r="1" spans="1:4">
      <c r="A1" t="s">
        <v>3</v>
      </c>
      <c r="B1" t="s">
        <v>160</v>
      </c>
      <c r="C1" t="s">
        <v>189</v>
      </c>
      <c r="D1" t="s">
        <v>188</v>
      </c>
    </row>
    <row r="2" spans="1:4">
      <c r="A2" t="s">
        <v>124</v>
      </c>
      <c r="B2">
        <v>202205</v>
      </c>
      <c r="C2">
        <v>2423</v>
      </c>
      <c r="D2">
        <v>2468</v>
      </c>
    </row>
    <row r="3" spans="1:4">
      <c r="A3" t="s">
        <v>7</v>
      </c>
      <c r="B3">
        <v>202205</v>
      </c>
      <c r="C3">
        <v>129404</v>
      </c>
      <c r="D3">
        <v>75248</v>
      </c>
    </row>
    <row r="4" spans="1:4">
      <c r="A4" t="s">
        <v>124</v>
      </c>
      <c r="B4">
        <v>202208</v>
      </c>
      <c r="C4">
        <v>5286</v>
      </c>
      <c r="D4">
        <v>1458</v>
      </c>
    </row>
    <row r="5" spans="1:4">
      <c r="A5" t="s">
        <v>78</v>
      </c>
      <c r="B5">
        <v>202205</v>
      </c>
      <c r="C5">
        <v>284992</v>
      </c>
      <c r="D5">
        <v>180339</v>
      </c>
    </row>
    <row r="6" spans="1:4">
      <c r="A6" t="s">
        <v>37</v>
      </c>
      <c r="B6">
        <v>202205</v>
      </c>
      <c r="C6">
        <v>227258</v>
      </c>
      <c r="D6">
        <v>210263</v>
      </c>
    </row>
    <row r="7" spans="1:4">
      <c r="A7" t="s">
        <v>144</v>
      </c>
      <c r="B7">
        <v>202205</v>
      </c>
      <c r="C7">
        <v>38325</v>
      </c>
      <c r="D7">
        <v>160852</v>
      </c>
    </row>
    <row r="8" spans="1:4">
      <c r="A8" t="s">
        <v>124</v>
      </c>
      <c r="B8">
        <v>202206</v>
      </c>
      <c r="C8">
        <v>1821</v>
      </c>
      <c r="D8">
        <v>2861</v>
      </c>
    </row>
    <row r="9" spans="1:4">
      <c r="A9" t="s">
        <v>7</v>
      </c>
      <c r="B9">
        <v>202206</v>
      </c>
      <c r="C9">
        <v>49322</v>
      </c>
      <c r="D9">
        <v>97167</v>
      </c>
    </row>
    <row r="10" spans="1:4">
      <c r="A10" t="s">
        <v>37</v>
      </c>
      <c r="B10">
        <v>202206</v>
      </c>
      <c r="C10">
        <v>309197</v>
      </c>
      <c r="D10">
        <v>326406</v>
      </c>
    </row>
    <row r="11" spans="1:4">
      <c r="A11" t="s">
        <v>78</v>
      </c>
      <c r="B11">
        <v>202206</v>
      </c>
      <c r="C11">
        <v>167665</v>
      </c>
      <c r="D11">
        <v>217138</v>
      </c>
    </row>
    <row r="12" spans="1:4">
      <c r="A12" t="s">
        <v>144</v>
      </c>
      <c r="B12">
        <v>202206</v>
      </c>
      <c r="C12">
        <v>114681</v>
      </c>
      <c r="D12">
        <v>223921</v>
      </c>
    </row>
    <row r="13" spans="1:4">
      <c r="A13" t="s">
        <v>144</v>
      </c>
      <c r="B13">
        <v>202207</v>
      </c>
      <c r="C13">
        <v>36191</v>
      </c>
      <c r="D13">
        <v>99869</v>
      </c>
    </row>
    <row r="14" spans="1:4">
      <c r="A14" t="s">
        <v>7</v>
      </c>
      <c r="B14">
        <v>202207</v>
      </c>
      <c r="C14">
        <v>38328</v>
      </c>
      <c r="D14">
        <v>18409</v>
      </c>
    </row>
    <row r="15" spans="1:4">
      <c r="A15" t="s">
        <v>37</v>
      </c>
      <c r="B15">
        <v>202207</v>
      </c>
      <c r="C15">
        <v>160735</v>
      </c>
      <c r="D15">
        <v>156011</v>
      </c>
    </row>
    <row r="16" spans="1:4">
      <c r="A16" t="s">
        <v>78</v>
      </c>
      <c r="B16">
        <v>202207</v>
      </c>
      <c r="C16">
        <v>138418</v>
      </c>
      <c r="D16">
        <v>102008</v>
      </c>
    </row>
    <row r="17" spans="1:4">
      <c r="A17" t="s">
        <v>124</v>
      </c>
      <c r="B17">
        <v>202207</v>
      </c>
      <c r="C17">
        <v>223</v>
      </c>
      <c r="D17">
        <v>1139</v>
      </c>
    </row>
    <row r="18" spans="1:4">
      <c r="A18" t="s">
        <v>124</v>
      </c>
      <c r="B18">
        <v>202209</v>
      </c>
      <c r="C18">
        <v>1683</v>
      </c>
      <c r="D18">
        <v>3079</v>
      </c>
    </row>
    <row r="19" spans="1:4">
      <c r="A19" t="s">
        <v>7</v>
      </c>
      <c r="B19">
        <v>202208</v>
      </c>
      <c r="C19">
        <v>35499</v>
      </c>
      <c r="D19">
        <v>21848</v>
      </c>
    </row>
    <row r="20" spans="1:4">
      <c r="A20" t="s">
        <v>37</v>
      </c>
      <c r="B20">
        <v>202208</v>
      </c>
      <c r="C20">
        <v>263869</v>
      </c>
      <c r="D20">
        <v>203142</v>
      </c>
    </row>
    <row r="21" spans="1:4">
      <c r="A21" t="s">
        <v>78</v>
      </c>
      <c r="B21">
        <v>202208</v>
      </c>
      <c r="C21">
        <v>168996</v>
      </c>
      <c r="D21">
        <v>124671</v>
      </c>
    </row>
    <row r="22" spans="1:4">
      <c r="A22" t="s">
        <v>144</v>
      </c>
      <c r="B22">
        <v>202208</v>
      </c>
      <c r="C22">
        <v>34449</v>
      </c>
      <c r="D22">
        <v>152330</v>
      </c>
    </row>
    <row r="23" spans="1:4">
      <c r="A23" t="s">
        <v>78</v>
      </c>
      <c r="B23">
        <v>202209</v>
      </c>
      <c r="C23">
        <v>266025</v>
      </c>
      <c r="D23">
        <v>145067</v>
      </c>
    </row>
    <row r="24" spans="1:4">
      <c r="A24" t="s">
        <v>7</v>
      </c>
      <c r="B24">
        <v>202209</v>
      </c>
      <c r="C24">
        <v>93907</v>
      </c>
      <c r="D24">
        <v>82400</v>
      </c>
    </row>
    <row r="25" spans="1:4">
      <c r="A25" t="s">
        <v>124</v>
      </c>
      <c r="B25">
        <v>202210</v>
      </c>
      <c r="C25">
        <v>2740</v>
      </c>
      <c r="D25">
        <v>3217</v>
      </c>
    </row>
    <row r="26" spans="1:4">
      <c r="A26" t="s">
        <v>144</v>
      </c>
      <c r="B26">
        <v>202209</v>
      </c>
      <c r="C26">
        <v>62725</v>
      </c>
      <c r="D26">
        <v>198320</v>
      </c>
    </row>
    <row r="27" spans="1:4">
      <c r="A27" t="s">
        <v>37</v>
      </c>
      <c r="B27">
        <v>202209</v>
      </c>
      <c r="C27">
        <v>261388</v>
      </c>
      <c r="D27">
        <v>282669</v>
      </c>
    </row>
    <row r="28" spans="1:4">
      <c r="A28" t="s">
        <v>124</v>
      </c>
      <c r="B28">
        <v>202211</v>
      </c>
      <c r="C28">
        <v>5869</v>
      </c>
      <c r="D28">
        <v>3819</v>
      </c>
    </row>
    <row r="29" spans="1:4">
      <c r="A29" t="s">
        <v>7</v>
      </c>
      <c r="B29">
        <v>202210</v>
      </c>
      <c r="C29">
        <v>107127</v>
      </c>
      <c r="D29">
        <v>81479</v>
      </c>
    </row>
    <row r="30" spans="1:4">
      <c r="A30" t="s">
        <v>78</v>
      </c>
      <c r="B30">
        <v>202210</v>
      </c>
      <c r="C30">
        <v>322744</v>
      </c>
      <c r="D30">
        <v>169908</v>
      </c>
    </row>
    <row r="31" spans="1:4">
      <c r="A31" t="s">
        <v>37</v>
      </c>
      <c r="B31">
        <v>202210</v>
      </c>
      <c r="C31">
        <v>344165</v>
      </c>
      <c r="D31">
        <v>306738</v>
      </c>
    </row>
    <row r="32" spans="1:4">
      <c r="A32" t="s">
        <v>144</v>
      </c>
      <c r="B32">
        <v>202210</v>
      </c>
      <c r="C32">
        <v>122199</v>
      </c>
      <c r="D32">
        <v>250822</v>
      </c>
    </row>
    <row r="33" spans="1:4">
      <c r="A33" t="s">
        <v>37</v>
      </c>
      <c r="B33">
        <v>202211</v>
      </c>
      <c r="C33">
        <v>301152</v>
      </c>
      <c r="D33">
        <v>321679</v>
      </c>
    </row>
    <row r="34" spans="1:4">
      <c r="A34" t="s">
        <v>7</v>
      </c>
      <c r="B34">
        <v>202211</v>
      </c>
      <c r="C34">
        <v>86813</v>
      </c>
      <c r="D34">
        <v>86456</v>
      </c>
    </row>
    <row r="35" spans="1:4">
      <c r="A35" t="s">
        <v>78</v>
      </c>
      <c r="B35">
        <v>202211</v>
      </c>
      <c r="C35">
        <v>285198</v>
      </c>
      <c r="D35">
        <v>160318</v>
      </c>
    </row>
    <row r="36" spans="1:4">
      <c r="A36" t="s">
        <v>144</v>
      </c>
      <c r="B36">
        <v>202301</v>
      </c>
      <c r="C36">
        <v>87227</v>
      </c>
      <c r="D36">
        <v>36862</v>
      </c>
    </row>
    <row r="37" spans="1:4">
      <c r="A37" t="s">
        <v>144</v>
      </c>
      <c r="B37">
        <v>202211</v>
      </c>
      <c r="C37">
        <v>109601</v>
      </c>
      <c r="D37">
        <v>224523</v>
      </c>
    </row>
    <row r="38" spans="1:4">
      <c r="A38" t="s">
        <v>144</v>
      </c>
      <c r="B38">
        <v>202212</v>
      </c>
      <c r="C38">
        <v>57991</v>
      </c>
      <c r="D38">
        <v>224096</v>
      </c>
    </row>
    <row r="39" spans="1:4">
      <c r="A39" t="s">
        <v>7</v>
      </c>
      <c r="B39">
        <v>202212</v>
      </c>
      <c r="C39">
        <v>120105</v>
      </c>
      <c r="D39">
        <v>85156</v>
      </c>
    </row>
    <row r="40" spans="1:4">
      <c r="A40" t="s">
        <v>78</v>
      </c>
      <c r="B40">
        <v>202212</v>
      </c>
      <c r="C40">
        <v>279783</v>
      </c>
      <c r="D40">
        <v>165754</v>
      </c>
    </row>
    <row r="41" spans="1:4">
      <c r="A41" t="s">
        <v>37</v>
      </c>
      <c r="B41">
        <v>202212</v>
      </c>
      <c r="C41">
        <v>359044</v>
      </c>
      <c r="D41">
        <v>323654</v>
      </c>
    </row>
    <row r="42" spans="1:4">
      <c r="A42" t="s">
        <v>124</v>
      </c>
      <c r="B42">
        <v>202212</v>
      </c>
      <c r="C42">
        <v>2693</v>
      </c>
      <c r="D42">
        <v>2802</v>
      </c>
    </row>
    <row r="43" spans="1:4">
      <c r="A43" t="s">
        <v>7</v>
      </c>
      <c r="B43">
        <v>202301</v>
      </c>
      <c r="C43">
        <v>41779</v>
      </c>
      <c r="D43">
        <v>13769</v>
      </c>
    </row>
    <row r="44" spans="1:4">
      <c r="A44" t="s">
        <v>78</v>
      </c>
      <c r="B44">
        <v>202301</v>
      </c>
      <c r="C44">
        <v>305936</v>
      </c>
      <c r="D44">
        <v>23420</v>
      </c>
    </row>
    <row r="45" spans="1:4">
      <c r="A45" t="s">
        <v>124</v>
      </c>
      <c r="B45">
        <v>202301</v>
      </c>
      <c r="C45">
        <v>975</v>
      </c>
      <c r="D45">
        <v>379</v>
      </c>
    </row>
    <row r="46" spans="1:4">
      <c r="A46" t="s">
        <v>37</v>
      </c>
      <c r="B46">
        <v>202301</v>
      </c>
      <c r="C46">
        <v>261406</v>
      </c>
      <c r="D46">
        <v>42867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2357-E42D-7547-A2A9-FE0C111D692D}">
  <sheetPr>
    <tabColor theme="0" tint="-0.14999847407452621"/>
  </sheetPr>
  <dimension ref="A1:C22"/>
  <sheetViews>
    <sheetView zoomScale="75" workbookViewId="0">
      <selection activeCell="B32" sqref="B32"/>
    </sheetView>
  </sheetViews>
  <sheetFormatPr baseColWidth="10" defaultRowHeight="13"/>
  <cols>
    <col min="1" max="1" width="28.6640625" bestFit="1" customWidth="1"/>
    <col min="2" max="2" width="27.6640625" bestFit="1" customWidth="1"/>
    <col min="3" max="3" width="29" bestFit="1" customWidth="1"/>
  </cols>
  <sheetData>
    <row r="1" spans="1:3" ht="18">
      <c r="A1" s="61" t="s">
        <v>3</v>
      </c>
      <c r="B1" s="62" t="s">
        <v>168</v>
      </c>
      <c r="C1" s="62"/>
    </row>
    <row r="2" spans="1:3" ht="18">
      <c r="A2" s="62"/>
      <c r="B2" s="62"/>
      <c r="C2" s="62"/>
    </row>
    <row r="3" spans="1:3" ht="18">
      <c r="A3" s="61" t="s">
        <v>165</v>
      </c>
      <c r="B3" s="62" t="s">
        <v>190</v>
      </c>
      <c r="C3" s="62" t="s">
        <v>191</v>
      </c>
    </row>
    <row r="4" spans="1:3" ht="18">
      <c r="A4" s="63">
        <v>202205</v>
      </c>
      <c r="B4" s="78">
        <v>682402</v>
      </c>
      <c r="C4" s="78">
        <v>629170</v>
      </c>
    </row>
    <row r="5" spans="1:3" ht="18">
      <c r="A5" s="63">
        <v>202206</v>
      </c>
      <c r="B5" s="78">
        <v>642686</v>
      </c>
      <c r="C5" s="78">
        <v>867493</v>
      </c>
    </row>
    <row r="6" spans="1:3" ht="18">
      <c r="A6" s="63">
        <v>202207</v>
      </c>
      <c r="B6" s="78">
        <v>373895</v>
      </c>
      <c r="C6" s="78">
        <v>377436</v>
      </c>
    </row>
    <row r="7" spans="1:3" ht="18">
      <c r="A7" s="63">
        <v>202208</v>
      </c>
      <c r="B7" s="78">
        <v>508099</v>
      </c>
      <c r="C7" s="78">
        <v>503449</v>
      </c>
    </row>
    <row r="8" spans="1:3" ht="18">
      <c r="A8" s="63">
        <v>202209</v>
      </c>
      <c r="B8" s="78">
        <v>685728</v>
      </c>
      <c r="C8" s="78">
        <v>711535</v>
      </c>
    </row>
    <row r="9" spans="1:3" ht="18">
      <c r="A9" s="63">
        <v>202210</v>
      </c>
      <c r="B9" s="78">
        <v>898975</v>
      </c>
      <c r="C9" s="78">
        <v>812164</v>
      </c>
    </row>
    <row r="10" spans="1:3" ht="18">
      <c r="A10" s="63">
        <v>202211</v>
      </c>
      <c r="B10" s="78">
        <v>788633</v>
      </c>
      <c r="C10" s="78">
        <v>796795</v>
      </c>
    </row>
    <row r="11" spans="1:3" ht="18">
      <c r="A11" s="63">
        <v>202212</v>
      </c>
      <c r="B11" s="78">
        <v>819616</v>
      </c>
      <c r="C11" s="78">
        <v>801462</v>
      </c>
    </row>
    <row r="12" spans="1:3" ht="18">
      <c r="A12" s="63" t="s">
        <v>166</v>
      </c>
      <c r="B12" s="78">
        <v>5400034</v>
      </c>
      <c r="C12" s="78">
        <v>5499504</v>
      </c>
    </row>
    <row r="13" spans="1:3" ht="18"/>
    <row r="15" spans="1:3" ht="14" thickBot="1"/>
    <row r="16" spans="1:3" ht="17" thickBot="1">
      <c r="A16" s="81" t="s">
        <v>198</v>
      </c>
      <c r="B16" s="82">
        <f>(B11-B4)/B4</f>
        <v>0.20107502615760212</v>
      </c>
    </row>
    <row r="17" spans="1:2" ht="17" thickBot="1">
      <c r="A17" s="79" t="s">
        <v>199</v>
      </c>
      <c r="B17" s="80">
        <f>(C11-C4)/C4</f>
        <v>0.27384013859529222</v>
      </c>
    </row>
    <row r="21" spans="1:2" ht="14" thickBot="1"/>
    <row r="22" spans="1:2" ht="19" thickBot="1">
      <c r="A22" s="59" t="s">
        <v>174</v>
      </c>
      <c r="B22" s="60">
        <f>B12-C12</f>
        <v>-99470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EC4F-1B91-DE44-9471-14DB531ECCED}">
  <sheetPr>
    <tabColor theme="0" tint="-0.14999847407452621"/>
  </sheetPr>
  <dimension ref="A1:B11"/>
  <sheetViews>
    <sheetView workbookViewId="0">
      <selection activeCell="C14" sqref="C14"/>
    </sheetView>
  </sheetViews>
  <sheetFormatPr baseColWidth="10" defaultRowHeight="13"/>
  <cols>
    <col min="1" max="1" width="12.5" customWidth="1"/>
    <col min="2" max="2" width="21.1640625" bestFit="1" customWidth="1"/>
  </cols>
  <sheetData>
    <row r="1" spans="1:2">
      <c r="A1" t="s">
        <v>160</v>
      </c>
      <c r="B1" t="s">
        <v>197</v>
      </c>
    </row>
    <row r="2" spans="1:2">
      <c r="A2">
        <v>202205</v>
      </c>
      <c r="B2">
        <v>118</v>
      </c>
    </row>
    <row r="3" spans="1:2">
      <c r="A3">
        <v>202208</v>
      </c>
      <c r="B3">
        <v>104</v>
      </c>
    </row>
    <row r="4" spans="1:2">
      <c r="A4">
        <v>202206</v>
      </c>
      <c r="B4">
        <v>96</v>
      </c>
    </row>
    <row r="5" spans="1:2">
      <c r="A5">
        <v>202207</v>
      </c>
      <c r="B5">
        <v>79</v>
      </c>
    </row>
    <row r="6" spans="1:2">
      <c r="A6">
        <v>202209</v>
      </c>
      <c r="B6">
        <v>114</v>
      </c>
    </row>
    <row r="7" spans="1:2">
      <c r="A7">
        <v>202210</v>
      </c>
      <c r="B7">
        <v>130</v>
      </c>
    </row>
    <row r="8" spans="1:2">
      <c r="A8">
        <v>202211</v>
      </c>
      <c r="B8">
        <v>104</v>
      </c>
    </row>
    <row r="9" spans="1:2">
      <c r="A9">
        <v>202301</v>
      </c>
      <c r="B9">
        <v>101</v>
      </c>
    </row>
    <row r="10" spans="1:2">
      <c r="A10">
        <v>202212</v>
      </c>
      <c r="B10">
        <v>125</v>
      </c>
    </row>
    <row r="11" spans="1:2" hidden="1">
      <c r="B11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E207-3CFD-7C47-B993-10F678F4C54D}">
  <sheetPr>
    <tabColor theme="9" tint="0.59999389629810485"/>
  </sheetPr>
  <dimension ref="A3:B20"/>
  <sheetViews>
    <sheetView workbookViewId="0">
      <selection activeCell="I35" sqref="I35"/>
    </sheetView>
  </sheetViews>
  <sheetFormatPr baseColWidth="10" defaultRowHeight="13"/>
  <cols>
    <col min="1" max="1" width="26.83203125" customWidth="1"/>
    <col min="2" max="2" width="27.5" bestFit="1" customWidth="1"/>
  </cols>
  <sheetData>
    <row r="3" spans="1:2">
      <c r="A3" s="18" t="s">
        <v>165</v>
      </c>
      <c r="B3" t="s">
        <v>175</v>
      </c>
    </row>
    <row r="4" spans="1:2">
      <c r="A4" s="19">
        <v>202205</v>
      </c>
      <c r="B4">
        <v>118</v>
      </c>
    </row>
    <row r="5" spans="1:2">
      <c r="A5" s="19">
        <v>202206</v>
      </c>
      <c r="B5">
        <v>96</v>
      </c>
    </row>
    <row r="6" spans="1:2">
      <c r="A6" s="19">
        <v>202207</v>
      </c>
      <c r="B6">
        <v>79</v>
      </c>
    </row>
    <row r="7" spans="1:2">
      <c r="A7" s="19">
        <v>202208</v>
      </c>
      <c r="B7">
        <v>104</v>
      </c>
    </row>
    <row r="8" spans="1:2">
      <c r="A8" s="19">
        <v>202209</v>
      </c>
      <c r="B8">
        <v>114</v>
      </c>
    </row>
    <row r="9" spans="1:2">
      <c r="A9" s="19">
        <v>202210</v>
      </c>
      <c r="B9">
        <v>130</v>
      </c>
    </row>
    <row r="10" spans="1:2">
      <c r="A10" s="19">
        <v>202211</v>
      </c>
      <c r="B10">
        <v>104</v>
      </c>
    </row>
    <row r="11" spans="1:2">
      <c r="A11" s="19">
        <v>202212</v>
      </c>
      <c r="B11">
        <v>125</v>
      </c>
    </row>
    <row r="12" spans="1:2">
      <c r="A12" s="19">
        <v>202301</v>
      </c>
      <c r="B12">
        <v>101</v>
      </c>
    </row>
    <row r="13" spans="1:2">
      <c r="A13" s="19" t="s">
        <v>166</v>
      </c>
      <c r="B13">
        <v>971</v>
      </c>
    </row>
    <row r="19" spans="1:2" ht="14" thickBot="1"/>
    <row r="20" spans="1:2" ht="14" thickBot="1">
      <c r="A20" s="35" t="s">
        <v>173</v>
      </c>
      <c r="B20" s="29">
        <f>(B12-B4)/B4</f>
        <v>-0.1440677966101695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2FE6-90FA-584B-8EC8-AA283F4A231E}">
  <sheetPr>
    <tabColor rgb="FFD1C0FF"/>
  </sheetPr>
  <dimension ref="A1:D972"/>
  <sheetViews>
    <sheetView zoomScale="119" workbookViewId="0">
      <selection activeCell="C2" sqref="C2"/>
    </sheetView>
  </sheetViews>
  <sheetFormatPr baseColWidth="10" defaultRowHeight="13"/>
  <cols>
    <col min="1" max="1" width="11.33203125" bestFit="1" customWidth="1"/>
    <col min="2" max="2" width="26" bestFit="1" customWidth="1"/>
    <col min="3" max="3" width="12.5" customWidth="1"/>
    <col min="4" max="4" width="22" customWidth="1"/>
  </cols>
  <sheetData>
    <row r="1" spans="1:4">
      <c r="A1" t="s">
        <v>154</v>
      </c>
      <c r="B1" t="s">
        <v>179</v>
      </c>
      <c r="C1" t="s">
        <v>160</v>
      </c>
      <c r="D1" t="s">
        <v>178</v>
      </c>
    </row>
    <row r="2" spans="1:4">
      <c r="A2">
        <v>142634985</v>
      </c>
      <c r="B2">
        <v>116</v>
      </c>
      <c r="C2">
        <v>202205</v>
      </c>
      <c r="D2">
        <v>116</v>
      </c>
    </row>
    <row r="3" spans="1:4">
      <c r="A3">
        <v>142635040</v>
      </c>
      <c r="B3">
        <v>2320</v>
      </c>
      <c r="C3">
        <v>202208</v>
      </c>
      <c r="D3">
        <v>2320</v>
      </c>
    </row>
    <row r="4" spans="1:4">
      <c r="A4">
        <v>142645084</v>
      </c>
      <c r="B4">
        <v>116</v>
      </c>
      <c r="C4">
        <v>202205</v>
      </c>
      <c r="D4">
        <v>116</v>
      </c>
    </row>
    <row r="5" spans="1:4">
      <c r="A5">
        <v>142645188</v>
      </c>
      <c r="B5">
        <v>877</v>
      </c>
      <c r="C5">
        <v>202205</v>
      </c>
      <c r="D5">
        <v>877</v>
      </c>
    </row>
    <row r="6" spans="1:4">
      <c r="A6">
        <v>142645192</v>
      </c>
      <c r="B6">
        <v>1783</v>
      </c>
      <c r="C6">
        <v>202205</v>
      </c>
      <c r="D6">
        <v>1783</v>
      </c>
    </row>
    <row r="7" spans="1:4">
      <c r="A7">
        <v>142655345</v>
      </c>
      <c r="B7">
        <v>5099</v>
      </c>
      <c r="C7">
        <v>202205</v>
      </c>
      <c r="D7">
        <v>5513</v>
      </c>
    </row>
    <row r="8" spans="1:4">
      <c r="A8">
        <v>142655350</v>
      </c>
      <c r="B8">
        <v>14848</v>
      </c>
      <c r="C8">
        <v>202205</v>
      </c>
      <c r="D8">
        <v>15962</v>
      </c>
    </row>
    <row r="9" spans="1:4">
      <c r="A9">
        <v>142655351</v>
      </c>
      <c r="B9">
        <v>17818</v>
      </c>
      <c r="C9">
        <v>202205</v>
      </c>
      <c r="D9">
        <v>19154</v>
      </c>
    </row>
    <row r="10" spans="1:4">
      <c r="A10">
        <v>142665370</v>
      </c>
      <c r="B10">
        <v>1207</v>
      </c>
      <c r="C10">
        <v>202205</v>
      </c>
      <c r="D10">
        <v>1207</v>
      </c>
    </row>
    <row r="11" spans="1:4">
      <c r="A11">
        <v>142665379</v>
      </c>
      <c r="B11">
        <v>1337</v>
      </c>
      <c r="C11">
        <v>202205</v>
      </c>
      <c r="D11">
        <v>1337</v>
      </c>
    </row>
    <row r="12" spans="1:4">
      <c r="A12">
        <v>142665420</v>
      </c>
      <c r="B12">
        <v>1782</v>
      </c>
      <c r="C12">
        <v>202205</v>
      </c>
      <c r="D12">
        <v>1782</v>
      </c>
    </row>
    <row r="13" spans="1:4">
      <c r="A13">
        <v>142665441</v>
      </c>
      <c r="B13">
        <v>586</v>
      </c>
      <c r="C13">
        <v>202205</v>
      </c>
      <c r="D13">
        <v>697</v>
      </c>
    </row>
    <row r="14" spans="1:4">
      <c r="A14">
        <v>142665458</v>
      </c>
      <c r="B14">
        <v>326</v>
      </c>
      <c r="C14">
        <v>202205</v>
      </c>
      <c r="D14">
        <v>418</v>
      </c>
    </row>
    <row r="15" spans="1:4">
      <c r="A15">
        <v>142665488</v>
      </c>
      <c r="B15">
        <v>3555</v>
      </c>
      <c r="C15">
        <v>202205</v>
      </c>
      <c r="D15">
        <v>3555</v>
      </c>
    </row>
    <row r="16" spans="1:4">
      <c r="A16">
        <v>142665490</v>
      </c>
      <c r="B16">
        <v>1244</v>
      </c>
      <c r="C16">
        <v>202205</v>
      </c>
      <c r="D16">
        <v>1244</v>
      </c>
    </row>
    <row r="17" spans="1:4">
      <c r="A17">
        <v>142665515</v>
      </c>
      <c r="B17">
        <v>363</v>
      </c>
      <c r="C17">
        <v>202205</v>
      </c>
      <c r="D17">
        <v>363</v>
      </c>
    </row>
    <row r="18" spans="1:4">
      <c r="A18">
        <v>142665520</v>
      </c>
      <c r="B18">
        <v>10543</v>
      </c>
      <c r="C18">
        <v>202205</v>
      </c>
      <c r="D18">
        <v>10543</v>
      </c>
    </row>
    <row r="19" spans="1:4">
      <c r="A19">
        <v>142675550</v>
      </c>
      <c r="B19">
        <v>2784</v>
      </c>
      <c r="C19">
        <v>202205</v>
      </c>
      <c r="D19">
        <v>2784</v>
      </c>
    </row>
    <row r="20" spans="1:4">
      <c r="A20">
        <v>142675553</v>
      </c>
      <c r="B20">
        <v>418</v>
      </c>
      <c r="C20">
        <v>202205</v>
      </c>
      <c r="D20">
        <v>418</v>
      </c>
    </row>
    <row r="21" spans="1:4">
      <c r="A21">
        <v>142675554</v>
      </c>
      <c r="B21">
        <v>1199</v>
      </c>
      <c r="C21">
        <v>202205</v>
      </c>
      <c r="D21">
        <v>1394</v>
      </c>
    </row>
    <row r="22" spans="1:4">
      <c r="A22">
        <v>142675555</v>
      </c>
      <c r="B22">
        <v>557</v>
      </c>
      <c r="C22">
        <v>202205</v>
      </c>
      <c r="D22">
        <v>557</v>
      </c>
    </row>
    <row r="23" spans="1:4">
      <c r="A23">
        <v>142675562</v>
      </c>
      <c r="B23">
        <v>18338</v>
      </c>
      <c r="C23">
        <v>202205</v>
      </c>
      <c r="D23">
        <v>18338</v>
      </c>
    </row>
    <row r="24" spans="1:4">
      <c r="A24">
        <v>142675565</v>
      </c>
      <c r="B24">
        <v>3324</v>
      </c>
      <c r="C24">
        <v>202205</v>
      </c>
      <c r="D24">
        <v>3324</v>
      </c>
    </row>
    <row r="25" spans="1:4">
      <c r="A25">
        <v>142675576</v>
      </c>
      <c r="B25">
        <v>15035</v>
      </c>
      <c r="C25">
        <v>202205</v>
      </c>
      <c r="D25">
        <v>15035</v>
      </c>
    </row>
    <row r="26" spans="1:4">
      <c r="A26">
        <v>142675581</v>
      </c>
      <c r="B26">
        <v>15313</v>
      </c>
      <c r="C26">
        <v>202205</v>
      </c>
      <c r="D26">
        <v>15313</v>
      </c>
    </row>
    <row r="27" spans="1:4">
      <c r="A27">
        <v>142675582</v>
      </c>
      <c r="B27">
        <v>1464</v>
      </c>
      <c r="C27">
        <v>202205</v>
      </c>
      <c r="D27">
        <v>1464</v>
      </c>
    </row>
    <row r="28" spans="1:4">
      <c r="A28">
        <v>142675583</v>
      </c>
      <c r="B28">
        <v>986</v>
      </c>
      <c r="C28">
        <v>202205</v>
      </c>
      <c r="D28">
        <v>1207</v>
      </c>
    </row>
    <row r="29" spans="1:4">
      <c r="A29">
        <v>142675585</v>
      </c>
      <c r="B29">
        <v>4136</v>
      </c>
      <c r="C29">
        <v>202205</v>
      </c>
      <c r="D29">
        <v>4136</v>
      </c>
    </row>
    <row r="30" spans="1:4">
      <c r="A30">
        <v>142675587</v>
      </c>
      <c r="B30">
        <v>1523</v>
      </c>
      <c r="C30">
        <v>202205</v>
      </c>
      <c r="D30">
        <v>1523</v>
      </c>
    </row>
    <row r="31" spans="1:4">
      <c r="A31">
        <v>142675589</v>
      </c>
      <c r="B31">
        <v>1300</v>
      </c>
      <c r="C31">
        <v>202205</v>
      </c>
      <c r="D31">
        <v>1300</v>
      </c>
    </row>
    <row r="32" spans="1:4">
      <c r="A32">
        <v>142675596</v>
      </c>
      <c r="B32">
        <v>4585</v>
      </c>
      <c r="C32">
        <v>202205</v>
      </c>
      <c r="D32">
        <v>27506</v>
      </c>
    </row>
    <row r="33" spans="1:4">
      <c r="A33">
        <v>142675607</v>
      </c>
      <c r="B33">
        <v>891</v>
      </c>
      <c r="C33">
        <v>202205</v>
      </c>
      <c r="D33">
        <v>882</v>
      </c>
    </row>
    <row r="34" spans="1:4">
      <c r="A34">
        <v>142675618</v>
      </c>
      <c r="B34">
        <v>9857</v>
      </c>
      <c r="C34">
        <v>202205</v>
      </c>
      <c r="D34">
        <v>11045</v>
      </c>
    </row>
    <row r="35" spans="1:4">
      <c r="A35">
        <v>142675619</v>
      </c>
      <c r="B35">
        <v>2994</v>
      </c>
      <c r="C35">
        <v>202205</v>
      </c>
      <c r="D35">
        <v>2994</v>
      </c>
    </row>
    <row r="36" spans="1:4">
      <c r="A36">
        <v>142675638</v>
      </c>
      <c r="B36">
        <v>27506</v>
      </c>
      <c r="C36">
        <v>202205</v>
      </c>
      <c r="D36">
        <v>27506</v>
      </c>
    </row>
    <row r="37" spans="1:4">
      <c r="A37">
        <v>142675650</v>
      </c>
      <c r="B37">
        <v>1935</v>
      </c>
      <c r="C37">
        <v>202205</v>
      </c>
      <c r="D37">
        <v>1935</v>
      </c>
    </row>
    <row r="38" spans="1:4">
      <c r="A38">
        <v>142675652</v>
      </c>
      <c r="B38">
        <v>5360</v>
      </c>
      <c r="C38">
        <v>202205</v>
      </c>
      <c r="D38">
        <v>5360</v>
      </c>
    </row>
    <row r="39" spans="1:4">
      <c r="A39">
        <v>142675653</v>
      </c>
      <c r="B39">
        <v>5012</v>
      </c>
      <c r="C39">
        <v>202205</v>
      </c>
      <c r="D39">
        <v>5012</v>
      </c>
    </row>
    <row r="40" spans="1:4">
      <c r="A40">
        <v>142675668</v>
      </c>
      <c r="B40">
        <v>5568</v>
      </c>
      <c r="C40">
        <v>202205</v>
      </c>
      <c r="D40">
        <v>7796</v>
      </c>
    </row>
    <row r="41" spans="1:4">
      <c r="A41">
        <v>142675671</v>
      </c>
      <c r="B41">
        <v>18538</v>
      </c>
      <c r="C41">
        <v>202205</v>
      </c>
      <c r="D41">
        <v>18538</v>
      </c>
    </row>
    <row r="42" spans="1:4">
      <c r="A42">
        <v>142675679</v>
      </c>
      <c r="B42">
        <v>93</v>
      </c>
      <c r="C42">
        <v>202205</v>
      </c>
      <c r="D42">
        <v>93</v>
      </c>
    </row>
    <row r="43" spans="1:4">
      <c r="A43">
        <v>142685687</v>
      </c>
      <c r="B43">
        <v>3156</v>
      </c>
      <c r="C43">
        <v>202205</v>
      </c>
      <c r="D43">
        <v>3156</v>
      </c>
    </row>
    <row r="44" spans="1:4">
      <c r="A44">
        <v>142685688</v>
      </c>
      <c r="B44">
        <v>14849</v>
      </c>
      <c r="C44">
        <v>202205</v>
      </c>
      <c r="D44">
        <v>14849</v>
      </c>
    </row>
    <row r="45" spans="1:4">
      <c r="A45">
        <v>142685691</v>
      </c>
      <c r="B45">
        <v>5530</v>
      </c>
      <c r="C45">
        <v>202205</v>
      </c>
      <c r="D45">
        <v>5530</v>
      </c>
    </row>
    <row r="46" spans="1:4">
      <c r="A46">
        <v>142685692</v>
      </c>
      <c r="B46">
        <v>446</v>
      </c>
      <c r="C46">
        <v>202205</v>
      </c>
      <c r="D46">
        <v>446</v>
      </c>
    </row>
    <row r="47" spans="1:4">
      <c r="A47">
        <v>142685693</v>
      </c>
      <c r="B47">
        <v>6483</v>
      </c>
      <c r="C47">
        <v>202205</v>
      </c>
      <c r="D47">
        <v>6419</v>
      </c>
    </row>
    <row r="48" spans="1:4">
      <c r="A48">
        <v>142685694</v>
      </c>
      <c r="B48">
        <v>349</v>
      </c>
      <c r="C48">
        <v>202205</v>
      </c>
      <c r="D48">
        <v>349</v>
      </c>
    </row>
    <row r="49" spans="1:4">
      <c r="A49">
        <v>142685699</v>
      </c>
      <c r="B49">
        <v>335</v>
      </c>
      <c r="C49">
        <v>202205</v>
      </c>
      <c r="D49">
        <v>335</v>
      </c>
    </row>
    <row r="50" spans="1:4">
      <c r="A50">
        <v>142685700</v>
      </c>
      <c r="B50">
        <v>47</v>
      </c>
      <c r="C50">
        <v>202205</v>
      </c>
      <c r="D50">
        <v>47</v>
      </c>
    </row>
    <row r="51" spans="1:4">
      <c r="A51">
        <v>142685701</v>
      </c>
      <c r="B51">
        <v>47</v>
      </c>
      <c r="C51">
        <v>202205</v>
      </c>
      <c r="D51">
        <v>47</v>
      </c>
    </row>
    <row r="52" spans="1:4">
      <c r="A52">
        <v>142685702</v>
      </c>
      <c r="B52">
        <v>877</v>
      </c>
      <c r="C52">
        <v>202205</v>
      </c>
      <c r="D52">
        <v>877</v>
      </c>
    </row>
    <row r="53" spans="1:4">
      <c r="A53">
        <v>142685705</v>
      </c>
      <c r="B53">
        <v>1253</v>
      </c>
      <c r="C53">
        <v>202205</v>
      </c>
      <c r="D53">
        <v>1337</v>
      </c>
    </row>
    <row r="54" spans="1:4">
      <c r="A54">
        <v>142685710</v>
      </c>
      <c r="B54">
        <v>1123</v>
      </c>
      <c r="C54">
        <v>202205</v>
      </c>
      <c r="D54">
        <v>1123</v>
      </c>
    </row>
    <row r="55" spans="1:4">
      <c r="A55">
        <v>142685712</v>
      </c>
      <c r="B55">
        <v>284</v>
      </c>
      <c r="C55">
        <v>202205</v>
      </c>
      <c r="D55">
        <v>325</v>
      </c>
    </row>
    <row r="56" spans="1:4">
      <c r="A56">
        <v>142685714</v>
      </c>
      <c r="B56">
        <v>18375</v>
      </c>
      <c r="C56">
        <v>202205</v>
      </c>
      <c r="D56">
        <v>18338</v>
      </c>
    </row>
    <row r="57" spans="1:4">
      <c r="A57">
        <v>142685722</v>
      </c>
      <c r="B57">
        <v>279</v>
      </c>
      <c r="C57">
        <v>202206</v>
      </c>
      <c r="D57">
        <v>502</v>
      </c>
    </row>
    <row r="58" spans="1:4">
      <c r="A58">
        <v>142685732</v>
      </c>
      <c r="B58">
        <v>1096</v>
      </c>
      <c r="C58">
        <v>202205</v>
      </c>
      <c r="D58">
        <v>1764</v>
      </c>
    </row>
    <row r="59" spans="1:4">
      <c r="A59">
        <v>142685733</v>
      </c>
      <c r="B59">
        <v>11435</v>
      </c>
      <c r="C59">
        <v>202205</v>
      </c>
      <c r="D59">
        <v>11435</v>
      </c>
    </row>
    <row r="60" spans="1:4">
      <c r="A60">
        <v>142685736</v>
      </c>
      <c r="B60">
        <v>1856</v>
      </c>
      <c r="C60">
        <v>202205</v>
      </c>
      <c r="D60">
        <v>1856</v>
      </c>
    </row>
    <row r="61" spans="1:4">
      <c r="A61">
        <v>142685739</v>
      </c>
      <c r="B61">
        <v>1644</v>
      </c>
      <c r="C61">
        <v>202205</v>
      </c>
      <c r="D61">
        <v>1811</v>
      </c>
    </row>
    <row r="62" spans="1:4">
      <c r="A62">
        <v>142685740</v>
      </c>
      <c r="B62">
        <v>1123</v>
      </c>
      <c r="C62">
        <v>202205</v>
      </c>
      <c r="D62">
        <v>1123</v>
      </c>
    </row>
    <row r="63" spans="1:4">
      <c r="A63">
        <v>142685759</v>
      </c>
      <c r="B63">
        <v>1708</v>
      </c>
      <c r="C63">
        <v>202205</v>
      </c>
      <c r="D63">
        <v>1764</v>
      </c>
    </row>
    <row r="64" spans="1:4">
      <c r="A64">
        <v>142685777</v>
      </c>
      <c r="B64">
        <v>22922</v>
      </c>
      <c r="C64">
        <v>202205</v>
      </c>
      <c r="D64">
        <v>22922</v>
      </c>
    </row>
    <row r="65" spans="1:4">
      <c r="A65">
        <v>142685780</v>
      </c>
      <c r="B65">
        <v>2444</v>
      </c>
      <c r="C65">
        <v>202205</v>
      </c>
      <c r="D65">
        <v>2444</v>
      </c>
    </row>
    <row r="66" spans="1:4">
      <c r="A66">
        <v>142685783</v>
      </c>
      <c r="B66">
        <v>3748</v>
      </c>
      <c r="C66">
        <v>202205</v>
      </c>
      <c r="D66">
        <v>3787</v>
      </c>
    </row>
    <row r="67" spans="1:4">
      <c r="A67">
        <v>142685793</v>
      </c>
      <c r="B67">
        <v>116</v>
      </c>
      <c r="C67">
        <v>202206</v>
      </c>
      <c r="D67">
        <v>116</v>
      </c>
    </row>
    <row r="68" spans="1:4">
      <c r="A68">
        <v>142685797</v>
      </c>
      <c r="B68">
        <v>836</v>
      </c>
      <c r="C68">
        <v>202205</v>
      </c>
      <c r="D68">
        <v>836</v>
      </c>
    </row>
    <row r="69" spans="1:4">
      <c r="A69">
        <v>142685798</v>
      </c>
      <c r="B69">
        <v>4102</v>
      </c>
      <c r="C69">
        <v>202205</v>
      </c>
      <c r="D69">
        <v>4102</v>
      </c>
    </row>
    <row r="70" spans="1:4">
      <c r="A70">
        <v>142685802</v>
      </c>
      <c r="B70">
        <v>20277</v>
      </c>
      <c r="C70">
        <v>202205</v>
      </c>
      <c r="D70">
        <v>20277</v>
      </c>
    </row>
    <row r="71" spans="1:4">
      <c r="A71">
        <v>142685807</v>
      </c>
      <c r="B71">
        <v>2784</v>
      </c>
      <c r="C71">
        <v>202205</v>
      </c>
      <c r="D71">
        <v>2784</v>
      </c>
    </row>
    <row r="72" spans="1:4">
      <c r="A72">
        <v>142685811</v>
      </c>
      <c r="B72">
        <v>1783</v>
      </c>
      <c r="C72">
        <v>202206</v>
      </c>
      <c r="D72">
        <v>1783</v>
      </c>
    </row>
    <row r="73" spans="1:4">
      <c r="A73">
        <v>142685812</v>
      </c>
      <c r="B73">
        <v>1782</v>
      </c>
      <c r="C73">
        <v>202206</v>
      </c>
      <c r="D73">
        <v>1782</v>
      </c>
    </row>
    <row r="74" spans="1:4">
      <c r="A74">
        <v>142685814</v>
      </c>
      <c r="B74">
        <v>47</v>
      </c>
      <c r="C74">
        <v>202205</v>
      </c>
      <c r="D74">
        <v>47</v>
      </c>
    </row>
    <row r="75" spans="1:4">
      <c r="A75">
        <v>142685817</v>
      </c>
      <c r="B75">
        <v>1782</v>
      </c>
      <c r="C75">
        <v>202205</v>
      </c>
      <c r="D75">
        <v>1783</v>
      </c>
    </row>
    <row r="76" spans="1:4">
      <c r="A76">
        <v>142695834</v>
      </c>
      <c r="B76">
        <v>1625</v>
      </c>
      <c r="C76">
        <v>202205</v>
      </c>
      <c r="D76">
        <v>1625</v>
      </c>
    </row>
    <row r="77" spans="1:4">
      <c r="A77">
        <v>142695835</v>
      </c>
      <c r="B77">
        <v>6275</v>
      </c>
      <c r="C77">
        <v>202205</v>
      </c>
      <c r="D77">
        <v>6497</v>
      </c>
    </row>
    <row r="78" spans="1:4">
      <c r="A78">
        <v>142695837</v>
      </c>
      <c r="B78">
        <v>4308</v>
      </c>
      <c r="C78">
        <v>202205</v>
      </c>
      <c r="D78">
        <v>4308</v>
      </c>
    </row>
    <row r="79" spans="1:4">
      <c r="A79">
        <v>142695839</v>
      </c>
      <c r="B79">
        <v>11771</v>
      </c>
      <c r="C79">
        <v>202205</v>
      </c>
      <c r="D79">
        <v>11771</v>
      </c>
    </row>
    <row r="80" spans="1:4">
      <c r="A80">
        <v>142695842</v>
      </c>
      <c r="B80">
        <v>140</v>
      </c>
      <c r="C80">
        <v>202205</v>
      </c>
      <c r="D80">
        <v>140</v>
      </c>
    </row>
    <row r="81" spans="1:4">
      <c r="A81">
        <v>142695845</v>
      </c>
      <c r="B81">
        <v>5437</v>
      </c>
      <c r="C81">
        <v>202205</v>
      </c>
      <c r="D81">
        <v>5367</v>
      </c>
    </row>
    <row r="82" spans="1:4">
      <c r="A82">
        <v>142695848</v>
      </c>
      <c r="B82">
        <v>891</v>
      </c>
      <c r="C82">
        <v>202206</v>
      </c>
      <c r="D82">
        <v>891</v>
      </c>
    </row>
    <row r="83" spans="1:4">
      <c r="A83">
        <v>142695856</v>
      </c>
      <c r="B83">
        <v>2952</v>
      </c>
      <c r="C83">
        <v>202205</v>
      </c>
      <c r="D83">
        <v>3602</v>
      </c>
    </row>
    <row r="84" spans="1:4">
      <c r="A84">
        <v>142695857</v>
      </c>
      <c r="B84">
        <v>3602</v>
      </c>
      <c r="C84">
        <v>202206</v>
      </c>
      <c r="D84">
        <v>3602</v>
      </c>
    </row>
    <row r="85" spans="1:4">
      <c r="A85">
        <v>142695858</v>
      </c>
      <c r="B85">
        <v>2460</v>
      </c>
      <c r="C85">
        <v>202206</v>
      </c>
      <c r="D85">
        <v>3694</v>
      </c>
    </row>
    <row r="86" spans="1:4">
      <c r="A86">
        <v>142695865</v>
      </c>
      <c r="B86">
        <v>836</v>
      </c>
      <c r="C86">
        <v>202205</v>
      </c>
      <c r="D86">
        <v>1044</v>
      </c>
    </row>
    <row r="87" spans="1:4">
      <c r="A87">
        <v>142695866</v>
      </c>
      <c r="B87">
        <v>4827</v>
      </c>
      <c r="C87">
        <v>202205</v>
      </c>
      <c r="D87">
        <v>4827</v>
      </c>
    </row>
    <row r="88" spans="1:4">
      <c r="A88">
        <v>142695867</v>
      </c>
      <c r="B88">
        <v>3341</v>
      </c>
      <c r="C88">
        <v>202205</v>
      </c>
      <c r="D88">
        <v>3341</v>
      </c>
    </row>
    <row r="89" spans="1:4">
      <c r="A89">
        <v>142695874</v>
      </c>
      <c r="B89">
        <v>35636</v>
      </c>
      <c r="C89">
        <v>202205</v>
      </c>
      <c r="D89">
        <v>35636</v>
      </c>
    </row>
    <row r="90" spans="1:4">
      <c r="A90">
        <v>142695906</v>
      </c>
      <c r="B90">
        <v>93</v>
      </c>
      <c r="C90">
        <v>202205</v>
      </c>
      <c r="D90">
        <v>93</v>
      </c>
    </row>
    <row r="91" spans="1:4">
      <c r="A91">
        <v>142695907</v>
      </c>
      <c r="B91">
        <v>3899</v>
      </c>
      <c r="C91">
        <v>202205</v>
      </c>
      <c r="D91">
        <v>3899</v>
      </c>
    </row>
    <row r="92" spans="1:4">
      <c r="A92">
        <v>142695909</v>
      </c>
      <c r="B92">
        <v>25440</v>
      </c>
      <c r="C92">
        <v>202205</v>
      </c>
      <c r="D92">
        <v>25440</v>
      </c>
    </row>
    <row r="93" spans="1:4">
      <c r="A93">
        <v>142695914</v>
      </c>
      <c r="B93">
        <v>348</v>
      </c>
      <c r="C93">
        <v>202206</v>
      </c>
      <c r="D93">
        <v>348</v>
      </c>
    </row>
    <row r="94" spans="1:4">
      <c r="A94">
        <v>142695921</v>
      </c>
      <c r="B94">
        <v>488</v>
      </c>
      <c r="C94">
        <v>202205</v>
      </c>
      <c r="D94">
        <v>488</v>
      </c>
    </row>
    <row r="95" spans="1:4">
      <c r="A95">
        <v>142695922</v>
      </c>
      <c r="B95">
        <v>16891</v>
      </c>
      <c r="C95">
        <v>202205</v>
      </c>
      <c r="D95">
        <v>16891</v>
      </c>
    </row>
    <row r="96" spans="1:4">
      <c r="A96">
        <v>142695931</v>
      </c>
      <c r="B96">
        <v>18779</v>
      </c>
      <c r="C96">
        <v>202206</v>
      </c>
      <c r="D96">
        <v>18779</v>
      </c>
    </row>
    <row r="97" spans="1:4">
      <c r="A97">
        <v>142695940</v>
      </c>
      <c r="B97">
        <v>15675</v>
      </c>
      <c r="C97">
        <v>202206</v>
      </c>
      <c r="D97">
        <v>15675</v>
      </c>
    </row>
    <row r="98" spans="1:4">
      <c r="A98">
        <v>142695948</v>
      </c>
      <c r="B98">
        <v>7425</v>
      </c>
      <c r="C98">
        <v>202205</v>
      </c>
      <c r="D98">
        <v>7425</v>
      </c>
    </row>
    <row r="99" spans="1:4">
      <c r="A99">
        <v>142695949</v>
      </c>
      <c r="B99">
        <v>928</v>
      </c>
      <c r="C99">
        <v>202205</v>
      </c>
      <c r="D99">
        <v>928</v>
      </c>
    </row>
    <row r="100" spans="1:4">
      <c r="A100">
        <v>142695952</v>
      </c>
      <c r="B100">
        <v>11136</v>
      </c>
      <c r="C100">
        <v>202206</v>
      </c>
      <c r="D100">
        <v>11136</v>
      </c>
    </row>
    <row r="101" spans="1:4">
      <c r="A101">
        <v>142695956</v>
      </c>
      <c r="B101">
        <v>1533</v>
      </c>
      <c r="C101">
        <v>202205</v>
      </c>
      <c r="D101">
        <v>1533</v>
      </c>
    </row>
    <row r="102" spans="1:4">
      <c r="A102">
        <v>142695962</v>
      </c>
      <c r="B102">
        <v>150</v>
      </c>
      <c r="C102">
        <v>202206</v>
      </c>
      <c r="D102">
        <v>254</v>
      </c>
    </row>
    <row r="103" spans="1:4">
      <c r="A103">
        <v>142695970</v>
      </c>
      <c r="B103">
        <v>140</v>
      </c>
      <c r="C103">
        <v>202205</v>
      </c>
      <c r="D103">
        <v>140</v>
      </c>
    </row>
    <row r="104" spans="1:4">
      <c r="A104">
        <v>142695978</v>
      </c>
      <c r="B104">
        <v>314</v>
      </c>
      <c r="C104">
        <v>202205</v>
      </c>
      <c r="D104">
        <v>372</v>
      </c>
    </row>
    <row r="105" spans="1:4">
      <c r="A105">
        <v>142695981</v>
      </c>
      <c r="B105">
        <v>30049</v>
      </c>
      <c r="C105">
        <v>202205</v>
      </c>
      <c r="D105">
        <v>30049</v>
      </c>
    </row>
    <row r="106" spans="1:4">
      <c r="A106">
        <v>142706009</v>
      </c>
      <c r="B106">
        <v>1392</v>
      </c>
      <c r="C106">
        <v>202208</v>
      </c>
      <c r="D106">
        <v>1392</v>
      </c>
    </row>
    <row r="107" spans="1:4">
      <c r="A107">
        <v>142706012</v>
      </c>
      <c r="B107">
        <v>928</v>
      </c>
      <c r="C107">
        <v>202206</v>
      </c>
      <c r="D107">
        <v>928</v>
      </c>
    </row>
    <row r="108" spans="1:4">
      <c r="A108">
        <v>142706018</v>
      </c>
      <c r="B108">
        <v>13365</v>
      </c>
      <c r="C108">
        <v>202205</v>
      </c>
      <c r="D108">
        <v>13365</v>
      </c>
    </row>
    <row r="109" spans="1:4">
      <c r="A109">
        <v>142706019</v>
      </c>
      <c r="B109">
        <v>673</v>
      </c>
      <c r="C109">
        <v>202205</v>
      </c>
      <c r="D109">
        <v>673</v>
      </c>
    </row>
    <row r="110" spans="1:4">
      <c r="A110">
        <v>142706024</v>
      </c>
      <c r="B110">
        <v>1671</v>
      </c>
      <c r="C110">
        <v>202205</v>
      </c>
      <c r="D110">
        <v>1671</v>
      </c>
    </row>
    <row r="111" spans="1:4">
      <c r="A111">
        <v>142706040</v>
      </c>
      <c r="B111">
        <v>20463</v>
      </c>
      <c r="C111">
        <v>202205</v>
      </c>
      <c r="D111">
        <v>20463</v>
      </c>
    </row>
    <row r="112" spans="1:4">
      <c r="A112">
        <v>142706041</v>
      </c>
      <c r="B112">
        <v>4176</v>
      </c>
      <c r="C112">
        <v>202205</v>
      </c>
      <c r="D112">
        <v>4176</v>
      </c>
    </row>
    <row r="113" spans="1:4">
      <c r="A113">
        <v>142706048</v>
      </c>
      <c r="B113">
        <v>2909</v>
      </c>
      <c r="C113">
        <v>202205</v>
      </c>
      <c r="D113">
        <v>2795</v>
      </c>
    </row>
    <row r="114" spans="1:4">
      <c r="A114">
        <v>142706053</v>
      </c>
      <c r="B114">
        <v>4455</v>
      </c>
      <c r="C114">
        <v>202205</v>
      </c>
      <c r="D114">
        <v>4455</v>
      </c>
    </row>
    <row r="115" spans="1:4">
      <c r="A115">
        <v>142706056</v>
      </c>
      <c r="B115">
        <v>4683</v>
      </c>
      <c r="C115">
        <v>202205</v>
      </c>
      <c r="D115">
        <v>4683</v>
      </c>
    </row>
    <row r="116" spans="1:4">
      <c r="A116">
        <v>142706058</v>
      </c>
      <c r="B116">
        <v>20881</v>
      </c>
      <c r="C116">
        <v>202205</v>
      </c>
      <c r="D116">
        <v>20881</v>
      </c>
    </row>
    <row r="117" spans="1:4">
      <c r="A117">
        <v>142706060</v>
      </c>
      <c r="B117">
        <v>2784</v>
      </c>
      <c r="C117">
        <v>202205</v>
      </c>
      <c r="D117">
        <v>2784</v>
      </c>
    </row>
    <row r="118" spans="1:4">
      <c r="A118">
        <v>142706067</v>
      </c>
      <c r="B118">
        <v>16891</v>
      </c>
      <c r="C118">
        <v>202205</v>
      </c>
      <c r="D118">
        <v>16891</v>
      </c>
    </row>
    <row r="119" spans="1:4">
      <c r="A119">
        <v>142706068</v>
      </c>
      <c r="B119">
        <v>4084</v>
      </c>
      <c r="C119">
        <v>202205</v>
      </c>
      <c r="D119">
        <v>4084</v>
      </c>
    </row>
    <row r="120" spans="1:4">
      <c r="A120">
        <v>142706093</v>
      </c>
      <c r="B120">
        <v>650</v>
      </c>
      <c r="C120">
        <v>202205</v>
      </c>
      <c r="D120">
        <v>650</v>
      </c>
    </row>
    <row r="121" spans="1:4">
      <c r="A121">
        <v>142706094</v>
      </c>
      <c r="B121">
        <v>2785</v>
      </c>
      <c r="C121">
        <v>202205</v>
      </c>
      <c r="D121">
        <v>2785</v>
      </c>
    </row>
    <row r="122" spans="1:4">
      <c r="A122">
        <v>142706101</v>
      </c>
      <c r="B122">
        <v>23490</v>
      </c>
      <c r="C122">
        <v>202205</v>
      </c>
      <c r="D122">
        <v>23490</v>
      </c>
    </row>
    <row r="123" spans="1:4">
      <c r="A123">
        <v>142706106</v>
      </c>
      <c r="B123">
        <v>2172</v>
      </c>
      <c r="C123">
        <v>202205</v>
      </c>
      <c r="D123">
        <v>2172</v>
      </c>
    </row>
    <row r="124" spans="1:4">
      <c r="A124">
        <v>142706111</v>
      </c>
      <c r="B124">
        <v>11090</v>
      </c>
      <c r="C124">
        <v>202205</v>
      </c>
      <c r="D124">
        <v>11090</v>
      </c>
    </row>
    <row r="125" spans="1:4">
      <c r="A125">
        <v>142716113</v>
      </c>
      <c r="B125">
        <v>5769</v>
      </c>
      <c r="C125">
        <v>202206</v>
      </c>
      <c r="D125">
        <v>5555</v>
      </c>
    </row>
    <row r="126" spans="1:4">
      <c r="A126">
        <v>142716118</v>
      </c>
      <c r="B126">
        <v>789</v>
      </c>
      <c r="C126">
        <v>202205</v>
      </c>
      <c r="D126">
        <v>789</v>
      </c>
    </row>
    <row r="127" spans="1:4">
      <c r="A127">
        <v>142716119</v>
      </c>
      <c r="B127">
        <v>743</v>
      </c>
      <c r="C127">
        <v>202205</v>
      </c>
      <c r="D127">
        <v>743</v>
      </c>
    </row>
    <row r="128" spans="1:4">
      <c r="A128">
        <v>142716122</v>
      </c>
      <c r="B128">
        <v>419</v>
      </c>
      <c r="C128">
        <v>202205</v>
      </c>
      <c r="D128">
        <v>419</v>
      </c>
    </row>
    <row r="129" spans="1:4">
      <c r="A129">
        <v>142716131</v>
      </c>
      <c r="B129">
        <v>3898</v>
      </c>
      <c r="C129">
        <v>202206</v>
      </c>
      <c r="D129">
        <v>3898</v>
      </c>
    </row>
    <row r="130" spans="1:4">
      <c r="A130">
        <v>142716134</v>
      </c>
      <c r="B130">
        <v>2413</v>
      </c>
      <c r="C130">
        <v>202206</v>
      </c>
      <c r="D130">
        <v>2413</v>
      </c>
    </row>
    <row r="131" spans="1:4">
      <c r="A131">
        <v>142716136</v>
      </c>
      <c r="B131">
        <v>8909</v>
      </c>
      <c r="C131">
        <v>202207</v>
      </c>
      <c r="D131">
        <v>14477</v>
      </c>
    </row>
    <row r="132" spans="1:4">
      <c r="A132">
        <v>142716137</v>
      </c>
      <c r="B132">
        <v>11136</v>
      </c>
      <c r="C132">
        <v>202206</v>
      </c>
      <c r="D132">
        <v>11136</v>
      </c>
    </row>
    <row r="133" spans="1:4">
      <c r="A133">
        <v>142716138</v>
      </c>
      <c r="B133">
        <v>8457</v>
      </c>
      <c r="C133">
        <v>202206</v>
      </c>
      <c r="D133">
        <v>8457</v>
      </c>
    </row>
    <row r="134" spans="1:4">
      <c r="A134">
        <v>142716150</v>
      </c>
      <c r="B134">
        <v>8394</v>
      </c>
      <c r="C134">
        <v>202205</v>
      </c>
      <c r="D134">
        <v>8394</v>
      </c>
    </row>
    <row r="135" spans="1:4">
      <c r="A135">
        <v>142716151</v>
      </c>
      <c r="B135">
        <v>11137</v>
      </c>
      <c r="C135">
        <v>202205</v>
      </c>
      <c r="D135">
        <v>11137</v>
      </c>
    </row>
    <row r="136" spans="1:4">
      <c r="A136">
        <v>142716168</v>
      </c>
      <c r="B136">
        <v>1783</v>
      </c>
      <c r="C136">
        <v>202206</v>
      </c>
      <c r="D136">
        <v>1783</v>
      </c>
    </row>
    <row r="137" spans="1:4">
      <c r="A137">
        <v>142716170</v>
      </c>
      <c r="B137">
        <v>9652</v>
      </c>
      <c r="C137">
        <v>202205</v>
      </c>
      <c r="D137">
        <v>9652</v>
      </c>
    </row>
    <row r="138" spans="1:4">
      <c r="A138">
        <v>142716176</v>
      </c>
      <c r="B138">
        <v>140</v>
      </c>
      <c r="C138">
        <v>202205</v>
      </c>
      <c r="D138">
        <v>140</v>
      </c>
    </row>
    <row r="139" spans="1:4">
      <c r="A139">
        <v>142716182</v>
      </c>
      <c r="B139">
        <v>18932</v>
      </c>
      <c r="C139">
        <v>202206</v>
      </c>
      <c r="D139">
        <v>21577</v>
      </c>
    </row>
    <row r="140" spans="1:4">
      <c r="A140">
        <v>142716192</v>
      </c>
      <c r="B140">
        <v>17758</v>
      </c>
      <c r="C140">
        <v>202206</v>
      </c>
      <c r="D140">
        <v>17758</v>
      </c>
    </row>
    <row r="141" spans="1:4">
      <c r="A141">
        <v>142716209</v>
      </c>
      <c r="B141">
        <v>2228</v>
      </c>
      <c r="C141">
        <v>202205</v>
      </c>
      <c r="D141">
        <v>2228</v>
      </c>
    </row>
    <row r="142" spans="1:4">
      <c r="A142">
        <v>142716210</v>
      </c>
      <c r="B142">
        <v>1044</v>
      </c>
      <c r="C142">
        <v>202205</v>
      </c>
      <c r="D142">
        <v>1044</v>
      </c>
    </row>
    <row r="143" spans="1:4">
      <c r="A143">
        <v>142716223</v>
      </c>
      <c r="B143">
        <v>5012</v>
      </c>
      <c r="C143">
        <v>202205</v>
      </c>
      <c r="D143">
        <v>5012</v>
      </c>
    </row>
    <row r="144" spans="1:4">
      <c r="A144">
        <v>142716225</v>
      </c>
      <c r="B144">
        <v>7797</v>
      </c>
      <c r="C144">
        <v>202206</v>
      </c>
      <c r="D144">
        <v>7797</v>
      </c>
    </row>
    <row r="145" spans="1:4">
      <c r="A145">
        <v>142716226</v>
      </c>
      <c r="B145">
        <v>3434</v>
      </c>
      <c r="C145">
        <v>202206</v>
      </c>
      <c r="D145">
        <v>3434</v>
      </c>
    </row>
    <row r="146" spans="1:4">
      <c r="A146">
        <v>142716239</v>
      </c>
      <c r="B146">
        <v>1742</v>
      </c>
      <c r="C146">
        <v>202206</v>
      </c>
      <c r="D146">
        <v>1742</v>
      </c>
    </row>
    <row r="147" spans="1:4">
      <c r="A147">
        <v>142716242</v>
      </c>
      <c r="B147">
        <v>650</v>
      </c>
      <c r="C147">
        <v>202206</v>
      </c>
      <c r="D147">
        <v>650</v>
      </c>
    </row>
    <row r="148" spans="1:4">
      <c r="A148">
        <v>142716247</v>
      </c>
      <c r="B148">
        <v>1495</v>
      </c>
      <c r="C148">
        <v>202206</v>
      </c>
      <c r="D148">
        <v>1495</v>
      </c>
    </row>
    <row r="149" spans="1:4">
      <c r="A149">
        <v>142716248</v>
      </c>
      <c r="B149">
        <v>27080</v>
      </c>
      <c r="C149">
        <v>202206</v>
      </c>
      <c r="D149">
        <v>27080</v>
      </c>
    </row>
    <row r="150" spans="1:4">
      <c r="A150">
        <v>142716250</v>
      </c>
      <c r="B150">
        <v>3898</v>
      </c>
      <c r="C150">
        <v>202206</v>
      </c>
      <c r="D150">
        <v>3898</v>
      </c>
    </row>
    <row r="151" spans="1:4">
      <c r="A151">
        <v>142716251</v>
      </c>
      <c r="B151">
        <v>3898</v>
      </c>
      <c r="C151">
        <v>202206</v>
      </c>
      <c r="D151">
        <v>3898</v>
      </c>
    </row>
    <row r="152" spans="1:4">
      <c r="A152">
        <v>142726264</v>
      </c>
      <c r="B152">
        <v>7797</v>
      </c>
      <c r="C152">
        <v>202206</v>
      </c>
      <c r="D152">
        <v>7797</v>
      </c>
    </row>
    <row r="153" spans="1:4">
      <c r="A153">
        <v>142726265</v>
      </c>
      <c r="B153">
        <v>3156</v>
      </c>
      <c r="C153">
        <v>202206</v>
      </c>
      <c r="D153">
        <v>3156</v>
      </c>
    </row>
    <row r="154" spans="1:4">
      <c r="A154">
        <v>142726276</v>
      </c>
      <c r="B154">
        <v>7234</v>
      </c>
      <c r="C154">
        <v>202206</v>
      </c>
      <c r="D154">
        <v>7735</v>
      </c>
    </row>
    <row r="155" spans="1:4">
      <c r="A155">
        <v>142726278</v>
      </c>
      <c r="B155">
        <v>6349</v>
      </c>
      <c r="C155">
        <v>202206</v>
      </c>
      <c r="D155">
        <v>6349</v>
      </c>
    </row>
    <row r="156" spans="1:4">
      <c r="A156">
        <v>142726281</v>
      </c>
      <c r="B156">
        <v>5422</v>
      </c>
      <c r="C156">
        <v>202206</v>
      </c>
      <c r="D156">
        <v>5451</v>
      </c>
    </row>
    <row r="157" spans="1:4">
      <c r="A157">
        <v>142726298</v>
      </c>
      <c r="B157">
        <v>882</v>
      </c>
      <c r="C157">
        <v>202206</v>
      </c>
      <c r="D157">
        <v>882</v>
      </c>
    </row>
    <row r="158" spans="1:4">
      <c r="A158">
        <v>142726299</v>
      </c>
      <c r="B158">
        <v>16428</v>
      </c>
      <c r="C158">
        <v>202206</v>
      </c>
      <c r="D158">
        <v>16428</v>
      </c>
    </row>
    <row r="159" spans="1:4">
      <c r="A159">
        <v>142726301</v>
      </c>
      <c r="B159">
        <v>419</v>
      </c>
      <c r="C159">
        <v>202206</v>
      </c>
      <c r="D159">
        <v>419</v>
      </c>
    </row>
    <row r="160" spans="1:4">
      <c r="A160">
        <v>142726302</v>
      </c>
      <c r="B160">
        <v>1671</v>
      </c>
      <c r="C160">
        <v>202206</v>
      </c>
      <c r="D160">
        <v>1671</v>
      </c>
    </row>
    <row r="161" spans="1:4">
      <c r="A161">
        <v>142726322</v>
      </c>
      <c r="B161">
        <v>1485</v>
      </c>
      <c r="C161">
        <v>202206</v>
      </c>
      <c r="D161">
        <v>1485</v>
      </c>
    </row>
    <row r="162" spans="1:4">
      <c r="A162">
        <v>142726323</v>
      </c>
      <c r="B162">
        <v>10025</v>
      </c>
      <c r="C162">
        <v>202206</v>
      </c>
      <c r="D162">
        <v>10396</v>
      </c>
    </row>
    <row r="163" spans="1:4">
      <c r="A163">
        <v>142726329</v>
      </c>
      <c r="B163">
        <v>15312</v>
      </c>
      <c r="C163">
        <v>202206</v>
      </c>
      <c r="D163">
        <v>15312</v>
      </c>
    </row>
    <row r="164" spans="1:4">
      <c r="A164">
        <v>142726330</v>
      </c>
      <c r="B164">
        <v>10468</v>
      </c>
      <c r="C164">
        <v>202206</v>
      </c>
      <c r="D164">
        <v>10468</v>
      </c>
    </row>
    <row r="165" spans="1:4">
      <c r="A165">
        <v>142726334</v>
      </c>
      <c r="B165">
        <v>2088</v>
      </c>
      <c r="C165">
        <v>202206</v>
      </c>
      <c r="D165">
        <v>2088</v>
      </c>
    </row>
    <row r="166" spans="1:4">
      <c r="A166">
        <v>142726344</v>
      </c>
      <c r="B166">
        <v>4176</v>
      </c>
      <c r="C166">
        <v>202206</v>
      </c>
      <c r="D166">
        <v>4176</v>
      </c>
    </row>
    <row r="167" spans="1:4">
      <c r="A167">
        <v>142726346</v>
      </c>
      <c r="B167">
        <v>28213</v>
      </c>
      <c r="C167">
        <v>202206</v>
      </c>
      <c r="D167">
        <v>29327</v>
      </c>
    </row>
    <row r="168" spans="1:4">
      <c r="A168">
        <v>142726347</v>
      </c>
      <c r="B168">
        <v>6311</v>
      </c>
      <c r="C168">
        <v>202206</v>
      </c>
      <c r="D168">
        <v>6311</v>
      </c>
    </row>
    <row r="169" spans="1:4">
      <c r="A169">
        <v>142726363</v>
      </c>
      <c r="B169">
        <v>2228</v>
      </c>
      <c r="C169">
        <v>202206</v>
      </c>
      <c r="D169">
        <v>2228</v>
      </c>
    </row>
    <row r="170" spans="1:4">
      <c r="A170">
        <v>142726364</v>
      </c>
      <c r="B170">
        <v>1409</v>
      </c>
      <c r="C170">
        <v>202206</v>
      </c>
      <c r="D170">
        <v>1604</v>
      </c>
    </row>
    <row r="171" spans="1:4">
      <c r="A171">
        <v>142726368</v>
      </c>
      <c r="B171">
        <v>16055</v>
      </c>
      <c r="C171">
        <v>202206</v>
      </c>
      <c r="D171">
        <v>16055</v>
      </c>
    </row>
    <row r="172" spans="1:4">
      <c r="A172">
        <v>142726370</v>
      </c>
      <c r="B172">
        <v>18933</v>
      </c>
      <c r="C172">
        <v>202206</v>
      </c>
      <c r="D172">
        <v>19675</v>
      </c>
    </row>
    <row r="173" spans="1:4">
      <c r="A173">
        <v>142726371</v>
      </c>
      <c r="B173">
        <v>4641</v>
      </c>
      <c r="C173">
        <v>202206</v>
      </c>
      <c r="D173">
        <v>4641</v>
      </c>
    </row>
    <row r="174" spans="1:4">
      <c r="A174">
        <v>142736392</v>
      </c>
      <c r="B174">
        <v>7426</v>
      </c>
      <c r="C174">
        <v>202206</v>
      </c>
      <c r="D174">
        <v>8168</v>
      </c>
    </row>
    <row r="175" spans="1:4">
      <c r="A175">
        <v>142736394</v>
      </c>
      <c r="B175">
        <v>93</v>
      </c>
      <c r="C175">
        <v>202206</v>
      </c>
      <c r="D175">
        <v>93</v>
      </c>
    </row>
    <row r="176" spans="1:4">
      <c r="A176">
        <v>142736412</v>
      </c>
      <c r="B176">
        <v>326</v>
      </c>
      <c r="C176">
        <v>202206</v>
      </c>
      <c r="D176">
        <v>326</v>
      </c>
    </row>
    <row r="177" spans="1:4">
      <c r="A177">
        <v>142736414</v>
      </c>
      <c r="B177">
        <v>223</v>
      </c>
      <c r="C177">
        <v>202206</v>
      </c>
      <c r="D177">
        <v>223</v>
      </c>
    </row>
    <row r="178" spans="1:4">
      <c r="A178">
        <v>142736417</v>
      </c>
      <c r="B178">
        <v>15498</v>
      </c>
      <c r="C178">
        <v>202206</v>
      </c>
      <c r="D178">
        <v>15498</v>
      </c>
    </row>
    <row r="179" spans="1:4">
      <c r="A179">
        <v>142736424</v>
      </c>
      <c r="B179">
        <v>5940</v>
      </c>
      <c r="C179">
        <v>202206</v>
      </c>
      <c r="D179">
        <v>5940</v>
      </c>
    </row>
    <row r="180" spans="1:4">
      <c r="A180">
        <v>142736425</v>
      </c>
      <c r="B180">
        <v>7601</v>
      </c>
      <c r="C180">
        <v>202206</v>
      </c>
      <c r="D180">
        <v>7601</v>
      </c>
    </row>
    <row r="181" spans="1:4">
      <c r="A181">
        <v>142736427</v>
      </c>
      <c r="B181">
        <v>349</v>
      </c>
      <c r="C181">
        <v>202206</v>
      </c>
      <c r="D181">
        <v>279</v>
      </c>
    </row>
    <row r="182" spans="1:4">
      <c r="A182">
        <v>142736435</v>
      </c>
      <c r="B182">
        <v>4455</v>
      </c>
      <c r="C182">
        <v>202206</v>
      </c>
      <c r="D182">
        <v>4455</v>
      </c>
    </row>
    <row r="183" spans="1:4">
      <c r="A183">
        <v>142736449</v>
      </c>
      <c r="B183">
        <v>2228</v>
      </c>
      <c r="C183">
        <v>202206</v>
      </c>
      <c r="D183">
        <v>2228</v>
      </c>
    </row>
    <row r="184" spans="1:4">
      <c r="A184">
        <v>142736456</v>
      </c>
      <c r="B184">
        <v>1782</v>
      </c>
      <c r="C184">
        <v>202207</v>
      </c>
      <c r="D184">
        <v>1782</v>
      </c>
    </row>
    <row r="185" spans="1:4">
      <c r="A185">
        <v>142736459</v>
      </c>
      <c r="B185">
        <v>344</v>
      </c>
      <c r="C185">
        <v>202206</v>
      </c>
      <c r="D185">
        <v>344</v>
      </c>
    </row>
    <row r="186" spans="1:4">
      <c r="A186">
        <v>142736462</v>
      </c>
      <c r="B186">
        <v>17563</v>
      </c>
      <c r="C186">
        <v>202206</v>
      </c>
      <c r="D186">
        <v>19582</v>
      </c>
    </row>
    <row r="187" spans="1:4">
      <c r="A187">
        <v>142736463</v>
      </c>
      <c r="B187">
        <v>502</v>
      </c>
      <c r="C187">
        <v>202207</v>
      </c>
      <c r="D187">
        <v>502</v>
      </c>
    </row>
    <row r="188" spans="1:4">
      <c r="A188">
        <v>142736464</v>
      </c>
      <c r="B188">
        <v>2559</v>
      </c>
      <c r="C188">
        <v>202206</v>
      </c>
      <c r="D188">
        <v>2319</v>
      </c>
    </row>
    <row r="189" spans="1:4">
      <c r="A189">
        <v>142736471</v>
      </c>
      <c r="B189">
        <v>12993</v>
      </c>
      <c r="C189">
        <v>202206</v>
      </c>
      <c r="D189">
        <v>12993</v>
      </c>
    </row>
    <row r="190" spans="1:4">
      <c r="A190">
        <v>142736472</v>
      </c>
      <c r="B190">
        <v>836</v>
      </c>
      <c r="C190">
        <v>202206</v>
      </c>
      <c r="D190">
        <v>836</v>
      </c>
    </row>
    <row r="191" spans="1:4">
      <c r="A191">
        <v>142736474</v>
      </c>
      <c r="B191">
        <v>483</v>
      </c>
      <c r="C191">
        <v>202206</v>
      </c>
      <c r="D191">
        <v>483</v>
      </c>
    </row>
    <row r="192" spans="1:4">
      <c r="A192">
        <v>142736489</v>
      </c>
      <c r="B192">
        <v>11842</v>
      </c>
      <c r="C192">
        <v>202206</v>
      </c>
      <c r="D192">
        <v>11879</v>
      </c>
    </row>
    <row r="193" spans="1:4">
      <c r="A193">
        <v>142736490</v>
      </c>
      <c r="B193">
        <v>2947</v>
      </c>
      <c r="C193">
        <v>202206</v>
      </c>
      <c r="D193">
        <v>2947</v>
      </c>
    </row>
    <row r="194" spans="1:4">
      <c r="A194">
        <v>142736493</v>
      </c>
      <c r="B194">
        <v>349</v>
      </c>
      <c r="C194">
        <v>202206</v>
      </c>
      <c r="D194">
        <v>349</v>
      </c>
    </row>
    <row r="195" spans="1:4">
      <c r="A195">
        <v>142736499</v>
      </c>
      <c r="B195">
        <v>7871</v>
      </c>
      <c r="C195">
        <v>202206</v>
      </c>
      <c r="D195">
        <v>7871</v>
      </c>
    </row>
    <row r="196" spans="1:4">
      <c r="A196">
        <v>142736502</v>
      </c>
      <c r="B196">
        <v>1420</v>
      </c>
      <c r="C196">
        <v>202207</v>
      </c>
      <c r="D196">
        <v>1420</v>
      </c>
    </row>
    <row r="197" spans="1:4">
      <c r="A197">
        <v>142746514</v>
      </c>
      <c r="B197">
        <v>4269</v>
      </c>
      <c r="C197">
        <v>202206</v>
      </c>
      <c r="D197">
        <v>4269</v>
      </c>
    </row>
    <row r="198" spans="1:4">
      <c r="A198">
        <v>142746515</v>
      </c>
      <c r="B198">
        <v>557</v>
      </c>
      <c r="C198">
        <v>202206</v>
      </c>
      <c r="D198">
        <v>557</v>
      </c>
    </row>
    <row r="199" spans="1:4">
      <c r="A199">
        <v>142746516</v>
      </c>
      <c r="B199">
        <v>17262</v>
      </c>
      <c r="C199">
        <v>202206</v>
      </c>
      <c r="D199">
        <v>17262</v>
      </c>
    </row>
    <row r="200" spans="1:4">
      <c r="A200">
        <v>142746517</v>
      </c>
      <c r="B200">
        <v>12528</v>
      </c>
      <c r="C200">
        <v>202206</v>
      </c>
      <c r="D200">
        <v>12528</v>
      </c>
    </row>
    <row r="201" spans="1:4">
      <c r="A201">
        <v>142746524</v>
      </c>
      <c r="B201">
        <v>6661</v>
      </c>
      <c r="C201">
        <v>202206</v>
      </c>
      <c r="D201">
        <v>6661</v>
      </c>
    </row>
    <row r="202" spans="1:4">
      <c r="A202">
        <v>142746542</v>
      </c>
      <c r="B202">
        <v>2228</v>
      </c>
      <c r="C202">
        <v>202206</v>
      </c>
      <c r="D202">
        <v>2228</v>
      </c>
    </row>
    <row r="203" spans="1:4">
      <c r="A203">
        <v>142746545</v>
      </c>
      <c r="B203">
        <v>13922</v>
      </c>
      <c r="C203">
        <v>202206</v>
      </c>
      <c r="D203">
        <v>13922</v>
      </c>
    </row>
    <row r="204" spans="1:4">
      <c r="A204">
        <v>142746546</v>
      </c>
      <c r="B204">
        <v>4176</v>
      </c>
      <c r="C204">
        <v>202206</v>
      </c>
      <c r="D204">
        <v>4176</v>
      </c>
    </row>
    <row r="205" spans="1:4">
      <c r="A205">
        <v>142746569</v>
      </c>
      <c r="B205">
        <v>836</v>
      </c>
      <c r="C205">
        <v>202206</v>
      </c>
      <c r="D205">
        <v>836</v>
      </c>
    </row>
    <row r="206" spans="1:4">
      <c r="A206">
        <v>142746570</v>
      </c>
      <c r="B206">
        <v>10395</v>
      </c>
      <c r="C206">
        <v>202206</v>
      </c>
      <c r="D206">
        <v>10395</v>
      </c>
    </row>
    <row r="207" spans="1:4">
      <c r="A207">
        <v>142746575</v>
      </c>
      <c r="B207">
        <v>3648</v>
      </c>
      <c r="C207">
        <v>202207</v>
      </c>
      <c r="D207">
        <v>3648</v>
      </c>
    </row>
    <row r="208" spans="1:4">
      <c r="A208">
        <v>142746588</v>
      </c>
      <c r="B208">
        <v>4919</v>
      </c>
      <c r="C208">
        <v>202206</v>
      </c>
      <c r="D208">
        <v>4919</v>
      </c>
    </row>
    <row r="209" spans="1:4">
      <c r="A209">
        <v>142746590</v>
      </c>
      <c r="B209">
        <v>12622</v>
      </c>
      <c r="C209">
        <v>202206</v>
      </c>
      <c r="D209">
        <v>12622</v>
      </c>
    </row>
    <row r="210" spans="1:4">
      <c r="A210">
        <v>142746606</v>
      </c>
      <c r="B210">
        <v>650</v>
      </c>
      <c r="C210">
        <v>202206</v>
      </c>
      <c r="D210">
        <v>650</v>
      </c>
    </row>
    <row r="211" spans="1:4">
      <c r="A211">
        <v>142746608</v>
      </c>
      <c r="B211">
        <v>11416</v>
      </c>
      <c r="C211">
        <v>202206</v>
      </c>
      <c r="D211">
        <v>11416</v>
      </c>
    </row>
    <row r="212" spans="1:4">
      <c r="A212">
        <v>142746611</v>
      </c>
      <c r="B212">
        <v>280</v>
      </c>
      <c r="C212">
        <v>202206</v>
      </c>
      <c r="D212">
        <v>280</v>
      </c>
    </row>
    <row r="213" spans="1:4">
      <c r="A213">
        <v>142746612</v>
      </c>
      <c r="B213">
        <v>419</v>
      </c>
      <c r="C213">
        <v>202206</v>
      </c>
      <c r="D213">
        <v>419</v>
      </c>
    </row>
    <row r="214" spans="1:4">
      <c r="A214">
        <v>142756621</v>
      </c>
      <c r="B214">
        <v>2088</v>
      </c>
      <c r="C214">
        <v>202206</v>
      </c>
      <c r="D214">
        <v>2088</v>
      </c>
    </row>
    <row r="215" spans="1:4">
      <c r="A215">
        <v>142756622</v>
      </c>
      <c r="B215">
        <v>724</v>
      </c>
      <c r="C215">
        <v>202208</v>
      </c>
      <c r="D215">
        <v>724</v>
      </c>
    </row>
    <row r="216" spans="1:4">
      <c r="A216">
        <v>142756623</v>
      </c>
      <c r="B216">
        <v>21067</v>
      </c>
      <c r="C216">
        <v>202206</v>
      </c>
      <c r="D216">
        <v>21067</v>
      </c>
    </row>
    <row r="217" spans="1:4">
      <c r="A217">
        <v>142756629</v>
      </c>
      <c r="B217">
        <v>557</v>
      </c>
      <c r="C217">
        <v>202206</v>
      </c>
      <c r="D217">
        <v>557</v>
      </c>
    </row>
    <row r="218" spans="1:4">
      <c r="A218">
        <v>142756639</v>
      </c>
      <c r="B218">
        <v>10172</v>
      </c>
      <c r="C218">
        <v>202206</v>
      </c>
      <c r="D218">
        <v>10209</v>
      </c>
    </row>
    <row r="219" spans="1:4">
      <c r="A219">
        <v>142756640</v>
      </c>
      <c r="B219">
        <v>2738</v>
      </c>
      <c r="C219">
        <v>202206</v>
      </c>
      <c r="D219">
        <v>2738</v>
      </c>
    </row>
    <row r="220" spans="1:4">
      <c r="A220">
        <v>142756658</v>
      </c>
      <c r="B220">
        <v>20789</v>
      </c>
      <c r="C220">
        <v>202206</v>
      </c>
      <c r="D220">
        <v>20789</v>
      </c>
    </row>
    <row r="221" spans="1:4">
      <c r="A221">
        <v>142756659</v>
      </c>
      <c r="B221">
        <v>7888</v>
      </c>
      <c r="C221">
        <v>202206</v>
      </c>
      <c r="D221">
        <v>7888</v>
      </c>
    </row>
    <row r="222" spans="1:4">
      <c r="A222">
        <v>142756660</v>
      </c>
      <c r="B222">
        <v>1743</v>
      </c>
      <c r="C222">
        <v>202207</v>
      </c>
      <c r="D222">
        <v>1743</v>
      </c>
    </row>
    <row r="223" spans="1:4">
      <c r="A223">
        <v>142756672</v>
      </c>
      <c r="B223">
        <v>19118</v>
      </c>
      <c r="C223">
        <v>202206</v>
      </c>
      <c r="D223">
        <v>19118</v>
      </c>
    </row>
    <row r="224" spans="1:4">
      <c r="A224">
        <v>142756674</v>
      </c>
      <c r="B224">
        <v>4432</v>
      </c>
      <c r="C224">
        <v>202206</v>
      </c>
      <c r="D224">
        <v>4432</v>
      </c>
    </row>
    <row r="225" spans="1:4">
      <c r="A225">
        <v>142756677</v>
      </c>
      <c r="B225">
        <v>280</v>
      </c>
      <c r="C225">
        <v>202207</v>
      </c>
      <c r="D225">
        <v>280</v>
      </c>
    </row>
    <row r="226" spans="1:4">
      <c r="A226">
        <v>142756694</v>
      </c>
      <c r="B226">
        <v>418</v>
      </c>
      <c r="C226">
        <v>202207</v>
      </c>
      <c r="D226">
        <v>418</v>
      </c>
    </row>
    <row r="227" spans="1:4">
      <c r="A227">
        <v>142756696</v>
      </c>
      <c r="B227">
        <v>2414</v>
      </c>
      <c r="C227">
        <v>202207</v>
      </c>
      <c r="D227">
        <v>2414</v>
      </c>
    </row>
    <row r="228" spans="1:4">
      <c r="A228">
        <v>142766701</v>
      </c>
      <c r="B228">
        <v>4664</v>
      </c>
      <c r="C228">
        <v>202207</v>
      </c>
      <c r="D228">
        <v>4664</v>
      </c>
    </row>
    <row r="229" spans="1:4">
      <c r="A229">
        <v>142766702</v>
      </c>
      <c r="B229">
        <v>9653</v>
      </c>
      <c r="C229">
        <v>202207</v>
      </c>
      <c r="D229">
        <v>9653</v>
      </c>
    </row>
    <row r="230" spans="1:4">
      <c r="A230">
        <v>142766704</v>
      </c>
      <c r="B230">
        <v>908</v>
      </c>
      <c r="C230">
        <v>202207</v>
      </c>
      <c r="D230">
        <v>908</v>
      </c>
    </row>
    <row r="231" spans="1:4">
      <c r="A231">
        <v>142766705</v>
      </c>
      <c r="B231">
        <v>20348</v>
      </c>
      <c r="C231">
        <v>202207</v>
      </c>
      <c r="D231">
        <v>23271</v>
      </c>
    </row>
    <row r="232" spans="1:4">
      <c r="A232">
        <v>142766712</v>
      </c>
      <c r="B232">
        <v>223</v>
      </c>
      <c r="C232">
        <v>202207</v>
      </c>
      <c r="D232">
        <v>223</v>
      </c>
    </row>
    <row r="233" spans="1:4">
      <c r="A233">
        <v>143246714</v>
      </c>
      <c r="B233">
        <v>7519</v>
      </c>
      <c r="C233">
        <v>202207</v>
      </c>
      <c r="D233">
        <v>7519</v>
      </c>
    </row>
    <row r="234" spans="1:4">
      <c r="A234">
        <v>143246715</v>
      </c>
      <c r="B234">
        <v>2924</v>
      </c>
      <c r="C234">
        <v>202207</v>
      </c>
      <c r="D234">
        <v>2924</v>
      </c>
    </row>
    <row r="235" spans="1:4">
      <c r="A235">
        <v>143246731</v>
      </c>
      <c r="B235">
        <v>256</v>
      </c>
      <c r="C235">
        <v>202207</v>
      </c>
      <c r="D235">
        <v>256</v>
      </c>
    </row>
    <row r="236" spans="1:4">
      <c r="A236">
        <v>143246732</v>
      </c>
      <c r="B236">
        <v>3250</v>
      </c>
      <c r="C236">
        <v>202207</v>
      </c>
      <c r="D236">
        <v>3250</v>
      </c>
    </row>
    <row r="237" spans="1:4">
      <c r="A237">
        <v>143246741</v>
      </c>
      <c r="B237">
        <v>1964</v>
      </c>
      <c r="C237">
        <v>202207</v>
      </c>
      <c r="D237">
        <v>2089</v>
      </c>
    </row>
    <row r="238" spans="1:4">
      <c r="A238">
        <v>143246742</v>
      </c>
      <c r="B238">
        <v>3694</v>
      </c>
      <c r="C238">
        <v>202207</v>
      </c>
      <c r="D238">
        <v>3694</v>
      </c>
    </row>
    <row r="239" spans="1:4">
      <c r="A239">
        <v>143246755</v>
      </c>
      <c r="B239">
        <v>1184</v>
      </c>
      <c r="C239">
        <v>202207</v>
      </c>
      <c r="D239">
        <v>1184</v>
      </c>
    </row>
    <row r="240" spans="1:4">
      <c r="A240">
        <v>143246756</v>
      </c>
      <c r="B240">
        <v>10117</v>
      </c>
      <c r="C240">
        <v>202207</v>
      </c>
      <c r="D240">
        <v>10117</v>
      </c>
    </row>
    <row r="241" spans="1:4">
      <c r="A241">
        <v>143246759</v>
      </c>
      <c r="B241">
        <v>1532</v>
      </c>
      <c r="C241">
        <v>202207</v>
      </c>
      <c r="D241">
        <v>1532</v>
      </c>
    </row>
    <row r="242" spans="1:4">
      <c r="A242">
        <v>143246763</v>
      </c>
      <c r="B242">
        <v>2228</v>
      </c>
      <c r="C242">
        <v>202207</v>
      </c>
      <c r="D242">
        <v>2228</v>
      </c>
    </row>
    <row r="243" spans="1:4">
      <c r="A243">
        <v>143246764</v>
      </c>
      <c r="B243">
        <v>1782</v>
      </c>
      <c r="C243">
        <v>202207</v>
      </c>
      <c r="D243">
        <v>1782</v>
      </c>
    </row>
    <row r="244" spans="1:4">
      <c r="A244">
        <v>143246771</v>
      </c>
      <c r="B244">
        <v>7459</v>
      </c>
      <c r="C244">
        <v>202207</v>
      </c>
      <c r="D244">
        <v>7459</v>
      </c>
    </row>
    <row r="245" spans="1:4">
      <c r="A245">
        <v>143246772</v>
      </c>
      <c r="B245">
        <v>6682</v>
      </c>
      <c r="C245">
        <v>202207</v>
      </c>
      <c r="D245">
        <v>6682</v>
      </c>
    </row>
    <row r="246" spans="1:4">
      <c r="A246">
        <v>143246775</v>
      </c>
      <c r="B246">
        <v>22876</v>
      </c>
      <c r="C246">
        <v>202207</v>
      </c>
      <c r="D246">
        <v>22876</v>
      </c>
    </row>
    <row r="247" spans="1:4">
      <c r="A247">
        <v>143246782</v>
      </c>
      <c r="B247">
        <v>335</v>
      </c>
      <c r="C247">
        <v>202207</v>
      </c>
      <c r="D247">
        <v>335</v>
      </c>
    </row>
    <row r="248" spans="1:4">
      <c r="A248">
        <v>143246791</v>
      </c>
      <c r="B248">
        <v>8502</v>
      </c>
      <c r="C248">
        <v>202207</v>
      </c>
      <c r="D248">
        <v>8539</v>
      </c>
    </row>
    <row r="249" spans="1:4">
      <c r="A249">
        <v>143246793</v>
      </c>
      <c r="B249">
        <v>859</v>
      </c>
      <c r="C249">
        <v>202207</v>
      </c>
      <c r="D249">
        <v>859</v>
      </c>
    </row>
    <row r="250" spans="1:4">
      <c r="A250">
        <v>143246802</v>
      </c>
      <c r="B250">
        <v>557</v>
      </c>
      <c r="C250">
        <v>202207</v>
      </c>
      <c r="D250">
        <v>557</v>
      </c>
    </row>
    <row r="251" spans="1:4">
      <c r="A251">
        <v>143246803</v>
      </c>
      <c r="B251">
        <v>891</v>
      </c>
      <c r="C251">
        <v>202207</v>
      </c>
      <c r="D251">
        <v>891</v>
      </c>
    </row>
    <row r="252" spans="1:4">
      <c r="A252">
        <v>143246815</v>
      </c>
      <c r="B252">
        <v>4270</v>
      </c>
      <c r="C252">
        <v>202207</v>
      </c>
      <c r="D252">
        <v>4270</v>
      </c>
    </row>
    <row r="253" spans="1:4">
      <c r="A253">
        <v>143246816</v>
      </c>
      <c r="B253">
        <v>12734</v>
      </c>
      <c r="C253">
        <v>202207</v>
      </c>
      <c r="D253">
        <v>12734</v>
      </c>
    </row>
    <row r="254" spans="1:4">
      <c r="A254">
        <v>143246818</v>
      </c>
      <c r="B254">
        <v>13141</v>
      </c>
      <c r="C254">
        <v>202207</v>
      </c>
      <c r="D254">
        <v>13141</v>
      </c>
    </row>
    <row r="255" spans="1:4">
      <c r="A255">
        <v>143246822</v>
      </c>
      <c r="B255">
        <v>1742</v>
      </c>
      <c r="C255">
        <v>202207</v>
      </c>
      <c r="D255">
        <v>1742</v>
      </c>
    </row>
    <row r="256" spans="1:4">
      <c r="A256">
        <v>143246823</v>
      </c>
      <c r="B256">
        <v>5012</v>
      </c>
      <c r="C256">
        <v>202207</v>
      </c>
      <c r="D256">
        <v>5012</v>
      </c>
    </row>
    <row r="257" spans="1:4">
      <c r="A257">
        <v>143246827</v>
      </c>
      <c r="B257">
        <v>40647</v>
      </c>
      <c r="C257">
        <v>202207</v>
      </c>
      <c r="D257">
        <v>40647</v>
      </c>
    </row>
    <row r="258" spans="1:4">
      <c r="A258">
        <v>143256847</v>
      </c>
      <c r="B258">
        <v>367</v>
      </c>
      <c r="C258">
        <v>202207</v>
      </c>
      <c r="D258">
        <v>534</v>
      </c>
    </row>
    <row r="259" spans="1:4">
      <c r="A259">
        <v>143256866</v>
      </c>
      <c r="B259">
        <v>1692</v>
      </c>
      <c r="C259">
        <v>202207</v>
      </c>
      <c r="D259">
        <v>1692</v>
      </c>
    </row>
    <row r="260" spans="1:4">
      <c r="A260">
        <v>143256870</v>
      </c>
      <c r="B260">
        <v>84</v>
      </c>
      <c r="C260">
        <v>202207</v>
      </c>
      <c r="D260">
        <v>84</v>
      </c>
    </row>
    <row r="261" spans="1:4">
      <c r="A261">
        <v>143256876</v>
      </c>
      <c r="B261">
        <v>6572</v>
      </c>
      <c r="C261">
        <v>202207</v>
      </c>
      <c r="D261">
        <v>6572</v>
      </c>
    </row>
    <row r="262" spans="1:4">
      <c r="A262">
        <v>143256877</v>
      </c>
      <c r="B262">
        <v>4803</v>
      </c>
      <c r="C262">
        <v>202207</v>
      </c>
      <c r="D262">
        <v>4803</v>
      </c>
    </row>
    <row r="263" spans="1:4">
      <c r="A263">
        <v>143256891</v>
      </c>
      <c r="B263">
        <v>1225</v>
      </c>
      <c r="C263">
        <v>202209</v>
      </c>
      <c r="D263">
        <v>1225</v>
      </c>
    </row>
    <row r="264" spans="1:4">
      <c r="A264">
        <v>143256898</v>
      </c>
      <c r="B264">
        <v>2414</v>
      </c>
      <c r="C264">
        <v>202207</v>
      </c>
      <c r="D264">
        <v>2414</v>
      </c>
    </row>
    <row r="265" spans="1:4">
      <c r="A265">
        <v>143256899</v>
      </c>
      <c r="B265">
        <v>116</v>
      </c>
      <c r="C265">
        <v>202207</v>
      </c>
      <c r="D265">
        <v>116</v>
      </c>
    </row>
    <row r="266" spans="1:4">
      <c r="A266">
        <v>143256901</v>
      </c>
      <c r="B266">
        <v>419</v>
      </c>
      <c r="C266">
        <v>202207</v>
      </c>
      <c r="D266">
        <v>419</v>
      </c>
    </row>
    <row r="267" spans="1:4">
      <c r="A267">
        <v>143256906</v>
      </c>
      <c r="B267">
        <v>362</v>
      </c>
      <c r="C267">
        <v>202208</v>
      </c>
      <c r="D267">
        <v>325</v>
      </c>
    </row>
    <row r="268" spans="1:4">
      <c r="A268">
        <v>143256927</v>
      </c>
      <c r="B268">
        <v>850</v>
      </c>
      <c r="C268">
        <v>202208</v>
      </c>
      <c r="D268">
        <v>850</v>
      </c>
    </row>
    <row r="269" spans="1:4">
      <c r="A269">
        <v>143256939</v>
      </c>
      <c r="B269">
        <v>4803</v>
      </c>
      <c r="C269">
        <v>202207</v>
      </c>
      <c r="D269">
        <v>4803</v>
      </c>
    </row>
    <row r="270" spans="1:4">
      <c r="A270">
        <v>143256941</v>
      </c>
      <c r="B270">
        <v>209</v>
      </c>
      <c r="C270">
        <v>202207</v>
      </c>
      <c r="D270">
        <v>209</v>
      </c>
    </row>
    <row r="271" spans="1:4">
      <c r="A271">
        <v>143266956</v>
      </c>
      <c r="B271">
        <v>232</v>
      </c>
      <c r="C271">
        <v>202207</v>
      </c>
      <c r="D271">
        <v>232</v>
      </c>
    </row>
    <row r="272" spans="1:4">
      <c r="A272">
        <v>143266966</v>
      </c>
      <c r="B272">
        <v>18098</v>
      </c>
      <c r="C272">
        <v>202207</v>
      </c>
      <c r="D272">
        <v>18098</v>
      </c>
    </row>
    <row r="273" spans="1:4">
      <c r="A273">
        <v>143266968</v>
      </c>
      <c r="B273">
        <v>1838</v>
      </c>
      <c r="C273">
        <v>202207</v>
      </c>
      <c r="D273">
        <v>1838</v>
      </c>
    </row>
    <row r="274" spans="1:4">
      <c r="A274">
        <v>143266973</v>
      </c>
      <c r="B274">
        <v>3713</v>
      </c>
      <c r="C274">
        <v>202207</v>
      </c>
      <c r="D274">
        <v>3713</v>
      </c>
    </row>
    <row r="275" spans="1:4">
      <c r="A275">
        <v>143266980</v>
      </c>
      <c r="B275">
        <v>1300</v>
      </c>
      <c r="C275">
        <v>202207</v>
      </c>
      <c r="D275">
        <v>1300</v>
      </c>
    </row>
    <row r="276" spans="1:4">
      <c r="A276">
        <v>143266988</v>
      </c>
      <c r="B276">
        <v>2715</v>
      </c>
      <c r="C276">
        <v>202207</v>
      </c>
      <c r="D276">
        <v>2715</v>
      </c>
    </row>
    <row r="277" spans="1:4">
      <c r="A277">
        <v>143266989</v>
      </c>
      <c r="B277">
        <v>4455</v>
      </c>
      <c r="C277">
        <v>202207</v>
      </c>
      <c r="D277">
        <v>4455</v>
      </c>
    </row>
    <row r="278" spans="1:4">
      <c r="A278">
        <v>143267002</v>
      </c>
      <c r="B278">
        <v>827</v>
      </c>
      <c r="C278">
        <v>202207</v>
      </c>
      <c r="D278">
        <v>1184</v>
      </c>
    </row>
    <row r="279" spans="1:4">
      <c r="A279">
        <v>143267004</v>
      </c>
      <c r="B279">
        <v>929</v>
      </c>
      <c r="C279">
        <v>202207</v>
      </c>
      <c r="D279">
        <v>929</v>
      </c>
    </row>
    <row r="280" spans="1:4">
      <c r="A280">
        <v>143267009</v>
      </c>
      <c r="B280">
        <v>2228</v>
      </c>
      <c r="C280">
        <v>202207</v>
      </c>
      <c r="D280">
        <v>2228</v>
      </c>
    </row>
    <row r="281" spans="1:4">
      <c r="A281">
        <v>143267010</v>
      </c>
      <c r="B281">
        <v>2973</v>
      </c>
      <c r="C281">
        <v>202207</v>
      </c>
      <c r="D281">
        <v>2980</v>
      </c>
    </row>
    <row r="282" spans="1:4">
      <c r="A282">
        <v>143267030</v>
      </c>
      <c r="B282">
        <v>651</v>
      </c>
      <c r="C282">
        <v>202207</v>
      </c>
      <c r="D282">
        <v>651</v>
      </c>
    </row>
    <row r="283" spans="1:4">
      <c r="A283">
        <v>143267031</v>
      </c>
      <c r="B283">
        <v>2320</v>
      </c>
      <c r="C283">
        <v>202207</v>
      </c>
      <c r="D283">
        <v>2320</v>
      </c>
    </row>
    <row r="284" spans="1:4">
      <c r="A284">
        <v>143267033</v>
      </c>
      <c r="B284">
        <v>488</v>
      </c>
      <c r="C284">
        <v>202207</v>
      </c>
      <c r="D284">
        <v>488</v>
      </c>
    </row>
    <row r="285" spans="1:4">
      <c r="A285">
        <v>143267039</v>
      </c>
      <c r="B285">
        <v>13753</v>
      </c>
      <c r="C285">
        <v>202207</v>
      </c>
      <c r="D285">
        <v>13753</v>
      </c>
    </row>
    <row r="286" spans="1:4">
      <c r="A286">
        <v>143277052</v>
      </c>
      <c r="B286">
        <v>3388</v>
      </c>
      <c r="C286">
        <v>202207</v>
      </c>
      <c r="D286">
        <v>3388</v>
      </c>
    </row>
    <row r="287" spans="1:4">
      <c r="A287">
        <v>143277053</v>
      </c>
      <c r="B287">
        <v>1857</v>
      </c>
      <c r="C287">
        <v>202207</v>
      </c>
      <c r="D287">
        <v>1857</v>
      </c>
    </row>
    <row r="288" spans="1:4">
      <c r="A288">
        <v>143277067</v>
      </c>
      <c r="B288">
        <v>1114</v>
      </c>
      <c r="C288">
        <v>202208</v>
      </c>
      <c r="D288">
        <v>1114</v>
      </c>
    </row>
    <row r="289" spans="1:4">
      <c r="A289">
        <v>143277074</v>
      </c>
      <c r="B289">
        <v>372</v>
      </c>
      <c r="C289">
        <v>202207</v>
      </c>
      <c r="D289">
        <v>372</v>
      </c>
    </row>
    <row r="290" spans="1:4">
      <c r="A290">
        <v>143277075</v>
      </c>
      <c r="B290">
        <v>418</v>
      </c>
      <c r="C290">
        <v>202207</v>
      </c>
      <c r="D290">
        <v>418</v>
      </c>
    </row>
    <row r="291" spans="1:4">
      <c r="A291">
        <v>143277088</v>
      </c>
      <c r="B291">
        <v>5941</v>
      </c>
      <c r="C291">
        <v>202207</v>
      </c>
      <c r="D291">
        <v>5941</v>
      </c>
    </row>
    <row r="292" spans="1:4">
      <c r="A292">
        <v>143277089</v>
      </c>
      <c r="B292">
        <v>3156</v>
      </c>
      <c r="C292">
        <v>202207</v>
      </c>
      <c r="D292">
        <v>3156</v>
      </c>
    </row>
    <row r="293" spans="1:4">
      <c r="A293">
        <v>143277090</v>
      </c>
      <c r="B293">
        <v>32922</v>
      </c>
      <c r="C293">
        <v>202207</v>
      </c>
      <c r="D293">
        <v>32922</v>
      </c>
    </row>
    <row r="294" spans="1:4">
      <c r="A294">
        <v>143277091</v>
      </c>
      <c r="B294">
        <v>3008</v>
      </c>
      <c r="C294">
        <v>202208</v>
      </c>
      <c r="D294">
        <v>3008</v>
      </c>
    </row>
    <row r="295" spans="1:4">
      <c r="A295">
        <v>143277097</v>
      </c>
      <c r="B295">
        <v>130</v>
      </c>
      <c r="C295">
        <v>202208</v>
      </c>
      <c r="D295">
        <v>130</v>
      </c>
    </row>
    <row r="296" spans="1:4">
      <c r="A296">
        <v>143277109</v>
      </c>
      <c r="B296">
        <v>3537</v>
      </c>
      <c r="C296">
        <v>202207</v>
      </c>
      <c r="D296">
        <v>3537</v>
      </c>
    </row>
    <row r="297" spans="1:4">
      <c r="A297">
        <v>143277110</v>
      </c>
      <c r="B297">
        <v>11880</v>
      </c>
      <c r="C297">
        <v>202207</v>
      </c>
      <c r="D297">
        <v>11880</v>
      </c>
    </row>
    <row r="298" spans="1:4">
      <c r="A298">
        <v>143277123</v>
      </c>
      <c r="B298">
        <v>2785</v>
      </c>
      <c r="C298">
        <v>202207</v>
      </c>
      <c r="D298">
        <v>2785</v>
      </c>
    </row>
    <row r="299" spans="1:4">
      <c r="A299">
        <v>143277124</v>
      </c>
      <c r="B299">
        <v>3040</v>
      </c>
      <c r="C299">
        <v>202207</v>
      </c>
      <c r="D299">
        <v>3040</v>
      </c>
    </row>
    <row r="300" spans="1:4">
      <c r="A300">
        <v>143287132</v>
      </c>
      <c r="B300">
        <v>1996</v>
      </c>
      <c r="C300">
        <v>202207</v>
      </c>
      <c r="D300">
        <v>1996</v>
      </c>
    </row>
    <row r="301" spans="1:4">
      <c r="A301">
        <v>143287133</v>
      </c>
      <c r="B301">
        <v>1114</v>
      </c>
      <c r="C301">
        <v>202207</v>
      </c>
      <c r="D301">
        <v>1114</v>
      </c>
    </row>
    <row r="302" spans="1:4">
      <c r="A302">
        <v>143287136</v>
      </c>
      <c r="B302">
        <v>70</v>
      </c>
      <c r="C302">
        <v>202208</v>
      </c>
      <c r="D302">
        <v>70</v>
      </c>
    </row>
    <row r="303" spans="1:4">
      <c r="A303">
        <v>143287152</v>
      </c>
      <c r="B303">
        <v>1673</v>
      </c>
      <c r="C303">
        <v>202208</v>
      </c>
      <c r="D303">
        <v>1673</v>
      </c>
    </row>
    <row r="304" spans="1:4">
      <c r="A304">
        <v>143287159</v>
      </c>
      <c r="B304">
        <v>2749</v>
      </c>
      <c r="C304">
        <v>202207</v>
      </c>
      <c r="D304">
        <v>2749</v>
      </c>
    </row>
    <row r="305" spans="1:4">
      <c r="A305">
        <v>143287163</v>
      </c>
      <c r="B305">
        <v>1672</v>
      </c>
      <c r="C305">
        <v>202207</v>
      </c>
      <c r="D305">
        <v>1672</v>
      </c>
    </row>
    <row r="306" spans="1:4">
      <c r="A306">
        <v>143287169</v>
      </c>
      <c r="B306">
        <v>1152</v>
      </c>
      <c r="C306">
        <v>202208</v>
      </c>
      <c r="D306">
        <v>1152</v>
      </c>
    </row>
    <row r="307" spans="1:4">
      <c r="A307">
        <v>143287172</v>
      </c>
      <c r="B307">
        <v>891</v>
      </c>
      <c r="C307">
        <v>202208</v>
      </c>
      <c r="D307">
        <v>891</v>
      </c>
    </row>
    <row r="308" spans="1:4">
      <c r="A308">
        <v>143287173</v>
      </c>
      <c r="B308">
        <v>669</v>
      </c>
      <c r="C308">
        <v>202208</v>
      </c>
      <c r="D308">
        <v>669</v>
      </c>
    </row>
    <row r="309" spans="1:4">
      <c r="A309">
        <v>143287181</v>
      </c>
      <c r="B309">
        <v>5756</v>
      </c>
      <c r="C309">
        <v>202208</v>
      </c>
      <c r="D309">
        <v>5756</v>
      </c>
    </row>
    <row r="310" spans="1:4">
      <c r="A310">
        <v>143287185</v>
      </c>
      <c r="B310">
        <v>1347</v>
      </c>
      <c r="C310">
        <v>202208</v>
      </c>
      <c r="D310">
        <v>1347</v>
      </c>
    </row>
    <row r="311" spans="1:4">
      <c r="A311">
        <v>143287208</v>
      </c>
      <c r="B311">
        <v>10804</v>
      </c>
      <c r="C311">
        <v>202208</v>
      </c>
      <c r="D311">
        <v>13180</v>
      </c>
    </row>
    <row r="312" spans="1:4">
      <c r="A312">
        <v>143287212</v>
      </c>
      <c r="B312">
        <v>5942</v>
      </c>
      <c r="C312">
        <v>202208</v>
      </c>
      <c r="D312">
        <v>5942</v>
      </c>
    </row>
    <row r="313" spans="1:4">
      <c r="A313">
        <v>143287213</v>
      </c>
      <c r="B313">
        <v>1253</v>
      </c>
      <c r="C313">
        <v>202208</v>
      </c>
      <c r="D313">
        <v>1253</v>
      </c>
    </row>
    <row r="314" spans="1:4">
      <c r="A314">
        <v>143287214</v>
      </c>
      <c r="B314">
        <v>3156</v>
      </c>
      <c r="C314">
        <v>202208</v>
      </c>
      <c r="D314">
        <v>3156</v>
      </c>
    </row>
    <row r="315" spans="1:4">
      <c r="A315">
        <v>143287219</v>
      </c>
      <c r="B315">
        <v>70</v>
      </c>
      <c r="C315">
        <v>202208</v>
      </c>
      <c r="D315">
        <v>70</v>
      </c>
    </row>
    <row r="316" spans="1:4">
      <c r="A316">
        <v>143287220</v>
      </c>
      <c r="B316">
        <v>7219</v>
      </c>
      <c r="C316">
        <v>202208</v>
      </c>
      <c r="D316">
        <v>7219</v>
      </c>
    </row>
    <row r="317" spans="1:4">
      <c r="A317">
        <v>143287222</v>
      </c>
      <c r="B317">
        <v>5050</v>
      </c>
      <c r="C317">
        <v>202208</v>
      </c>
      <c r="D317">
        <v>5050</v>
      </c>
    </row>
    <row r="318" spans="1:4">
      <c r="A318">
        <v>143287223</v>
      </c>
      <c r="B318">
        <v>1782</v>
      </c>
      <c r="C318">
        <v>202208</v>
      </c>
      <c r="D318">
        <v>1782</v>
      </c>
    </row>
    <row r="319" spans="1:4">
      <c r="A319">
        <v>143287228</v>
      </c>
      <c r="B319">
        <v>2228</v>
      </c>
      <c r="C319">
        <v>202208</v>
      </c>
      <c r="D319">
        <v>2228</v>
      </c>
    </row>
    <row r="320" spans="1:4">
      <c r="A320">
        <v>143287229</v>
      </c>
      <c r="B320">
        <v>3880</v>
      </c>
      <c r="C320">
        <v>202208</v>
      </c>
      <c r="D320">
        <v>3880</v>
      </c>
    </row>
    <row r="321" spans="1:4">
      <c r="A321">
        <v>143287248</v>
      </c>
      <c r="B321">
        <v>2924</v>
      </c>
      <c r="C321">
        <v>202208</v>
      </c>
      <c r="D321">
        <v>2924</v>
      </c>
    </row>
    <row r="322" spans="1:4">
      <c r="A322">
        <v>143287249</v>
      </c>
      <c r="B322">
        <v>195</v>
      </c>
      <c r="C322">
        <v>202208</v>
      </c>
      <c r="D322">
        <v>195</v>
      </c>
    </row>
    <row r="323" spans="1:4">
      <c r="A323">
        <v>143287252</v>
      </c>
      <c r="B323">
        <v>9169</v>
      </c>
      <c r="C323">
        <v>202208</v>
      </c>
      <c r="D323">
        <v>9169</v>
      </c>
    </row>
    <row r="324" spans="1:4">
      <c r="A324">
        <v>143287255</v>
      </c>
      <c r="B324">
        <v>26171</v>
      </c>
      <c r="C324">
        <v>202208</v>
      </c>
      <c r="D324">
        <v>26171</v>
      </c>
    </row>
    <row r="325" spans="1:4">
      <c r="A325">
        <v>143287262</v>
      </c>
      <c r="B325">
        <v>743</v>
      </c>
      <c r="C325">
        <v>202208</v>
      </c>
      <c r="D325">
        <v>743</v>
      </c>
    </row>
    <row r="326" spans="1:4">
      <c r="A326">
        <v>143297271</v>
      </c>
      <c r="B326">
        <v>5198</v>
      </c>
      <c r="C326">
        <v>202208</v>
      </c>
      <c r="D326">
        <v>5198</v>
      </c>
    </row>
    <row r="327" spans="1:4">
      <c r="A327">
        <v>143297272</v>
      </c>
      <c r="B327">
        <v>4325</v>
      </c>
      <c r="C327">
        <v>202208</v>
      </c>
      <c r="D327">
        <v>4325</v>
      </c>
    </row>
    <row r="328" spans="1:4">
      <c r="A328">
        <v>143297273</v>
      </c>
      <c r="B328">
        <v>1742</v>
      </c>
      <c r="C328">
        <v>202208</v>
      </c>
      <c r="D328">
        <v>1742</v>
      </c>
    </row>
    <row r="329" spans="1:4">
      <c r="A329">
        <v>143297289</v>
      </c>
      <c r="B329">
        <v>12548</v>
      </c>
      <c r="C329">
        <v>202208</v>
      </c>
      <c r="D329">
        <v>12622</v>
      </c>
    </row>
    <row r="330" spans="1:4">
      <c r="A330">
        <v>143297291</v>
      </c>
      <c r="B330">
        <v>3631</v>
      </c>
      <c r="C330">
        <v>202208</v>
      </c>
      <c r="D330">
        <v>3631</v>
      </c>
    </row>
    <row r="331" spans="1:4">
      <c r="A331">
        <v>143297303</v>
      </c>
      <c r="B331">
        <v>3300</v>
      </c>
      <c r="C331">
        <v>202208</v>
      </c>
      <c r="D331">
        <v>3300</v>
      </c>
    </row>
    <row r="332" spans="1:4">
      <c r="A332">
        <v>143297306</v>
      </c>
      <c r="B332">
        <v>335</v>
      </c>
      <c r="C332">
        <v>202208</v>
      </c>
      <c r="D332">
        <v>335</v>
      </c>
    </row>
    <row r="333" spans="1:4">
      <c r="A333">
        <v>143297322</v>
      </c>
      <c r="B333">
        <v>8154</v>
      </c>
      <c r="C333">
        <v>202208</v>
      </c>
      <c r="D333">
        <v>8154</v>
      </c>
    </row>
    <row r="334" spans="1:4">
      <c r="A334">
        <v>143297326</v>
      </c>
      <c r="B334">
        <v>17039</v>
      </c>
      <c r="C334">
        <v>202208</v>
      </c>
      <c r="D334">
        <v>17076</v>
      </c>
    </row>
    <row r="335" spans="1:4">
      <c r="A335">
        <v>143297348</v>
      </c>
      <c r="B335">
        <v>14107</v>
      </c>
      <c r="C335">
        <v>202208</v>
      </c>
      <c r="D335">
        <v>14107</v>
      </c>
    </row>
    <row r="336" spans="1:4">
      <c r="A336">
        <v>143297349</v>
      </c>
      <c r="B336">
        <v>4896</v>
      </c>
      <c r="C336">
        <v>202208</v>
      </c>
      <c r="D336">
        <v>4896</v>
      </c>
    </row>
    <row r="337" spans="1:4">
      <c r="A337">
        <v>143297351</v>
      </c>
      <c r="B337">
        <v>1394</v>
      </c>
      <c r="C337">
        <v>202208</v>
      </c>
      <c r="D337">
        <v>1394</v>
      </c>
    </row>
    <row r="338" spans="1:4">
      <c r="A338">
        <v>143297353</v>
      </c>
      <c r="B338">
        <v>280</v>
      </c>
      <c r="C338">
        <v>202208</v>
      </c>
      <c r="D338">
        <v>280</v>
      </c>
    </row>
    <row r="339" spans="1:4">
      <c r="A339">
        <v>143297362</v>
      </c>
      <c r="B339">
        <v>4585</v>
      </c>
      <c r="C339">
        <v>202208</v>
      </c>
      <c r="D339">
        <v>4585</v>
      </c>
    </row>
    <row r="340" spans="1:4">
      <c r="A340">
        <v>143297375</v>
      </c>
      <c r="B340">
        <v>3180</v>
      </c>
      <c r="C340">
        <v>202208</v>
      </c>
      <c r="D340">
        <v>3180</v>
      </c>
    </row>
    <row r="341" spans="1:4">
      <c r="A341">
        <v>143297376</v>
      </c>
      <c r="B341">
        <v>6312</v>
      </c>
      <c r="C341">
        <v>202208</v>
      </c>
      <c r="D341">
        <v>6312</v>
      </c>
    </row>
    <row r="342" spans="1:4">
      <c r="A342">
        <v>143297384</v>
      </c>
      <c r="B342">
        <v>7807</v>
      </c>
      <c r="C342">
        <v>202208</v>
      </c>
      <c r="D342">
        <v>7807</v>
      </c>
    </row>
    <row r="343" spans="1:4">
      <c r="A343">
        <v>143297385</v>
      </c>
      <c r="B343">
        <v>32434</v>
      </c>
      <c r="C343">
        <v>202208</v>
      </c>
      <c r="D343">
        <v>32434</v>
      </c>
    </row>
    <row r="344" spans="1:4">
      <c r="A344">
        <v>143297387</v>
      </c>
      <c r="B344">
        <v>2631</v>
      </c>
      <c r="C344">
        <v>202209</v>
      </c>
      <c r="D344">
        <v>2631</v>
      </c>
    </row>
    <row r="345" spans="1:4">
      <c r="A345">
        <v>143297394</v>
      </c>
      <c r="B345">
        <v>836</v>
      </c>
      <c r="C345">
        <v>202208</v>
      </c>
      <c r="D345">
        <v>836</v>
      </c>
    </row>
    <row r="346" spans="1:4">
      <c r="A346">
        <v>143297395</v>
      </c>
      <c r="B346">
        <v>1337</v>
      </c>
      <c r="C346">
        <v>202208</v>
      </c>
      <c r="D346">
        <v>1420</v>
      </c>
    </row>
    <row r="347" spans="1:4">
      <c r="A347">
        <v>143297398</v>
      </c>
      <c r="B347">
        <v>17818</v>
      </c>
      <c r="C347">
        <v>202208</v>
      </c>
      <c r="D347">
        <v>17818</v>
      </c>
    </row>
    <row r="348" spans="1:4">
      <c r="A348">
        <v>143297399</v>
      </c>
      <c r="B348">
        <v>149</v>
      </c>
      <c r="C348">
        <v>202208</v>
      </c>
      <c r="D348">
        <v>149</v>
      </c>
    </row>
    <row r="349" spans="1:4">
      <c r="A349">
        <v>143307413</v>
      </c>
      <c r="B349">
        <v>3364</v>
      </c>
      <c r="C349">
        <v>202208</v>
      </c>
      <c r="D349">
        <v>3364</v>
      </c>
    </row>
    <row r="350" spans="1:4">
      <c r="A350">
        <v>143307414</v>
      </c>
      <c r="B350">
        <v>557</v>
      </c>
      <c r="C350">
        <v>202208</v>
      </c>
      <c r="D350">
        <v>557</v>
      </c>
    </row>
    <row r="351" spans="1:4">
      <c r="A351">
        <v>143307424</v>
      </c>
      <c r="B351">
        <v>2173</v>
      </c>
      <c r="C351">
        <v>202210</v>
      </c>
      <c r="D351">
        <v>2173</v>
      </c>
    </row>
    <row r="352" spans="1:4">
      <c r="A352">
        <v>143307434</v>
      </c>
      <c r="B352">
        <v>4455</v>
      </c>
      <c r="C352">
        <v>202208</v>
      </c>
      <c r="D352">
        <v>4455</v>
      </c>
    </row>
    <row r="353" spans="1:4">
      <c r="A353">
        <v>143307435</v>
      </c>
      <c r="B353">
        <v>4929</v>
      </c>
      <c r="C353">
        <v>202208</v>
      </c>
      <c r="D353">
        <v>4929</v>
      </c>
    </row>
    <row r="354" spans="1:4">
      <c r="A354">
        <v>143307439</v>
      </c>
      <c r="B354">
        <v>1207</v>
      </c>
      <c r="C354">
        <v>202208</v>
      </c>
      <c r="D354">
        <v>1207</v>
      </c>
    </row>
    <row r="355" spans="1:4">
      <c r="A355">
        <v>143307440</v>
      </c>
      <c r="B355">
        <v>14141</v>
      </c>
      <c r="C355">
        <v>202209</v>
      </c>
      <c r="D355">
        <v>6682</v>
      </c>
    </row>
    <row r="356" spans="1:4">
      <c r="A356">
        <v>143307441</v>
      </c>
      <c r="B356">
        <v>30625</v>
      </c>
      <c r="C356">
        <v>202208</v>
      </c>
      <c r="D356">
        <v>30625</v>
      </c>
    </row>
    <row r="357" spans="1:4">
      <c r="A357">
        <v>143307442</v>
      </c>
      <c r="B357">
        <v>836</v>
      </c>
      <c r="C357">
        <v>202208</v>
      </c>
      <c r="D357">
        <v>836</v>
      </c>
    </row>
    <row r="358" spans="1:4">
      <c r="A358">
        <v>143307449</v>
      </c>
      <c r="B358">
        <v>6776</v>
      </c>
      <c r="C358">
        <v>202208</v>
      </c>
      <c r="D358">
        <v>6776</v>
      </c>
    </row>
    <row r="359" spans="1:4">
      <c r="A359">
        <v>143307451</v>
      </c>
      <c r="B359">
        <v>4131</v>
      </c>
      <c r="C359">
        <v>202208</v>
      </c>
      <c r="D359">
        <v>4131</v>
      </c>
    </row>
    <row r="360" spans="1:4">
      <c r="A360">
        <v>143307461</v>
      </c>
      <c r="B360">
        <v>891</v>
      </c>
      <c r="C360">
        <v>202208</v>
      </c>
      <c r="D360">
        <v>891</v>
      </c>
    </row>
    <row r="361" spans="1:4">
      <c r="A361">
        <v>143307474</v>
      </c>
      <c r="B361">
        <v>439</v>
      </c>
      <c r="C361">
        <v>202209</v>
      </c>
      <c r="D361">
        <v>439</v>
      </c>
    </row>
    <row r="362" spans="1:4">
      <c r="A362">
        <v>143307475</v>
      </c>
      <c r="B362">
        <v>5013</v>
      </c>
      <c r="C362">
        <v>202208</v>
      </c>
      <c r="D362">
        <v>5013</v>
      </c>
    </row>
    <row r="363" spans="1:4">
      <c r="A363">
        <v>143307480</v>
      </c>
      <c r="B363">
        <v>12201</v>
      </c>
      <c r="C363">
        <v>202208</v>
      </c>
      <c r="D363">
        <v>12201</v>
      </c>
    </row>
    <row r="364" spans="1:4">
      <c r="A364">
        <v>143307481</v>
      </c>
      <c r="B364">
        <v>3351</v>
      </c>
      <c r="C364">
        <v>202208</v>
      </c>
      <c r="D364">
        <v>3351</v>
      </c>
    </row>
    <row r="365" spans="1:4">
      <c r="A365">
        <v>143307486</v>
      </c>
      <c r="B365">
        <v>836</v>
      </c>
      <c r="C365">
        <v>202208</v>
      </c>
      <c r="D365">
        <v>836</v>
      </c>
    </row>
    <row r="366" spans="1:4">
      <c r="A366">
        <v>143307487</v>
      </c>
      <c r="B366">
        <v>3412</v>
      </c>
      <c r="C366">
        <v>202208</v>
      </c>
      <c r="D366">
        <v>3412</v>
      </c>
    </row>
    <row r="367" spans="1:4">
      <c r="A367">
        <v>143307489</v>
      </c>
      <c r="B367">
        <v>140</v>
      </c>
      <c r="C367">
        <v>202208</v>
      </c>
      <c r="D367">
        <v>140</v>
      </c>
    </row>
    <row r="368" spans="1:4">
      <c r="A368">
        <v>143307490</v>
      </c>
      <c r="B368">
        <v>280</v>
      </c>
      <c r="C368">
        <v>202208</v>
      </c>
      <c r="D368">
        <v>280</v>
      </c>
    </row>
    <row r="369" spans="1:4">
      <c r="A369">
        <v>143307494</v>
      </c>
      <c r="B369">
        <v>4585</v>
      </c>
      <c r="C369">
        <v>202208</v>
      </c>
      <c r="D369">
        <v>4585</v>
      </c>
    </row>
    <row r="370" spans="1:4">
      <c r="A370">
        <v>143307502</v>
      </c>
      <c r="B370">
        <v>3341</v>
      </c>
      <c r="C370">
        <v>202208</v>
      </c>
      <c r="D370">
        <v>3341</v>
      </c>
    </row>
    <row r="371" spans="1:4">
      <c r="A371">
        <v>143307513</v>
      </c>
      <c r="B371">
        <v>1114</v>
      </c>
      <c r="C371">
        <v>202208</v>
      </c>
      <c r="D371">
        <v>1114</v>
      </c>
    </row>
    <row r="372" spans="1:4">
      <c r="A372">
        <v>143307514</v>
      </c>
      <c r="B372">
        <v>1950</v>
      </c>
      <c r="C372">
        <v>202208</v>
      </c>
      <c r="D372">
        <v>1950</v>
      </c>
    </row>
    <row r="373" spans="1:4">
      <c r="A373">
        <v>143307519</v>
      </c>
      <c r="B373">
        <v>5012</v>
      </c>
      <c r="C373">
        <v>202208</v>
      </c>
      <c r="D373">
        <v>1253</v>
      </c>
    </row>
    <row r="374" spans="1:4">
      <c r="A374">
        <v>143307521</v>
      </c>
      <c r="B374">
        <v>3718</v>
      </c>
      <c r="C374">
        <v>202208</v>
      </c>
      <c r="D374">
        <v>3718</v>
      </c>
    </row>
    <row r="375" spans="1:4">
      <c r="A375">
        <v>143307522</v>
      </c>
      <c r="B375">
        <v>32574</v>
      </c>
      <c r="C375">
        <v>202208</v>
      </c>
      <c r="D375">
        <v>32574</v>
      </c>
    </row>
    <row r="376" spans="1:4">
      <c r="A376">
        <v>143307525</v>
      </c>
      <c r="B376">
        <v>1003</v>
      </c>
      <c r="C376">
        <v>202208</v>
      </c>
      <c r="D376">
        <v>1003</v>
      </c>
    </row>
    <row r="377" spans="1:4">
      <c r="A377">
        <v>143307527</v>
      </c>
      <c r="B377">
        <v>5198</v>
      </c>
      <c r="C377">
        <v>202208</v>
      </c>
      <c r="D377">
        <v>5198</v>
      </c>
    </row>
    <row r="378" spans="1:4">
      <c r="A378">
        <v>143307530</v>
      </c>
      <c r="B378">
        <v>140</v>
      </c>
      <c r="C378">
        <v>202208</v>
      </c>
      <c r="D378">
        <v>140</v>
      </c>
    </row>
    <row r="379" spans="1:4">
      <c r="A379">
        <v>143317554</v>
      </c>
      <c r="B379">
        <v>16334</v>
      </c>
      <c r="C379">
        <v>202208</v>
      </c>
      <c r="D379">
        <v>16334</v>
      </c>
    </row>
    <row r="380" spans="1:4">
      <c r="A380">
        <v>143317555</v>
      </c>
      <c r="B380">
        <v>3156</v>
      </c>
      <c r="C380">
        <v>202208</v>
      </c>
      <c r="D380">
        <v>3156</v>
      </c>
    </row>
    <row r="381" spans="1:4">
      <c r="A381">
        <v>143317561</v>
      </c>
      <c r="B381">
        <v>1532</v>
      </c>
      <c r="C381">
        <v>202208</v>
      </c>
      <c r="D381">
        <v>1532</v>
      </c>
    </row>
    <row r="382" spans="1:4">
      <c r="A382">
        <v>143317576</v>
      </c>
      <c r="B382">
        <v>8353</v>
      </c>
      <c r="C382">
        <v>202208</v>
      </c>
      <c r="D382">
        <v>8353</v>
      </c>
    </row>
    <row r="383" spans="1:4">
      <c r="A383">
        <v>143317577</v>
      </c>
      <c r="B383">
        <v>3251</v>
      </c>
      <c r="C383">
        <v>202208</v>
      </c>
      <c r="D383">
        <v>3459</v>
      </c>
    </row>
    <row r="384" spans="1:4">
      <c r="A384">
        <v>143317587</v>
      </c>
      <c r="B384">
        <v>1300</v>
      </c>
      <c r="C384">
        <v>202208</v>
      </c>
      <c r="D384">
        <v>1300</v>
      </c>
    </row>
    <row r="385" spans="1:4">
      <c r="A385">
        <v>143317588</v>
      </c>
      <c r="B385">
        <v>4363</v>
      </c>
      <c r="C385">
        <v>202208</v>
      </c>
      <c r="D385">
        <v>4363</v>
      </c>
    </row>
    <row r="386" spans="1:4">
      <c r="A386">
        <v>143317598</v>
      </c>
      <c r="B386">
        <v>140</v>
      </c>
      <c r="C386">
        <v>202208</v>
      </c>
      <c r="D386">
        <v>140</v>
      </c>
    </row>
    <row r="387" spans="1:4">
      <c r="A387">
        <v>143317609</v>
      </c>
      <c r="B387">
        <v>3713</v>
      </c>
      <c r="C387">
        <v>202208</v>
      </c>
      <c r="D387">
        <v>3713</v>
      </c>
    </row>
    <row r="388" spans="1:4">
      <c r="A388">
        <v>143317610</v>
      </c>
      <c r="B388">
        <v>325</v>
      </c>
      <c r="C388">
        <v>202208</v>
      </c>
      <c r="D388">
        <v>325</v>
      </c>
    </row>
    <row r="389" spans="1:4">
      <c r="A389">
        <v>143317615</v>
      </c>
      <c r="B389">
        <v>210</v>
      </c>
      <c r="C389">
        <v>202208</v>
      </c>
      <c r="D389">
        <v>210</v>
      </c>
    </row>
    <row r="390" spans="1:4">
      <c r="A390">
        <v>143317631</v>
      </c>
      <c r="B390">
        <v>832</v>
      </c>
      <c r="C390">
        <v>202211</v>
      </c>
      <c r="D390">
        <v>832</v>
      </c>
    </row>
    <row r="391" spans="1:4">
      <c r="A391">
        <v>143317638</v>
      </c>
      <c r="B391">
        <v>8581</v>
      </c>
      <c r="C391">
        <v>202208</v>
      </c>
      <c r="D391">
        <v>8581</v>
      </c>
    </row>
    <row r="392" spans="1:4">
      <c r="A392">
        <v>143317639</v>
      </c>
      <c r="B392">
        <v>1114</v>
      </c>
      <c r="C392">
        <v>202208</v>
      </c>
      <c r="D392">
        <v>1114</v>
      </c>
    </row>
    <row r="393" spans="1:4">
      <c r="A393">
        <v>143317642</v>
      </c>
      <c r="B393">
        <v>1951</v>
      </c>
      <c r="C393">
        <v>202208</v>
      </c>
      <c r="D393">
        <v>1951</v>
      </c>
    </row>
    <row r="394" spans="1:4">
      <c r="A394">
        <v>143327658</v>
      </c>
      <c r="B394">
        <v>7332</v>
      </c>
      <c r="C394">
        <v>202208</v>
      </c>
      <c r="D394">
        <v>7332</v>
      </c>
    </row>
    <row r="395" spans="1:4">
      <c r="A395">
        <v>143327660</v>
      </c>
      <c r="B395">
        <v>5940</v>
      </c>
      <c r="C395">
        <v>202208</v>
      </c>
      <c r="D395">
        <v>5940</v>
      </c>
    </row>
    <row r="396" spans="1:4">
      <c r="A396">
        <v>143327661</v>
      </c>
      <c r="B396">
        <v>335</v>
      </c>
      <c r="C396">
        <v>202208</v>
      </c>
      <c r="D396">
        <v>335</v>
      </c>
    </row>
    <row r="397" spans="1:4">
      <c r="A397">
        <v>143327671</v>
      </c>
      <c r="B397">
        <v>1337</v>
      </c>
      <c r="C397">
        <v>202209</v>
      </c>
      <c r="D397">
        <v>1337</v>
      </c>
    </row>
    <row r="398" spans="1:4">
      <c r="A398">
        <v>143327673</v>
      </c>
      <c r="B398">
        <v>205</v>
      </c>
      <c r="C398">
        <v>202209</v>
      </c>
      <c r="D398">
        <v>205</v>
      </c>
    </row>
    <row r="399" spans="1:4">
      <c r="A399">
        <v>143327674</v>
      </c>
      <c r="B399">
        <v>36332</v>
      </c>
      <c r="C399">
        <v>202209</v>
      </c>
      <c r="D399">
        <v>36332</v>
      </c>
    </row>
    <row r="400" spans="1:4">
      <c r="A400">
        <v>143327687</v>
      </c>
      <c r="B400">
        <v>502</v>
      </c>
      <c r="C400">
        <v>202209</v>
      </c>
      <c r="D400">
        <v>502</v>
      </c>
    </row>
    <row r="401" spans="1:4">
      <c r="A401">
        <v>143327691</v>
      </c>
      <c r="B401">
        <v>12250</v>
      </c>
      <c r="C401">
        <v>202208</v>
      </c>
      <c r="D401">
        <v>12250</v>
      </c>
    </row>
    <row r="402" spans="1:4">
      <c r="A402">
        <v>143327693</v>
      </c>
      <c r="B402">
        <v>232</v>
      </c>
      <c r="C402">
        <v>202208</v>
      </c>
      <c r="D402">
        <v>232</v>
      </c>
    </row>
    <row r="403" spans="1:4">
      <c r="A403">
        <v>143327698</v>
      </c>
      <c r="B403">
        <v>1486</v>
      </c>
      <c r="C403">
        <v>202208</v>
      </c>
      <c r="D403">
        <v>1486</v>
      </c>
    </row>
    <row r="404" spans="1:4">
      <c r="A404">
        <v>143327702</v>
      </c>
      <c r="B404">
        <v>8893</v>
      </c>
      <c r="C404">
        <v>202209</v>
      </c>
      <c r="D404">
        <v>8893</v>
      </c>
    </row>
    <row r="405" spans="1:4">
      <c r="A405">
        <v>143327703</v>
      </c>
      <c r="B405">
        <v>6980</v>
      </c>
      <c r="C405">
        <v>202209</v>
      </c>
      <c r="D405">
        <v>6980</v>
      </c>
    </row>
    <row r="406" spans="1:4">
      <c r="A406">
        <v>143327712</v>
      </c>
      <c r="B406">
        <v>335</v>
      </c>
      <c r="C406">
        <v>202208</v>
      </c>
      <c r="D406">
        <v>335</v>
      </c>
    </row>
    <row r="407" spans="1:4">
      <c r="A407">
        <v>143327718</v>
      </c>
      <c r="B407">
        <v>14849</v>
      </c>
      <c r="C407">
        <v>202208</v>
      </c>
      <c r="D407">
        <v>14849</v>
      </c>
    </row>
    <row r="408" spans="1:4">
      <c r="A408">
        <v>143327720</v>
      </c>
      <c r="B408">
        <v>14775</v>
      </c>
      <c r="C408">
        <v>202208</v>
      </c>
      <c r="D408">
        <v>14775</v>
      </c>
    </row>
    <row r="409" spans="1:4">
      <c r="A409">
        <v>143327723</v>
      </c>
      <c r="B409">
        <v>2160</v>
      </c>
      <c r="C409">
        <v>202209</v>
      </c>
      <c r="D409">
        <v>2160</v>
      </c>
    </row>
    <row r="410" spans="1:4">
      <c r="A410">
        <v>143327727</v>
      </c>
      <c r="B410">
        <v>335</v>
      </c>
      <c r="C410">
        <v>202208</v>
      </c>
      <c r="D410">
        <v>335</v>
      </c>
    </row>
    <row r="411" spans="1:4">
      <c r="A411">
        <v>143327728</v>
      </c>
      <c r="B411">
        <v>1674</v>
      </c>
      <c r="C411">
        <v>202209</v>
      </c>
      <c r="D411">
        <v>1876</v>
      </c>
    </row>
    <row r="412" spans="1:4">
      <c r="A412">
        <v>143327736</v>
      </c>
      <c r="B412">
        <v>186</v>
      </c>
      <c r="C412">
        <v>202209</v>
      </c>
      <c r="D412">
        <v>186</v>
      </c>
    </row>
    <row r="413" spans="1:4">
      <c r="A413">
        <v>143327747</v>
      </c>
      <c r="B413">
        <v>2228</v>
      </c>
      <c r="C413">
        <v>202209</v>
      </c>
      <c r="D413">
        <v>2228</v>
      </c>
    </row>
    <row r="414" spans="1:4">
      <c r="A414">
        <v>143327748</v>
      </c>
      <c r="B414">
        <v>6717</v>
      </c>
      <c r="C414">
        <v>202209</v>
      </c>
      <c r="D414">
        <v>6705</v>
      </c>
    </row>
    <row r="415" spans="1:4">
      <c r="A415">
        <v>143327751</v>
      </c>
      <c r="B415">
        <v>502</v>
      </c>
      <c r="C415">
        <v>202209</v>
      </c>
      <c r="D415">
        <v>502</v>
      </c>
    </row>
    <row r="416" spans="1:4">
      <c r="A416">
        <v>143327755</v>
      </c>
      <c r="B416">
        <v>1755</v>
      </c>
      <c r="C416">
        <v>202209</v>
      </c>
      <c r="D416">
        <v>1755</v>
      </c>
    </row>
    <row r="417" spans="1:4">
      <c r="A417">
        <v>143327756</v>
      </c>
      <c r="B417">
        <v>23526</v>
      </c>
      <c r="C417">
        <v>202209</v>
      </c>
      <c r="D417">
        <v>23526</v>
      </c>
    </row>
    <row r="418" spans="1:4">
      <c r="A418">
        <v>143327757</v>
      </c>
      <c r="B418">
        <v>4299</v>
      </c>
      <c r="C418">
        <v>202209</v>
      </c>
      <c r="D418">
        <v>4366</v>
      </c>
    </row>
    <row r="419" spans="1:4">
      <c r="A419">
        <v>143327759</v>
      </c>
      <c r="B419">
        <v>7648</v>
      </c>
      <c r="C419">
        <v>202209</v>
      </c>
      <c r="D419">
        <v>7648</v>
      </c>
    </row>
    <row r="420" spans="1:4">
      <c r="A420">
        <v>143327763</v>
      </c>
      <c r="B420">
        <v>817</v>
      </c>
      <c r="C420">
        <v>202208</v>
      </c>
      <c r="D420">
        <v>817</v>
      </c>
    </row>
    <row r="421" spans="1:4">
      <c r="A421">
        <v>143327779</v>
      </c>
      <c r="B421">
        <v>1671</v>
      </c>
      <c r="C421">
        <v>202209</v>
      </c>
      <c r="D421">
        <v>1671</v>
      </c>
    </row>
    <row r="422" spans="1:4">
      <c r="A422">
        <v>143327780</v>
      </c>
      <c r="B422">
        <v>6728</v>
      </c>
      <c r="C422">
        <v>202209</v>
      </c>
      <c r="D422">
        <v>6728</v>
      </c>
    </row>
    <row r="423" spans="1:4">
      <c r="A423">
        <v>143327782</v>
      </c>
      <c r="B423">
        <v>2229</v>
      </c>
      <c r="C423">
        <v>202209</v>
      </c>
      <c r="D423">
        <v>2229</v>
      </c>
    </row>
    <row r="424" spans="1:4">
      <c r="A424">
        <v>143327784</v>
      </c>
      <c r="B424">
        <v>420</v>
      </c>
      <c r="C424">
        <v>202209</v>
      </c>
      <c r="D424">
        <v>420</v>
      </c>
    </row>
    <row r="425" spans="1:4">
      <c r="A425">
        <v>143327798</v>
      </c>
      <c r="B425">
        <v>720</v>
      </c>
      <c r="C425">
        <v>202209</v>
      </c>
      <c r="D425">
        <v>743</v>
      </c>
    </row>
    <row r="426" spans="1:4">
      <c r="A426">
        <v>143327801</v>
      </c>
      <c r="B426">
        <v>335</v>
      </c>
      <c r="C426">
        <v>202209</v>
      </c>
      <c r="D426">
        <v>335</v>
      </c>
    </row>
    <row r="427" spans="1:4">
      <c r="A427">
        <v>143327802</v>
      </c>
      <c r="B427">
        <v>891</v>
      </c>
      <c r="C427">
        <v>202209</v>
      </c>
      <c r="D427">
        <v>891</v>
      </c>
    </row>
    <row r="428" spans="1:4">
      <c r="A428">
        <v>143327823</v>
      </c>
      <c r="B428">
        <v>418</v>
      </c>
      <c r="C428">
        <v>202209</v>
      </c>
      <c r="D428">
        <v>464</v>
      </c>
    </row>
    <row r="429" spans="1:4">
      <c r="A429">
        <v>143337830</v>
      </c>
      <c r="B429">
        <v>2762</v>
      </c>
      <c r="C429">
        <v>202209</v>
      </c>
      <c r="D429">
        <v>2762</v>
      </c>
    </row>
    <row r="430" spans="1:4">
      <c r="A430">
        <v>143337831</v>
      </c>
      <c r="B430">
        <v>2414</v>
      </c>
      <c r="C430">
        <v>202209</v>
      </c>
      <c r="D430">
        <v>2414</v>
      </c>
    </row>
    <row r="431" spans="1:4">
      <c r="A431">
        <v>143337850</v>
      </c>
      <c r="B431">
        <v>17818</v>
      </c>
      <c r="C431">
        <v>202209</v>
      </c>
      <c r="D431">
        <v>17818</v>
      </c>
    </row>
    <row r="432" spans="1:4">
      <c r="A432">
        <v>143337851</v>
      </c>
      <c r="B432">
        <v>18190</v>
      </c>
      <c r="C432">
        <v>202209</v>
      </c>
      <c r="D432">
        <v>18190</v>
      </c>
    </row>
    <row r="433" spans="1:4">
      <c r="A433">
        <v>143337856</v>
      </c>
      <c r="B433">
        <v>3694</v>
      </c>
      <c r="C433">
        <v>202209</v>
      </c>
      <c r="D433">
        <v>3694</v>
      </c>
    </row>
    <row r="434" spans="1:4">
      <c r="A434">
        <v>143337872</v>
      </c>
      <c r="B434">
        <v>492</v>
      </c>
      <c r="C434">
        <v>202209</v>
      </c>
      <c r="D434">
        <v>1420</v>
      </c>
    </row>
    <row r="435" spans="1:4">
      <c r="A435">
        <v>143337873</v>
      </c>
      <c r="B435">
        <v>18793</v>
      </c>
      <c r="C435">
        <v>202209</v>
      </c>
      <c r="D435">
        <v>18793</v>
      </c>
    </row>
    <row r="436" spans="1:4">
      <c r="A436">
        <v>143337886</v>
      </c>
      <c r="B436">
        <v>3992</v>
      </c>
      <c r="C436">
        <v>202209</v>
      </c>
      <c r="D436">
        <v>3992</v>
      </c>
    </row>
    <row r="437" spans="1:4">
      <c r="A437">
        <v>143337915</v>
      </c>
      <c r="B437">
        <v>877</v>
      </c>
      <c r="C437">
        <v>202209</v>
      </c>
      <c r="D437">
        <v>877</v>
      </c>
    </row>
    <row r="438" spans="1:4">
      <c r="A438">
        <v>143337920</v>
      </c>
      <c r="B438">
        <v>1546</v>
      </c>
      <c r="C438">
        <v>202209</v>
      </c>
      <c r="D438">
        <v>1839</v>
      </c>
    </row>
    <row r="439" spans="1:4">
      <c r="A439">
        <v>143337926</v>
      </c>
      <c r="B439">
        <v>8022</v>
      </c>
      <c r="C439">
        <v>202209</v>
      </c>
      <c r="D439">
        <v>8022</v>
      </c>
    </row>
    <row r="440" spans="1:4">
      <c r="A440">
        <v>143337929</v>
      </c>
      <c r="B440">
        <v>3203</v>
      </c>
      <c r="C440">
        <v>202209</v>
      </c>
      <c r="D440">
        <v>3203</v>
      </c>
    </row>
    <row r="441" spans="1:4">
      <c r="A441">
        <v>143337931</v>
      </c>
      <c r="B441">
        <v>5940</v>
      </c>
      <c r="C441">
        <v>202209</v>
      </c>
      <c r="D441">
        <v>5940</v>
      </c>
    </row>
    <row r="442" spans="1:4">
      <c r="A442">
        <v>143337954</v>
      </c>
      <c r="B442">
        <v>2320</v>
      </c>
      <c r="C442">
        <v>202209</v>
      </c>
      <c r="D442">
        <v>2320</v>
      </c>
    </row>
    <row r="443" spans="1:4">
      <c r="A443">
        <v>143337955</v>
      </c>
      <c r="B443">
        <v>9467</v>
      </c>
      <c r="C443">
        <v>202209</v>
      </c>
      <c r="D443">
        <v>9467</v>
      </c>
    </row>
    <row r="444" spans="1:4">
      <c r="A444">
        <v>143337959</v>
      </c>
      <c r="B444">
        <v>1207</v>
      </c>
      <c r="C444">
        <v>202209</v>
      </c>
      <c r="D444">
        <v>1207</v>
      </c>
    </row>
    <row r="445" spans="1:4">
      <c r="A445">
        <v>143337964</v>
      </c>
      <c r="B445">
        <v>28556</v>
      </c>
      <c r="C445">
        <v>202209</v>
      </c>
      <c r="D445">
        <v>28556</v>
      </c>
    </row>
    <row r="446" spans="1:4">
      <c r="A446">
        <v>143337991</v>
      </c>
      <c r="B446">
        <v>557</v>
      </c>
      <c r="C446">
        <v>202209</v>
      </c>
      <c r="D446">
        <v>557</v>
      </c>
    </row>
    <row r="447" spans="1:4">
      <c r="A447">
        <v>143337995</v>
      </c>
      <c r="B447">
        <v>1128</v>
      </c>
      <c r="C447">
        <v>202209</v>
      </c>
      <c r="D447">
        <v>1128</v>
      </c>
    </row>
    <row r="448" spans="1:4">
      <c r="A448">
        <v>143337996</v>
      </c>
      <c r="B448">
        <v>308</v>
      </c>
      <c r="C448">
        <v>202209</v>
      </c>
      <c r="D448">
        <v>308</v>
      </c>
    </row>
    <row r="449" spans="1:4">
      <c r="A449">
        <v>143337997</v>
      </c>
      <c r="B449">
        <v>488</v>
      </c>
      <c r="C449">
        <v>202209</v>
      </c>
      <c r="D449">
        <v>488</v>
      </c>
    </row>
    <row r="450" spans="1:4">
      <c r="A450">
        <v>143338003</v>
      </c>
      <c r="B450">
        <v>4381</v>
      </c>
      <c r="C450">
        <v>202209</v>
      </c>
      <c r="D450">
        <v>4381</v>
      </c>
    </row>
    <row r="451" spans="1:4">
      <c r="A451">
        <v>143348010</v>
      </c>
      <c r="B451">
        <v>12289</v>
      </c>
      <c r="C451">
        <v>202209</v>
      </c>
      <c r="D451">
        <v>12994</v>
      </c>
    </row>
    <row r="452" spans="1:4">
      <c r="A452">
        <v>143348014</v>
      </c>
      <c r="B452">
        <v>1420</v>
      </c>
      <c r="C452">
        <v>202209</v>
      </c>
      <c r="D452">
        <v>1420</v>
      </c>
    </row>
    <row r="453" spans="1:4">
      <c r="A453">
        <v>143348022</v>
      </c>
      <c r="B453">
        <v>2172</v>
      </c>
      <c r="C453">
        <v>202209</v>
      </c>
      <c r="D453">
        <v>2172</v>
      </c>
    </row>
    <row r="454" spans="1:4">
      <c r="A454">
        <v>143348023</v>
      </c>
      <c r="B454">
        <v>279</v>
      </c>
      <c r="C454">
        <v>202209</v>
      </c>
      <c r="D454">
        <v>279</v>
      </c>
    </row>
    <row r="455" spans="1:4">
      <c r="A455">
        <v>143348031</v>
      </c>
      <c r="B455">
        <v>34290</v>
      </c>
      <c r="C455">
        <v>202209</v>
      </c>
      <c r="D455">
        <v>34522</v>
      </c>
    </row>
    <row r="456" spans="1:4">
      <c r="A456">
        <v>143348032</v>
      </c>
      <c r="B456">
        <v>502</v>
      </c>
      <c r="C456">
        <v>202209</v>
      </c>
      <c r="D456">
        <v>502</v>
      </c>
    </row>
    <row r="457" spans="1:4">
      <c r="A457">
        <v>143348037</v>
      </c>
      <c r="B457">
        <v>3602</v>
      </c>
      <c r="C457">
        <v>202209</v>
      </c>
      <c r="D457">
        <v>3602</v>
      </c>
    </row>
    <row r="458" spans="1:4">
      <c r="A458">
        <v>143348038</v>
      </c>
      <c r="B458">
        <v>335</v>
      </c>
      <c r="C458">
        <v>202209</v>
      </c>
      <c r="D458">
        <v>335</v>
      </c>
    </row>
    <row r="459" spans="1:4">
      <c r="A459">
        <v>143348039</v>
      </c>
      <c r="B459">
        <v>891</v>
      </c>
      <c r="C459">
        <v>202209</v>
      </c>
      <c r="D459">
        <v>891</v>
      </c>
    </row>
    <row r="460" spans="1:4">
      <c r="A460">
        <v>143348065</v>
      </c>
      <c r="B460">
        <v>6079</v>
      </c>
      <c r="C460">
        <v>202209</v>
      </c>
      <c r="D460">
        <v>6079</v>
      </c>
    </row>
    <row r="461" spans="1:4">
      <c r="A461">
        <v>143348067</v>
      </c>
      <c r="B461">
        <v>8651</v>
      </c>
      <c r="C461">
        <v>202209</v>
      </c>
      <c r="D461">
        <v>10766</v>
      </c>
    </row>
    <row r="462" spans="1:4">
      <c r="A462">
        <v>143348080</v>
      </c>
      <c r="B462">
        <v>404</v>
      </c>
      <c r="C462">
        <v>202209</v>
      </c>
      <c r="D462">
        <v>418</v>
      </c>
    </row>
    <row r="463" spans="1:4">
      <c r="A463">
        <v>143348104</v>
      </c>
      <c r="B463">
        <v>17912</v>
      </c>
      <c r="C463">
        <v>202209</v>
      </c>
      <c r="D463">
        <v>17912</v>
      </c>
    </row>
    <row r="464" spans="1:4">
      <c r="A464">
        <v>143348105</v>
      </c>
      <c r="B464">
        <v>2294</v>
      </c>
      <c r="C464">
        <v>202209</v>
      </c>
      <c r="D464">
        <v>2461</v>
      </c>
    </row>
    <row r="465" spans="1:4">
      <c r="A465">
        <v>143348107</v>
      </c>
      <c r="B465">
        <v>1116</v>
      </c>
      <c r="C465">
        <v>202209</v>
      </c>
      <c r="D465">
        <v>1116</v>
      </c>
    </row>
    <row r="466" spans="1:4">
      <c r="A466">
        <v>143348110</v>
      </c>
      <c r="B466">
        <v>1485</v>
      </c>
      <c r="C466">
        <v>202209</v>
      </c>
      <c r="D466">
        <v>1485</v>
      </c>
    </row>
    <row r="467" spans="1:4">
      <c r="A467">
        <v>143348122</v>
      </c>
      <c r="B467">
        <v>3713</v>
      </c>
      <c r="C467">
        <v>202209</v>
      </c>
      <c r="D467">
        <v>3713</v>
      </c>
    </row>
    <row r="468" spans="1:4">
      <c r="A468">
        <v>143348124</v>
      </c>
      <c r="B468">
        <v>6097</v>
      </c>
      <c r="C468">
        <v>202209</v>
      </c>
      <c r="D468">
        <v>6097</v>
      </c>
    </row>
    <row r="469" spans="1:4">
      <c r="A469">
        <v>143348129</v>
      </c>
      <c r="B469">
        <v>280</v>
      </c>
      <c r="C469">
        <v>202209</v>
      </c>
      <c r="D469">
        <v>280</v>
      </c>
    </row>
    <row r="470" spans="1:4">
      <c r="A470">
        <v>143348133</v>
      </c>
      <c r="B470">
        <v>8762</v>
      </c>
      <c r="C470">
        <v>202209</v>
      </c>
      <c r="D470">
        <v>8762</v>
      </c>
    </row>
    <row r="471" spans="1:4">
      <c r="A471">
        <v>143348138</v>
      </c>
      <c r="B471">
        <v>1198</v>
      </c>
      <c r="C471">
        <v>202209</v>
      </c>
      <c r="D471">
        <v>1421</v>
      </c>
    </row>
    <row r="472" spans="1:4">
      <c r="A472">
        <v>143348139</v>
      </c>
      <c r="B472">
        <v>28955</v>
      </c>
      <c r="C472">
        <v>202209</v>
      </c>
      <c r="D472">
        <v>28955</v>
      </c>
    </row>
    <row r="473" spans="1:4">
      <c r="A473">
        <v>143348147</v>
      </c>
      <c r="B473">
        <v>395</v>
      </c>
      <c r="C473">
        <v>202209</v>
      </c>
      <c r="D473">
        <v>325</v>
      </c>
    </row>
    <row r="474" spans="1:4">
      <c r="A474">
        <v>143348149</v>
      </c>
      <c r="B474">
        <v>2088</v>
      </c>
      <c r="C474">
        <v>202209</v>
      </c>
      <c r="D474">
        <v>2088</v>
      </c>
    </row>
    <row r="475" spans="1:4">
      <c r="A475">
        <v>143348170</v>
      </c>
      <c r="B475">
        <v>1504</v>
      </c>
      <c r="C475">
        <v>202209</v>
      </c>
      <c r="D475">
        <v>1504</v>
      </c>
    </row>
    <row r="476" spans="1:4">
      <c r="A476">
        <v>143358173</v>
      </c>
      <c r="B476">
        <v>7798</v>
      </c>
      <c r="C476">
        <v>202209</v>
      </c>
      <c r="D476">
        <v>7798</v>
      </c>
    </row>
    <row r="477" spans="1:4">
      <c r="A477">
        <v>143358174</v>
      </c>
      <c r="B477">
        <v>1998</v>
      </c>
      <c r="C477">
        <v>202209</v>
      </c>
      <c r="D477">
        <v>5338</v>
      </c>
    </row>
    <row r="478" spans="1:4">
      <c r="A478">
        <v>143358180</v>
      </c>
      <c r="B478">
        <v>52</v>
      </c>
      <c r="C478">
        <v>202209</v>
      </c>
      <c r="D478">
        <v>52</v>
      </c>
    </row>
    <row r="479" spans="1:4">
      <c r="A479">
        <v>143358185</v>
      </c>
      <c r="B479">
        <v>1601</v>
      </c>
      <c r="C479">
        <v>202209</v>
      </c>
      <c r="D479">
        <v>1601</v>
      </c>
    </row>
    <row r="480" spans="1:4">
      <c r="A480">
        <v>143358189</v>
      </c>
      <c r="B480">
        <v>4103</v>
      </c>
      <c r="C480">
        <v>202209</v>
      </c>
      <c r="D480">
        <v>4219</v>
      </c>
    </row>
    <row r="481" spans="1:4">
      <c r="A481">
        <v>143358193</v>
      </c>
      <c r="B481">
        <v>2599</v>
      </c>
      <c r="C481">
        <v>202210</v>
      </c>
      <c r="D481">
        <v>2971</v>
      </c>
    </row>
    <row r="482" spans="1:4">
      <c r="A482">
        <v>143358194</v>
      </c>
      <c r="B482">
        <v>326</v>
      </c>
      <c r="C482">
        <v>202209</v>
      </c>
      <c r="D482">
        <v>326</v>
      </c>
    </row>
    <row r="483" spans="1:4">
      <c r="A483">
        <v>143358203</v>
      </c>
      <c r="B483">
        <v>4524</v>
      </c>
      <c r="C483">
        <v>202209</v>
      </c>
      <c r="D483">
        <v>4524</v>
      </c>
    </row>
    <row r="484" spans="1:4">
      <c r="A484">
        <v>143358204</v>
      </c>
      <c r="B484">
        <v>16335</v>
      </c>
      <c r="C484">
        <v>202209</v>
      </c>
      <c r="D484">
        <v>16335</v>
      </c>
    </row>
    <row r="485" spans="1:4">
      <c r="A485">
        <v>143358212</v>
      </c>
      <c r="B485">
        <v>891</v>
      </c>
      <c r="C485">
        <v>202210</v>
      </c>
      <c r="D485">
        <v>891</v>
      </c>
    </row>
    <row r="486" spans="1:4">
      <c r="A486">
        <v>143358214</v>
      </c>
      <c r="B486">
        <v>1338</v>
      </c>
      <c r="C486">
        <v>202209</v>
      </c>
      <c r="D486">
        <v>1338</v>
      </c>
    </row>
    <row r="487" spans="1:4">
      <c r="A487">
        <v>143358220</v>
      </c>
      <c r="B487">
        <v>6682</v>
      </c>
      <c r="C487">
        <v>202210</v>
      </c>
      <c r="D487">
        <v>6682</v>
      </c>
    </row>
    <row r="488" spans="1:4">
      <c r="A488">
        <v>143358223</v>
      </c>
      <c r="B488">
        <v>5513</v>
      </c>
      <c r="C488">
        <v>202209</v>
      </c>
      <c r="D488">
        <v>5513</v>
      </c>
    </row>
    <row r="489" spans="1:4">
      <c r="A489">
        <v>143358224</v>
      </c>
      <c r="B489">
        <v>4826</v>
      </c>
      <c r="C489">
        <v>202209</v>
      </c>
      <c r="D489">
        <v>4826</v>
      </c>
    </row>
    <row r="490" spans="1:4">
      <c r="A490">
        <v>143358235</v>
      </c>
      <c r="B490">
        <v>54</v>
      </c>
      <c r="C490">
        <v>202209</v>
      </c>
      <c r="D490">
        <v>56</v>
      </c>
    </row>
    <row r="491" spans="1:4">
      <c r="A491">
        <v>143358240</v>
      </c>
      <c r="B491">
        <v>6496</v>
      </c>
      <c r="C491">
        <v>202209</v>
      </c>
      <c r="D491">
        <v>8584</v>
      </c>
    </row>
    <row r="492" spans="1:4">
      <c r="A492">
        <v>143358241</v>
      </c>
      <c r="B492">
        <v>10303</v>
      </c>
      <c r="C492">
        <v>202209</v>
      </c>
      <c r="D492">
        <v>10303</v>
      </c>
    </row>
    <row r="493" spans="1:4">
      <c r="A493">
        <v>143358248</v>
      </c>
      <c r="B493">
        <v>1337</v>
      </c>
      <c r="C493">
        <v>202209</v>
      </c>
      <c r="D493">
        <v>1421</v>
      </c>
    </row>
    <row r="494" spans="1:4">
      <c r="A494">
        <v>143358249</v>
      </c>
      <c r="B494">
        <v>2460</v>
      </c>
      <c r="C494">
        <v>202209</v>
      </c>
      <c r="D494">
        <v>2284</v>
      </c>
    </row>
    <row r="495" spans="1:4">
      <c r="A495">
        <v>143358260</v>
      </c>
      <c r="B495">
        <v>1185</v>
      </c>
      <c r="C495">
        <v>202209</v>
      </c>
      <c r="D495">
        <v>1185</v>
      </c>
    </row>
    <row r="496" spans="1:4">
      <c r="A496">
        <v>143358270</v>
      </c>
      <c r="B496">
        <v>743</v>
      </c>
      <c r="C496">
        <v>202209</v>
      </c>
      <c r="D496">
        <v>743</v>
      </c>
    </row>
    <row r="497" spans="1:4">
      <c r="A497">
        <v>143358271</v>
      </c>
      <c r="B497">
        <v>743</v>
      </c>
      <c r="C497">
        <v>202209</v>
      </c>
      <c r="D497">
        <v>743</v>
      </c>
    </row>
    <row r="498" spans="1:4">
      <c r="A498">
        <v>143358274</v>
      </c>
      <c r="B498">
        <v>404</v>
      </c>
      <c r="C498">
        <v>202209</v>
      </c>
      <c r="D498">
        <v>446</v>
      </c>
    </row>
    <row r="499" spans="1:4">
      <c r="A499">
        <v>143358278</v>
      </c>
      <c r="B499">
        <v>17861</v>
      </c>
      <c r="C499">
        <v>202209</v>
      </c>
      <c r="D499">
        <v>19949</v>
      </c>
    </row>
    <row r="500" spans="1:4">
      <c r="A500">
        <v>143358280</v>
      </c>
      <c r="B500">
        <v>14107</v>
      </c>
      <c r="C500">
        <v>202209</v>
      </c>
      <c r="D500">
        <v>14107</v>
      </c>
    </row>
    <row r="501" spans="1:4">
      <c r="A501">
        <v>143358291</v>
      </c>
      <c r="B501">
        <v>29721</v>
      </c>
      <c r="C501">
        <v>202209</v>
      </c>
      <c r="D501">
        <v>29721</v>
      </c>
    </row>
    <row r="502" spans="1:4">
      <c r="A502">
        <v>143358293</v>
      </c>
      <c r="B502">
        <v>37167</v>
      </c>
      <c r="C502">
        <v>202209</v>
      </c>
      <c r="D502">
        <v>37167</v>
      </c>
    </row>
    <row r="503" spans="1:4">
      <c r="A503">
        <v>143358304</v>
      </c>
      <c r="B503">
        <v>5198</v>
      </c>
      <c r="C503">
        <v>202209</v>
      </c>
      <c r="D503">
        <v>5198</v>
      </c>
    </row>
    <row r="504" spans="1:4">
      <c r="A504">
        <v>143358305</v>
      </c>
      <c r="B504">
        <v>975</v>
      </c>
      <c r="C504">
        <v>202209</v>
      </c>
      <c r="D504">
        <v>975</v>
      </c>
    </row>
    <row r="505" spans="1:4">
      <c r="A505">
        <v>143358306</v>
      </c>
      <c r="B505">
        <v>587</v>
      </c>
      <c r="C505">
        <v>202209</v>
      </c>
      <c r="D505">
        <v>587</v>
      </c>
    </row>
    <row r="506" spans="1:4">
      <c r="A506">
        <v>143358315</v>
      </c>
      <c r="B506">
        <v>98</v>
      </c>
      <c r="C506">
        <v>202210</v>
      </c>
      <c r="D506">
        <v>98</v>
      </c>
    </row>
    <row r="507" spans="1:4">
      <c r="A507">
        <v>143368339</v>
      </c>
      <c r="B507">
        <v>1449</v>
      </c>
      <c r="C507">
        <v>202209</v>
      </c>
      <c r="D507">
        <v>1486</v>
      </c>
    </row>
    <row r="508" spans="1:4">
      <c r="A508">
        <v>143368342</v>
      </c>
      <c r="B508">
        <v>836</v>
      </c>
      <c r="C508">
        <v>202209</v>
      </c>
      <c r="D508">
        <v>836</v>
      </c>
    </row>
    <row r="509" spans="1:4">
      <c r="A509">
        <v>143368355</v>
      </c>
      <c r="B509">
        <v>21522</v>
      </c>
      <c r="C509">
        <v>202210</v>
      </c>
      <c r="D509">
        <v>21522</v>
      </c>
    </row>
    <row r="510" spans="1:4">
      <c r="A510">
        <v>143368361</v>
      </c>
      <c r="B510">
        <v>1170</v>
      </c>
      <c r="C510">
        <v>202210</v>
      </c>
      <c r="D510">
        <v>1170</v>
      </c>
    </row>
    <row r="511" spans="1:4">
      <c r="A511">
        <v>143368362</v>
      </c>
      <c r="B511">
        <v>3948</v>
      </c>
      <c r="C511">
        <v>202210</v>
      </c>
      <c r="D511">
        <v>4240</v>
      </c>
    </row>
    <row r="512" spans="1:4">
      <c r="A512">
        <v>143368366</v>
      </c>
      <c r="B512">
        <v>13180</v>
      </c>
      <c r="C512">
        <v>202209</v>
      </c>
      <c r="D512">
        <v>13180</v>
      </c>
    </row>
    <row r="513" spans="1:4">
      <c r="A513">
        <v>143368370</v>
      </c>
      <c r="B513">
        <v>4176</v>
      </c>
      <c r="C513">
        <v>202209</v>
      </c>
      <c r="D513">
        <v>4176</v>
      </c>
    </row>
    <row r="514" spans="1:4">
      <c r="A514">
        <v>143368373</v>
      </c>
      <c r="B514">
        <v>2228</v>
      </c>
      <c r="C514">
        <v>202209</v>
      </c>
      <c r="D514">
        <v>2228</v>
      </c>
    </row>
    <row r="515" spans="1:4">
      <c r="A515">
        <v>143368381</v>
      </c>
      <c r="B515">
        <v>650</v>
      </c>
      <c r="C515">
        <v>202211</v>
      </c>
      <c r="D515">
        <v>650</v>
      </c>
    </row>
    <row r="516" spans="1:4">
      <c r="A516">
        <v>143368382</v>
      </c>
      <c r="B516">
        <v>9876</v>
      </c>
      <c r="C516">
        <v>202210</v>
      </c>
      <c r="D516">
        <v>10062</v>
      </c>
    </row>
    <row r="517" spans="1:4">
      <c r="A517">
        <v>143368383</v>
      </c>
      <c r="B517">
        <v>8303</v>
      </c>
      <c r="C517">
        <v>202210</v>
      </c>
      <c r="D517">
        <v>8921</v>
      </c>
    </row>
    <row r="518" spans="1:4">
      <c r="A518">
        <v>143368384</v>
      </c>
      <c r="B518">
        <v>33409</v>
      </c>
      <c r="C518">
        <v>202209</v>
      </c>
      <c r="D518">
        <v>33409</v>
      </c>
    </row>
    <row r="519" spans="1:4">
      <c r="A519">
        <v>143368385</v>
      </c>
      <c r="B519">
        <v>3659</v>
      </c>
      <c r="C519">
        <v>202210</v>
      </c>
      <c r="D519">
        <v>3694</v>
      </c>
    </row>
    <row r="520" spans="1:4">
      <c r="A520">
        <v>143368411</v>
      </c>
      <c r="B520">
        <v>3110</v>
      </c>
      <c r="C520">
        <v>202209</v>
      </c>
      <c r="D520">
        <v>3110</v>
      </c>
    </row>
    <row r="521" spans="1:4">
      <c r="A521">
        <v>143368413</v>
      </c>
      <c r="B521">
        <v>10284</v>
      </c>
      <c r="C521">
        <v>202209</v>
      </c>
      <c r="D521">
        <v>13736</v>
      </c>
    </row>
    <row r="522" spans="1:4">
      <c r="A522">
        <v>143368426</v>
      </c>
      <c r="B522">
        <v>10617</v>
      </c>
      <c r="C522">
        <v>202210</v>
      </c>
      <c r="D522">
        <v>10617</v>
      </c>
    </row>
    <row r="523" spans="1:4">
      <c r="A523">
        <v>143368427</v>
      </c>
      <c r="B523">
        <v>4455</v>
      </c>
      <c r="C523">
        <v>202210</v>
      </c>
      <c r="D523">
        <v>16704</v>
      </c>
    </row>
    <row r="524" spans="1:4">
      <c r="A524">
        <v>143368430</v>
      </c>
      <c r="B524">
        <v>335</v>
      </c>
      <c r="C524">
        <v>202210</v>
      </c>
      <c r="D524">
        <v>335</v>
      </c>
    </row>
    <row r="525" spans="1:4">
      <c r="A525">
        <v>143368436</v>
      </c>
      <c r="B525">
        <v>237</v>
      </c>
      <c r="C525">
        <v>202210</v>
      </c>
      <c r="D525">
        <v>232</v>
      </c>
    </row>
    <row r="526" spans="1:4">
      <c r="A526">
        <v>143368449</v>
      </c>
      <c r="B526">
        <v>5681</v>
      </c>
      <c r="C526">
        <v>202209</v>
      </c>
      <c r="D526">
        <v>6127</v>
      </c>
    </row>
    <row r="527" spans="1:4">
      <c r="A527">
        <v>143368454</v>
      </c>
      <c r="B527">
        <v>11693</v>
      </c>
      <c r="C527">
        <v>202209</v>
      </c>
      <c r="D527">
        <v>11693</v>
      </c>
    </row>
    <row r="528" spans="1:4">
      <c r="A528">
        <v>143368458</v>
      </c>
      <c r="B528">
        <v>1048</v>
      </c>
      <c r="C528">
        <v>202210</v>
      </c>
      <c r="D528">
        <v>1048</v>
      </c>
    </row>
    <row r="529" spans="1:4">
      <c r="A529">
        <v>143368464</v>
      </c>
      <c r="B529">
        <v>37863</v>
      </c>
      <c r="C529">
        <v>202210</v>
      </c>
      <c r="D529">
        <v>37863</v>
      </c>
    </row>
    <row r="530" spans="1:4">
      <c r="A530">
        <v>143368465</v>
      </c>
      <c r="B530">
        <v>1818</v>
      </c>
      <c r="C530">
        <v>202210</v>
      </c>
      <c r="D530">
        <v>1818</v>
      </c>
    </row>
    <row r="531" spans="1:4">
      <c r="A531">
        <v>143368473</v>
      </c>
      <c r="B531">
        <v>3602</v>
      </c>
      <c r="C531">
        <v>202210</v>
      </c>
      <c r="D531">
        <v>3602</v>
      </c>
    </row>
    <row r="532" spans="1:4">
      <c r="A532">
        <v>143368475</v>
      </c>
      <c r="B532">
        <v>27238</v>
      </c>
      <c r="C532">
        <v>202210</v>
      </c>
      <c r="D532">
        <v>27238</v>
      </c>
    </row>
    <row r="533" spans="1:4">
      <c r="A533">
        <v>143368476</v>
      </c>
      <c r="B533">
        <v>1031</v>
      </c>
      <c r="C533">
        <v>202210</v>
      </c>
      <c r="D533">
        <v>1505</v>
      </c>
    </row>
    <row r="534" spans="1:4">
      <c r="A534">
        <v>143368487</v>
      </c>
      <c r="B534">
        <v>2043</v>
      </c>
      <c r="C534">
        <v>202209</v>
      </c>
      <c r="D534">
        <v>2043</v>
      </c>
    </row>
    <row r="535" spans="1:4">
      <c r="A535">
        <v>143368492</v>
      </c>
      <c r="B535">
        <v>224</v>
      </c>
      <c r="C535">
        <v>202209</v>
      </c>
      <c r="D535">
        <v>224</v>
      </c>
    </row>
    <row r="536" spans="1:4">
      <c r="A536">
        <v>143368503</v>
      </c>
      <c r="B536">
        <v>1504</v>
      </c>
      <c r="C536">
        <v>202210</v>
      </c>
      <c r="D536">
        <v>1504</v>
      </c>
    </row>
    <row r="537" spans="1:4">
      <c r="A537">
        <v>143378508</v>
      </c>
      <c r="B537">
        <v>3713</v>
      </c>
      <c r="C537">
        <v>202210</v>
      </c>
      <c r="D537">
        <v>3713</v>
      </c>
    </row>
    <row r="538" spans="1:4">
      <c r="A538">
        <v>143378509</v>
      </c>
      <c r="B538">
        <v>4176</v>
      </c>
      <c r="C538">
        <v>202210</v>
      </c>
      <c r="D538">
        <v>4176</v>
      </c>
    </row>
    <row r="539" spans="1:4">
      <c r="A539">
        <v>143378513</v>
      </c>
      <c r="B539">
        <v>1114</v>
      </c>
      <c r="C539">
        <v>202210</v>
      </c>
      <c r="D539">
        <v>1114</v>
      </c>
    </row>
    <row r="540" spans="1:4">
      <c r="A540">
        <v>143378514</v>
      </c>
      <c r="B540">
        <v>488</v>
      </c>
      <c r="C540">
        <v>202210</v>
      </c>
      <c r="D540">
        <v>743</v>
      </c>
    </row>
    <row r="541" spans="1:4">
      <c r="A541">
        <v>143378515</v>
      </c>
      <c r="B541">
        <v>743</v>
      </c>
      <c r="C541">
        <v>202210</v>
      </c>
      <c r="D541">
        <v>743</v>
      </c>
    </row>
    <row r="542" spans="1:4">
      <c r="A542">
        <v>143378516</v>
      </c>
      <c r="B542">
        <v>280</v>
      </c>
      <c r="C542">
        <v>202210</v>
      </c>
      <c r="D542">
        <v>280</v>
      </c>
    </row>
    <row r="543" spans="1:4">
      <c r="A543">
        <v>143378519</v>
      </c>
      <c r="B543">
        <v>39534</v>
      </c>
      <c r="C543">
        <v>202210</v>
      </c>
      <c r="D543">
        <v>39534</v>
      </c>
    </row>
    <row r="544" spans="1:4">
      <c r="A544">
        <v>143378523</v>
      </c>
      <c r="B544">
        <v>3783</v>
      </c>
      <c r="C544">
        <v>202210</v>
      </c>
      <c r="D544">
        <v>3783</v>
      </c>
    </row>
    <row r="545" spans="1:4">
      <c r="A545">
        <v>143378524</v>
      </c>
      <c r="B545">
        <v>2933</v>
      </c>
      <c r="C545">
        <v>202210</v>
      </c>
      <c r="D545">
        <v>3300</v>
      </c>
    </row>
    <row r="546" spans="1:4">
      <c r="A546">
        <v>143378525</v>
      </c>
      <c r="B546">
        <v>1601</v>
      </c>
      <c r="C546">
        <v>202210</v>
      </c>
      <c r="D546">
        <v>1601</v>
      </c>
    </row>
    <row r="547" spans="1:4">
      <c r="A547">
        <v>143378531</v>
      </c>
      <c r="B547">
        <v>7425</v>
      </c>
      <c r="C547">
        <v>202210</v>
      </c>
      <c r="D547">
        <v>7425</v>
      </c>
    </row>
    <row r="548" spans="1:4">
      <c r="A548">
        <v>143378533</v>
      </c>
      <c r="B548">
        <v>279</v>
      </c>
      <c r="C548">
        <v>202210</v>
      </c>
      <c r="D548">
        <v>279</v>
      </c>
    </row>
    <row r="549" spans="1:4">
      <c r="A549">
        <v>143378561</v>
      </c>
      <c r="B549">
        <v>82</v>
      </c>
      <c r="C549">
        <v>202210</v>
      </c>
      <c r="D549">
        <v>130</v>
      </c>
    </row>
    <row r="550" spans="1:4">
      <c r="A550">
        <v>143378571</v>
      </c>
      <c r="B550">
        <v>8167</v>
      </c>
      <c r="C550">
        <v>202210</v>
      </c>
      <c r="D550">
        <v>8167</v>
      </c>
    </row>
    <row r="551" spans="1:4">
      <c r="A551">
        <v>143378572</v>
      </c>
      <c r="B551">
        <v>2436</v>
      </c>
      <c r="C551">
        <v>202210</v>
      </c>
      <c r="D551">
        <v>2436</v>
      </c>
    </row>
    <row r="552" spans="1:4">
      <c r="A552">
        <v>143378574</v>
      </c>
      <c r="B552">
        <v>2091</v>
      </c>
      <c r="C552">
        <v>202210</v>
      </c>
      <c r="D552">
        <v>2091</v>
      </c>
    </row>
    <row r="553" spans="1:4">
      <c r="A553">
        <v>143378614</v>
      </c>
      <c r="B553">
        <v>12102</v>
      </c>
      <c r="C553">
        <v>202210</v>
      </c>
      <c r="D553">
        <v>17076</v>
      </c>
    </row>
    <row r="554" spans="1:4">
      <c r="A554">
        <v>143378616</v>
      </c>
      <c r="B554">
        <v>13220</v>
      </c>
      <c r="C554">
        <v>202210</v>
      </c>
      <c r="D554">
        <v>13220</v>
      </c>
    </row>
    <row r="555" spans="1:4">
      <c r="A555">
        <v>143378617</v>
      </c>
      <c r="B555">
        <v>3105</v>
      </c>
      <c r="C555">
        <v>202210</v>
      </c>
      <c r="D555">
        <v>3105</v>
      </c>
    </row>
    <row r="556" spans="1:4">
      <c r="A556">
        <v>143378621</v>
      </c>
      <c r="B556">
        <v>418</v>
      </c>
      <c r="C556">
        <v>202210</v>
      </c>
      <c r="D556">
        <v>418</v>
      </c>
    </row>
    <row r="557" spans="1:4">
      <c r="A557">
        <v>143378622</v>
      </c>
      <c r="B557">
        <v>2509</v>
      </c>
      <c r="C557">
        <v>202210</v>
      </c>
      <c r="D557">
        <v>2509</v>
      </c>
    </row>
    <row r="558" spans="1:4">
      <c r="A558">
        <v>143378653</v>
      </c>
      <c r="B558">
        <v>10544</v>
      </c>
      <c r="C558">
        <v>202210</v>
      </c>
      <c r="D558">
        <v>11138</v>
      </c>
    </row>
    <row r="559" spans="1:4">
      <c r="A559">
        <v>143378669</v>
      </c>
      <c r="B559">
        <v>232</v>
      </c>
      <c r="C559">
        <v>202210</v>
      </c>
      <c r="D559">
        <v>232</v>
      </c>
    </row>
    <row r="560" spans="1:4">
      <c r="A560">
        <v>143388679</v>
      </c>
      <c r="B560">
        <v>10858</v>
      </c>
      <c r="C560">
        <v>202210</v>
      </c>
      <c r="D560">
        <v>10858</v>
      </c>
    </row>
    <row r="561" spans="1:4">
      <c r="A561">
        <v>143388680</v>
      </c>
      <c r="B561">
        <v>7240</v>
      </c>
      <c r="C561">
        <v>202210</v>
      </c>
      <c r="D561">
        <v>7240</v>
      </c>
    </row>
    <row r="562" spans="1:4">
      <c r="A562">
        <v>143388681</v>
      </c>
      <c r="B562">
        <v>1601</v>
      </c>
      <c r="C562">
        <v>202210</v>
      </c>
      <c r="D562">
        <v>1601</v>
      </c>
    </row>
    <row r="563" spans="1:4">
      <c r="A563">
        <v>143388689</v>
      </c>
      <c r="B563">
        <v>1086</v>
      </c>
      <c r="C563">
        <v>202210</v>
      </c>
      <c r="D563">
        <v>1086</v>
      </c>
    </row>
    <row r="564" spans="1:4">
      <c r="A564">
        <v>143388694</v>
      </c>
      <c r="B564">
        <v>42805</v>
      </c>
      <c r="C564">
        <v>202210</v>
      </c>
      <c r="D564">
        <v>42805</v>
      </c>
    </row>
    <row r="565" spans="1:4">
      <c r="A565">
        <v>143388701</v>
      </c>
      <c r="B565">
        <v>140</v>
      </c>
      <c r="C565">
        <v>202210</v>
      </c>
      <c r="D565">
        <v>140</v>
      </c>
    </row>
    <row r="566" spans="1:4">
      <c r="A566">
        <v>143388709</v>
      </c>
      <c r="B566">
        <v>14478</v>
      </c>
      <c r="C566">
        <v>202210</v>
      </c>
      <c r="D566">
        <v>14478</v>
      </c>
    </row>
    <row r="567" spans="1:4">
      <c r="A567">
        <v>143388710</v>
      </c>
      <c r="B567">
        <v>488</v>
      </c>
      <c r="C567">
        <v>202210</v>
      </c>
      <c r="D567">
        <v>488</v>
      </c>
    </row>
    <row r="568" spans="1:4">
      <c r="A568">
        <v>143388712</v>
      </c>
      <c r="B568">
        <v>1504</v>
      </c>
      <c r="C568">
        <v>202210</v>
      </c>
      <c r="D568">
        <v>1504</v>
      </c>
    </row>
    <row r="569" spans="1:4">
      <c r="A569">
        <v>143388713</v>
      </c>
      <c r="B569">
        <v>1672</v>
      </c>
      <c r="C569">
        <v>202210</v>
      </c>
      <c r="D569">
        <v>1672</v>
      </c>
    </row>
    <row r="570" spans="1:4">
      <c r="A570">
        <v>143388723</v>
      </c>
      <c r="B570">
        <v>4095</v>
      </c>
      <c r="C570">
        <v>202210</v>
      </c>
      <c r="D570">
        <v>4345</v>
      </c>
    </row>
    <row r="571" spans="1:4">
      <c r="A571">
        <v>143388726</v>
      </c>
      <c r="B571">
        <v>1225</v>
      </c>
      <c r="C571">
        <v>202210</v>
      </c>
      <c r="D571">
        <v>1225</v>
      </c>
    </row>
    <row r="572" spans="1:4">
      <c r="A572">
        <v>143388727</v>
      </c>
      <c r="B572">
        <v>1253</v>
      </c>
      <c r="C572">
        <v>202210</v>
      </c>
      <c r="D572">
        <v>1253</v>
      </c>
    </row>
    <row r="573" spans="1:4">
      <c r="A573">
        <v>143388728</v>
      </c>
      <c r="B573">
        <v>297</v>
      </c>
      <c r="C573">
        <v>202210</v>
      </c>
      <c r="D573">
        <v>297</v>
      </c>
    </row>
    <row r="574" spans="1:4">
      <c r="A574">
        <v>143388739</v>
      </c>
      <c r="B574">
        <v>669</v>
      </c>
      <c r="C574">
        <v>202210</v>
      </c>
      <c r="D574">
        <v>669</v>
      </c>
    </row>
    <row r="575" spans="1:4">
      <c r="A575">
        <v>143388744</v>
      </c>
      <c r="B575">
        <v>1338</v>
      </c>
      <c r="C575">
        <v>202210</v>
      </c>
      <c r="D575">
        <v>1338</v>
      </c>
    </row>
    <row r="576" spans="1:4">
      <c r="A576">
        <v>143388748</v>
      </c>
      <c r="B576">
        <v>13067</v>
      </c>
      <c r="C576">
        <v>202210</v>
      </c>
      <c r="D576">
        <v>13067</v>
      </c>
    </row>
    <row r="577" spans="1:4">
      <c r="A577">
        <v>143388753</v>
      </c>
      <c r="B577">
        <v>1810</v>
      </c>
      <c r="C577">
        <v>202210</v>
      </c>
      <c r="D577">
        <v>3620</v>
      </c>
    </row>
    <row r="578" spans="1:4">
      <c r="A578">
        <v>143388760</v>
      </c>
      <c r="B578">
        <v>23982</v>
      </c>
      <c r="C578">
        <v>202210</v>
      </c>
      <c r="D578">
        <v>26357</v>
      </c>
    </row>
    <row r="579" spans="1:4">
      <c r="A579">
        <v>143388762</v>
      </c>
      <c r="B579">
        <v>11387</v>
      </c>
      <c r="C579">
        <v>202210</v>
      </c>
      <c r="D579">
        <v>11387</v>
      </c>
    </row>
    <row r="580" spans="1:4">
      <c r="A580">
        <v>143388800</v>
      </c>
      <c r="B580">
        <v>3602</v>
      </c>
      <c r="C580">
        <v>202210</v>
      </c>
      <c r="D580">
        <v>3602</v>
      </c>
    </row>
    <row r="581" spans="1:4">
      <c r="A581">
        <v>143388802</v>
      </c>
      <c r="B581">
        <v>8539</v>
      </c>
      <c r="C581">
        <v>202210</v>
      </c>
      <c r="D581">
        <v>8539</v>
      </c>
    </row>
    <row r="582" spans="1:4">
      <c r="A582">
        <v>143388803</v>
      </c>
      <c r="B582">
        <v>12678</v>
      </c>
      <c r="C582">
        <v>202210</v>
      </c>
      <c r="D582">
        <v>12678</v>
      </c>
    </row>
    <row r="583" spans="1:4">
      <c r="A583">
        <v>143388806</v>
      </c>
      <c r="B583">
        <v>3066</v>
      </c>
      <c r="C583">
        <v>202210</v>
      </c>
      <c r="D583">
        <v>3066</v>
      </c>
    </row>
    <row r="584" spans="1:4">
      <c r="A584">
        <v>143388818</v>
      </c>
      <c r="B584">
        <v>1160</v>
      </c>
      <c r="C584">
        <v>202210</v>
      </c>
      <c r="D584">
        <v>1856</v>
      </c>
    </row>
    <row r="585" spans="1:4">
      <c r="A585">
        <v>143388819</v>
      </c>
      <c r="B585">
        <v>1648</v>
      </c>
      <c r="C585">
        <v>202211</v>
      </c>
      <c r="D585">
        <v>1648</v>
      </c>
    </row>
    <row r="586" spans="1:4">
      <c r="A586">
        <v>143388821</v>
      </c>
      <c r="B586">
        <v>13331</v>
      </c>
      <c r="C586">
        <v>202210</v>
      </c>
      <c r="D586">
        <v>13331</v>
      </c>
    </row>
    <row r="587" spans="1:4">
      <c r="A587">
        <v>143388822</v>
      </c>
      <c r="B587">
        <v>335</v>
      </c>
      <c r="C587">
        <v>202211</v>
      </c>
      <c r="D587">
        <v>335</v>
      </c>
    </row>
    <row r="588" spans="1:4">
      <c r="A588">
        <v>143388827</v>
      </c>
      <c r="B588">
        <v>24987</v>
      </c>
      <c r="C588">
        <v>202210</v>
      </c>
      <c r="D588">
        <v>24987</v>
      </c>
    </row>
    <row r="589" spans="1:4">
      <c r="A589">
        <v>143388828</v>
      </c>
      <c r="B589">
        <v>1337</v>
      </c>
      <c r="C589">
        <v>202210</v>
      </c>
      <c r="D589">
        <v>1671</v>
      </c>
    </row>
    <row r="590" spans="1:4">
      <c r="A590">
        <v>143388837</v>
      </c>
      <c r="B590">
        <v>8763</v>
      </c>
      <c r="C590">
        <v>202210</v>
      </c>
      <c r="D590">
        <v>8763</v>
      </c>
    </row>
    <row r="591" spans="1:4">
      <c r="A591">
        <v>143388848</v>
      </c>
      <c r="B591">
        <v>1903</v>
      </c>
      <c r="C591">
        <v>202210</v>
      </c>
      <c r="D591">
        <v>1903</v>
      </c>
    </row>
    <row r="592" spans="1:4">
      <c r="A592">
        <v>143388850</v>
      </c>
      <c r="B592">
        <v>5569</v>
      </c>
      <c r="C592">
        <v>202210</v>
      </c>
      <c r="D592">
        <v>5569</v>
      </c>
    </row>
    <row r="593" spans="1:4">
      <c r="A593">
        <v>143388857</v>
      </c>
      <c r="B593">
        <v>502</v>
      </c>
      <c r="C593">
        <v>202210</v>
      </c>
      <c r="D593">
        <v>502</v>
      </c>
    </row>
    <row r="594" spans="1:4">
      <c r="A594">
        <v>143388865</v>
      </c>
      <c r="B594">
        <v>168</v>
      </c>
      <c r="C594">
        <v>202210</v>
      </c>
      <c r="D594">
        <v>168</v>
      </c>
    </row>
    <row r="595" spans="1:4">
      <c r="A595">
        <v>143388867</v>
      </c>
      <c r="B595">
        <v>2784</v>
      </c>
      <c r="C595">
        <v>202211</v>
      </c>
      <c r="D595">
        <v>3132</v>
      </c>
    </row>
    <row r="596" spans="1:4">
      <c r="A596">
        <v>143388869</v>
      </c>
      <c r="B596">
        <v>20046</v>
      </c>
      <c r="C596">
        <v>202210</v>
      </c>
      <c r="D596">
        <v>20046</v>
      </c>
    </row>
    <row r="597" spans="1:4">
      <c r="A597">
        <v>143388870</v>
      </c>
      <c r="B597">
        <v>45936</v>
      </c>
      <c r="C597">
        <v>202210</v>
      </c>
      <c r="D597">
        <v>45936</v>
      </c>
    </row>
    <row r="598" spans="1:4">
      <c r="A598">
        <v>143398885</v>
      </c>
      <c r="B598">
        <v>10557</v>
      </c>
      <c r="C598">
        <v>202210</v>
      </c>
      <c r="D598">
        <v>10557</v>
      </c>
    </row>
    <row r="599" spans="1:4">
      <c r="A599">
        <v>143398886</v>
      </c>
      <c r="B599">
        <v>1601</v>
      </c>
      <c r="C599">
        <v>202210</v>
      </c>
      <c r="D599">
        <v>1601</v>
      </c>
    </row>
    <row r="600" spans="1:4">
      <c r="A600">
        <v>143398888</v>
      </c>
      <c r="B600">
        <v>8168</v>
      </c>
      <c r="C600">
        <v>202210</v>
      </c>
      <c r="D600">
        <v>8168</v>
      </c>
    </row>
    <row r="601" spans="1:4">
      <c r="A601">
        <v>143398898</v>
      </c>
      <c r="B601">
        <v>11136</v>
      </c>
      <c r="C601">
        <v>202210</v>
      </c>
      <c r="D601">
        <v>11136</v>
      </c>
    </row>
    <row r="602" spans="1:4">
      <c r="A602">
        <v>143398901</v>
      </c>
      <c r="B602">
        <v>15109</v>
      </c>
      <c r="C602">
        <v>202210</v>
      </c>
      <c r="D602">
        <v>15146</v>
      </c>
    </row>
    <row r="603" spans="1:4">
      <c r="A603">
        <v>143398902</v>
      </c>
      <c r="B603">
        <v>743</v>
      </c>
      <c r="C603">
        <v>202210</v>
      </c>
      <c r="D603">
        <v>743</v>
      </c>
    </row>
    <row r="604" spans="1:4">
      <c r="A604">
        <v>143398914</v>
      </c>
      <c r="B604">
        <v>10024</v>
      </c>
      <c r="C604">
        <v>202210</v>
      </c>
      <c r="D604">
        <v>10024</v>
      </c>
    </row>
    <row r="605" spans="1:4">
      <c r="A605">
        <v>143398915</v>
      </c>
      <c r="B605">
        <v>140</v>
      </c>
      <c r="C605">
        <v>202210</v>
      </c>
      <c r="D605">
        <v>140</v>
      </c>
    </row>
    <row r="606" spans="1:4">
      <c r="A606">
        <v>143398937</v>
      </c>
      <c r="B606">
        <v>1504</v>
      </c>
      <c r="C606">
        <v>202210</v>
      </c>
      <c r="D606">
        <v>1587</v>
      </c>
    </row>
    <row r="607" spans="1:4">
      <c r="A607">
        <v>143398938</v>
      </c>
      <c r="B607">
        <v>24881</v>
      </c>
      <c r="C607">
        <v>202210</v>
      </c>
      <c r="D607">
        <v>32676</v>
      </c>
    </row>
    <row r="608" spans="1:4">
      <c r="A608">
        <v>143398953</v>
      </c>
      <c r="B608">
        <v>3602</v>
      </c>
      <c r="C608">
        <v>202210</v>
      </c>
      <c r="D608">
        <v>3602</v>
      </c>
    </row>
    <row r="609" spans="1:4">
      <c r="A609">
        <v>143398960</v>
      </c>
      <c r="B609">
        <v>2906</v>
      </c>
      <c r="C609">
        <v>202210</v>
      </c>
      <c r="D609">
        <v>2906</v>
      </c>
    </row>
    <row r="610" spans="1:4">
      <c r="A610">
        <v>143398980</v>
      </c>
      <c r="B610">
        <v>3713</v>
      </c>
      <c r="C610">
        <v>202210</v>
      </c>
      <c r="D610">
        <v>3713</v>
      </c>
    </row>
    <row r="611" spans="1:4">
      <c r="A611">
        <v>143398981</v>
      </c>
      <c r="B611">
        <v>186</v>
      </c>
      <c r="C611">
        <v>202210</v>
      </c>
      <c r="D611">
        <v>186</v>
      </c>
    </row>
    <row r="612" spans="1:4">
      <c r="A612">
        <v>143398989</v>
      </c>
      <c r="B612">
        <v>845</v>
      </c>
      <c r="C612">
        <v>202211</v>
      </c>
      <c r="D612">
        <v>845</v>
      </c>
    </row>
    <row r="613" spans="1:4">
      <c r="A613">
        <v>143399001</v>
      </c>
      <c r="B613">
        <v>1087</v>
      </c>
      <c r="C613">
        <v>202210</v>
      </c>
      <c r="D613">
        <v>1087</v>
      </c>
    </row>
    <row r="614" spans="1:4">
      <c r="A614">
        <v>143399002</v>
      </c>
      <c r="B614">
        <v>1942</v>
      </c>
      <c r="C614">
        <v>202210</v>
      </c>
      <c r="D614">
        <v>2757</v>
      </c>
    </row>
    <row r="615" spans="1:4">
      <c r="A615">
        <v>143399003</v>
      </c>
      <c r="B615">
        <v>827</v>
      </c>
      <c r="C615">
        <v>202210</v>
      </c>
      <c r="D615">
        <v>1003</v>
      </c>
    </row>
    <row r="616" spans="1:4">
      <c r="A616">
        <v>143399013</v>
      </c>
      <c r="B616">
        <v>9188</v>
      </c>
      <c r="C616">
        <v>202210</v>
      </c>
      <c r="D616">
        <v>9188</v>
      </c>
    </row>
    <row r="617" spans="1:4">
      <c r="A617">
        <v>143399014</v>
      </c>
      <c r="B617">
        <v>10023</v>
      </c>
      <c r="C617">
        <v>202210</v>
      </c>
      <c r="D617">
        <v>10023</v>
      </c>
    </row>
    <row r="618" spans="1:4">
      <c r="A618">
        <v>143399018</v>
      </c>
      <c r="B618">
        <v>280</v>
      </c>
      <c r="C618">
        <v>202210</v>
      </c>
      <c r="D618">
        <v>280</v>
      </c>
    </row>
    <row r="619" spans="1:4">
      <c r="A619">
        <v>143399033</v>
      </c>
      <c r="B619">
        <v>7517</v>
      </c>
      <c r="C619">
        <v>202211</v>
      </c>
      <c r="D619">
        <v>7517</v>
      </c>
    </row>
    <row r="620" spans="1:4">
      <c r="A620">
        <v>143399042</v>
      </c>
      <c r="B620">
        <v>10217</v>
      </c>
      <c r="C620">
        <v>202210</v>
      </c>
      <c r="D620">
        <v>10217</v>
      </c>
    </row>
    <row r="621" spans="1:4">
      <c r="A621">
        <v>143399043</v>
      </c>
      <c r="B621">
        <v>38141</v>
      </c>
      <c r="C621">
        <v>202210</v>
      </c>
      <c r="D621">
        <v>38141</v>
      </c>
    </row>
    <row r="622" spans="1:4">
      <c r="A622">
        <v>143399044</v>
      </c>
      <c r="B622">
        <v>16408</v>
      </c>
      <c r="C622">
        <v>202210</v>
      </c>
      <c r="D622">
        <v>16408</v>
      </c>
    </row>
    <row r="623" spans="1:4">
      <c r="A623">
        <v>143399048</v>
      </c>
      <c r="B623">
        <v>1504</v>
      </c>
      <c r="C623">
        <v>202210</v>
      </c>
      <c r="D623">
        <v>1504</v>
      </c>
    </row>
    <row r="624" spans="1:4">
      <c r="A624">
        <v>143399049</v>
      </c>
      <c r="B624">
        <v>279</v>
      </c>
      <c r="C624">
        <v>202210</v>
      </c>
      <c r="D624">
        <v>279</v>
      </c>
    </row>
    <row r="625" spans="1:4">
      <c r="A625">
        <v>143409059</v>
      </c>
      <c r="B625">
        <v>4640</v>
      </c>
      <c r="C625">
        <v>202210</v>
      </c>
      <c r="D625">
        <v>4640</v>
      </c>
    </row>
    <row r="626" spans="1:4">
      <c r="A626">
        <v>143409061</v>
      </c>
      <c r="B626">
        <v>1485</v>
      </c>
      <c r="C626">
        <v>202210</v>
      </c>
      <c r="D626">
        <v>1485</v>
      </c>
    </row>
    <row r="627" spans="1:4">
      <c r="A627">
        <v>143409062</v>
      </c>
      <c r="B627">
        <v>446</v>
      </c>
      <c r="C627">
        <v>202211</v>
      </c>
      <c r="D627">
        <v>446</v>
      </c>
    </row>
    <row r="628" spans="1:4">
      <c r="A628">
        <v>143409072</v>
      </c>
      <c r="B628">
        <v>9188</v>
      </c>
      <c r="C628">
        <v>202210</v>
      </c>
      <c r="D628">
        <v>9188</v>
      </c>
    </row>
    <row r="629" spans="1:4">
      <c r="A629">
        <v>143409082</v>
      </c>
      <c r="B629">
        <v>30068</v>
      </c>
      <c r="C629">
        <v>202210</v>
      </c>
      <c r="D629">
        <v>30068</v>
      </c>
    </row>
    <row r="630" spans="1:4">
      <c r="A630">
        <v>143409095</v>
      </c>
      <c r="B630">
        <v>328</v>
      </c>
      <c r="C630">
        <v>202210</v>
      </c>
      <c r="D630">
        <v>418</v>
      </c>
    </row>
    <row r="631" spans="1:4">
      <c r="A631">
        <v>143409121</v>
      </c>
      <c r="B631">
        <v>1601</v>
      </c>
      <c r="C631">
        <v>202210</v>
      </c>
      <c r="D631">
        <v>1601</v>
      </c>
    </row>
    <row r="632" spans="1:4">
      <c r="A632">
        <v>143409134</v>
      </c>
      <c r="B632">
        <v>6099</v>
      </c>
      <c r="C632">
        <v>202211</v>
      </c>
      <c r="D632">
        <v>6099</v>
      </c>
    </row>
    <row r="633" spans="1:4">
      <c r="A633">
        <v>143409136</v>
      </c>
      <c r="B633">
        <v>45936</v>
      </c>
      <c r="C633">
        <v>202211</v>
      </c>
      <c r="D633">
        <v>45936</v>
      </c>
    </row>
    <row r="634" spans="1:4">
      <c r="A634">
        <v>143409137</v>
      </c>
      <c r="B634">
        <v>17958</v>
      </c>
      <c r="C634">
        <v>202211</v>
      </c>
      <c r="D634">
        <v>17958</v>
      </c>
    </row>
    <row r="635" spans="1:4">
      <c r="A635">
        <v>143409140</v>
      </c>
      <c r="B635">
        <v>9728</v>
      </c>
      <c r="C635">
        <v>202211</v>
      </c>
      <c r="D635">
        <v>9728</v>
      </c>
    </row>
    <row r="636" spans="1:4">
      <c r="A636">
        <v>143409142</v>
      </c>
      <c r="B636">
        <v>1949</v>
      </c>
      <c r="C636">
        <v>202211</v>
      </c>
      <c r="D636">
        <v>1949</v>
      </c>
    </row>
    <row r="637" spans="1:4">
      <c r="A637">
        <v>143409154</v>
      </c>
      <c r="B637">
        <v>1114</v>
      </c>
      <c r="C637">
        <v>202210</v>
      </c>
      <c r="D637">
        <v>1114</v>
      </c>
    </row>
    <row r="638" spans="1:4">
      <c r="A638">
        <v>143409155</v>
      </c>
      <c r="B638">
        <v>42327</v>
      </c>
      <c r="C638">
        <v>202211</v>
      </c>
      <c r="D638">
        <v>42327</v>
      </c>
    </row>
    <row r="639" spans="1:4">
      <c r="A639">
        <v>143409164</v>
      </c>
      <c r="B639">
        <v>780</v>
      </c>
      <c r="C639">
        <v>202211</v>
      </c>
      <c r="D639">
        <v>780</v>
      </c>
    </row>
    <row r="640" spans="1:4">
      <c r="A640">
        <v>143409166</v>
      </c>
      <c r="B640">
        <v>14812</v>
      </c>
      <c r="C640">
        <v>202210</v>
      </c>
      <c r="D640">
        <v>19303</v>
      </c>
    </row>
    <row r="641" spans="1:4">
      <c r="A641">
        <v>143409167</v>
      </c>
      <c r="B641">
        <v>6181</v>
      </c>
      <c r="C641">
        <v>202210</v>
      </c>
      <c r="D641">
        <v>6181</v>
      </c>
    </row>
    <row r="642" spans="1:4">
      <c r="A642">
        <v>143409168</v>
      </c>
      <c r="B642">
        <v>140</v>
      </c>
      <c r="C642">
        <v>202210</v>
      </c>
      <c r="D642">
        <v>140</v>
      </c>
    </row>
    <row r="643" spans="1:4">
      <c r="A643">
        <v>143409176</v>
      </c>
      <c r="B643">
        <v>1665</v>
      </c>
      <c r="C643">
        <v>202211</v>
      </c>
      <c r="D643">
        <v>1672</v>
      </c>
    </row>
    <row r="644" spans="1:4">
      <c r="A644">
        <v>143409186</v>
      </c>
      <c r="B644">
        <v>3602</v>
      </c>
      <c r="C644">
        <v>202211</v>
      </c>
      <c r="D644">
        <v>3602</v>
      </c>
    </row>
    <row r="645" spans="1:4">
      <c r="A645">
        <v>143409188</v>
      </c>
      <c r="B645">
        <v>4566</v>
      </c>
      <c r="C645">
        <v>202210</v>
      </c>
      <c r="D645">
        <v>4566</v>
      </c>
    </row>
    <row r="646" spans="1:4">
      <c r="A646">
        <v>143409204</v>
      </c>
      <c r="B646">
        <v>3365</v>
      </c>
      <c r="C646">
        <v>202211</v>
      </c>
      <c r="D646">
        <v>3365</v>
      </c>
    </row>
    <row r="647" spans="1:4">
      <c r="A647">
        <v>143409205</v>
      </c>
      <c r="B647">
        <v>3620</v>
      </c>
      <c r="C647">
        <v>202301</v>
      </c>
      <c r="D647">
        <v>3620</v>
      </c>
    </row>
    <row r="648" spans="1:4">
      <c r="A648">
        <v>143409209</v>
      </c>
      <c r="B648">
        <v>6914</v>
      </c>
      <c r="C648">
        <v>202210</v>
      </c>
      <c r="D648">
        <v>6914</v>
      </c>
    </row>
    <row r="649" spans="1:4">
      <c r="A649">
        <v>143409211</v>
      </c>
      <c r="B649">
        <v>7054</v>
      </c>
      <c r="C649">
        <v>202210</v>
      </c>
      <c r="D649">
        <v>8910</v>
      </c>
    </row>
    <row r="650" spans="1:4">
      <c r="A650">
        <v>143409216</v>
      </c>
      <c r="B650">
        <v>975</v>
      </c>
      <c r="C650">
        <v>202210</v>
      </c>
      <c r="D650">
        <v>975</v>
      </c>
    </row>
    <row r="651" spans="1:4">
      <c r="A651">
        <v>143409224</v>
      </c>
      <c r="B651">
        <v>4826</v>
      </c>
      <c r="C651">
        <v>202210</v>
      </c>
      <c r="D651">
        <v>4826</v>
      </c>
    </row>
    <row r="652" spans="1:4">
      <c r="A652">
        <v>143409235</v>
      </c>
      <c r="B652">
        <v>11136</v>
      </c>
      <c r="C652">
        <v>202211</v>
      </c>
      <c r="D652">
        <v>11136</v>
      </c>
    </row>
    <row r="653" spans="1:4">
      <c r="A653">
        <v>143409237</v>
      </c>
      <c r="B653">
        <v>891</v>
      </c>
      <c r="C653">
        <v>202211</v>
      </c>
      <c r="D653">
        <v>891</v>
      </c>
    </row>
    <row r="654" spans="1:4">
      <c r="A654">
        <v>143409250</v>
      </c>
      <c r="B654">
        <v>4176</v>
      </c>
      <c r="C654">
        <v>202210</v>
      </c>
      <c r="D654">
        <v>4176</v>
      </c>
    </row>
    <row r="655" spans="1:4">
      <c r="A655">
        <v>143409251</v>
      </c>
      <c r="B655">
        <v>5941</v>
      </c>
      <c r="C655">
        <v>202210</v>
      </c>
      <c r="D655">
        <v>5941</v>
      </c>
    </row>
    <row r="656" spans="1:4">
      <c r="A656">
        <v>143409269</v>
      </c>
      <c r="B656">
        <v>3620</v>
      </c>
      <c r="C656">
        <v>202210</v>
      </c>
      <c r="D656">
        <v>3620</v>
      </c>
    </row>
    <row r="657" spans="1:4">
      <c r="A657">
        <v>143419283</v>
      </c>
      <c r="B657">
        <v>232</v>
      </c>
      <c r="C657">
        <v>202210</v>
      </c>
      <c r="D657">
        <v>232</v>
      </c>
    </row>
    <row r="658" spans="1:4">
      <c r="A658">
        <v>143419284</v>
      </c>
      <c r="B658">
        <v>10023</v>
      </c>
      <c r="C658">
        <v>202210</v>
      </c>
      <c r="D658">
        <v>10023</v>
      </c>
    </row>
    <row r="659" spans="1:4">
      <c r="A659">
        <v>143419285</v>
      </c>
      <c r="B659">
        <v>1504</v>
      </c>
      <c r="C659">
        <v>202210</v>
      </c>
      <c r="D659">
        <v>1504</v>
      </c>
    </row>
    <row r="660" spans="1:4">
      <c r="A660">
        <v>143419300</v>
      </c>
      <c r="B660">
        <v>11136</v>
      </c>
      <c r="C660">
        <v>202211</v>
      </c>
      <c r="D660">
        <v>11136</v>
      </c>
    </row>
    <row r="661" spans="1:4">
      <c r="A661">
        <v>143419301</v>
      </c>
      <c r="B661">
        <v>16774</v>
      </c>
      <c r="C661">
        <v>202211</v>
      </c>
      <c r="D661">
        <v>22272</v>
      </c>
    </row>
    <row r="662" spans="1:4">
      <c r="A662">
        <v>143419307</v>
      </c>
      <c r="B662">
        <v>12437</v>
      </c>
      <c r="C662">
        <v>202210</v>
      </c>
      <c r="D662">
        <v>12437</v>
      </c>
    </row>
    <row r="663" spans="1:4">
      <c r="A663">
        <v>143419308</v>
      </c>
      <c r="B663">
        <v>1811</v>
      </c>
      <c r="C663">
        <v>202210</v>
      </c>
      <c r="D663">
        <v>1811</v>
      </c>
    </row>
    <row r="664" spans="1:4">
      <c r="A664">
        <v>143419310</v>
      </c>
      <c r="B664">
        <v>1951</v>
      </c>
      <c r="C664">
        <v>202211</v>
      </c>
      <c r="D664">
        <v>1951</v>
      </c>
    </row>
    <row r="665" spans="1:4">
      <c r="A665">
        <v>143419332</v>
      </c>
      <c r="B665">
        <v>11657</v>
      </c>
      <c r="C665">
        <v>202210</v>
      </c>
      <c r="D665">
        <v>14478</v>
      </c>
    </row>
    <row r="666" spans="1:4">
      <c r="A666">
        <v>143419333</v>
      </c>
      <c r="B666">
        <v>5290</v>
      </c>
      <c r="C666">
        <v>202210</v>
      </c>
      <c r="D666">
        <v>5708</v>
      </c>
    </row>
    <row r="667" spans="1:4">
      <c r="A667">
        <v>143419343</v>
      </c>
      <c r="B667">
        <v>1951</v>
      </c>
      <c r="C667">
        <v>202211</v>
      </c>
      <c r="D667">
        <v>1951</v>
      </c>
    </row>
    <row r="668" spans="1:4">
      <c r="A668">
        <v>143419356</v>
      </c>
      <c r="B668">
        <v>15036</v>
      </c>
      <c r="C668">
        <v>202211</v>
      </c>
      <c r="D668">
        <v>15036</v>
      </c>
    </row>
    <row r="669" spans="1:4">
      <c r="A669">
        <v>143419360</v>
      </c>
      <c r="B669">
        <v>10821</v>
      </c>
      <c r="C669">
        <v>202211</v>
      </c>
      <c r="D669">
        <v>10821</v>
      </c>
    </row>
    <row r="670" spans="1:4">
      <c r="A670">
        <v>143419365</v>
      </c>
      <c r="B670">
        <v>140</v>
      </c>
      <c r="C670">
        <v>202211</v>
      </c>
      <c r="D670">
        <v>140</v>
      </c>
    </row>
    <row r="671" spans="1:4">
      <c r="A671">
        <v>143419376</v>
      </c>
      <c r="B671">
        <v>780</v>
      </c>
      <c r="C671">
        <v>202211</v>
      </c>
      <c r="D671">
        <v>780</v>
      </c>
    </row>
    <row r="672" spans="1:4">
      <c r="A672">
        <v>143419407</v>
      </c>
      <c r="B672">
        <v>743</v>
      </c>
      <c r="C672">
        <v>202211</v>
      </c>
      <c r="D672">
        <v>743</v>
      </c>
    </row>
    <row r="673" spans="1:4">
      <c r="A673">
        <v>143419409</v>
      </c>
      <c r="B673">
        <v>5866</v>
      </c>
      <c r="C673">
        <v>202211</v>
      </c>
      <c r="D673">
        <v>7054</v>
      </c>
    </row>
    <row r="674" spans="1:4">
      <c r="A674">
        <v>143419418</v>
      </c>
      <c r="B674">
        <v>1486</v>
      </c>
      <c r="C674">
        <v>202211</v>
      </c>
      <c r="D674">
        <v>1486</v>
      </c>
    </row>
    <row r="675" spans="1:4">
      <c r="A675">
        <v>143419428</v>
      </c>
      <c r="B675">
        <v>446</v>
      </c>
      <c r="C675">
        <v>202211</v>
      </c>
      <c r="D675">
        <v>446</v>
      </c>
    </row>
    <row r="676" spans="1:4">
      <c r="A676">
        <v>143429435</v>
      </c>
      <c r="B676">
        <v>10255</v>
      </c>
      <c r="C676">
        <v>202211</v>
      </c>
      <c r="D676">
        <v>10255</v>
      </c>
    </row>
    <row r="677" spans="1:4">
      <c r="A677">
        <v>143429436</v>
      </c>
      <c r="B677">
        <v>557</v>
      </c>
      <c r="C677">
        <v>202211</v>
      </c>
      <c r="D677">
        <v>557</v>
      </c>
    </row>
    <row r="678" spans="1:4">
      <c r="A678">
        <v>143429442</v>
      </c>
      <c r="B678">
        <v>14255</v>
      </c>
      <c r="C678">
        <v>202211</v>
      </c>
      <c r="D678">
        <v>14255</v>
      </c>
    </row>
    <row r="679" spans="1:4">
      <c r="A679">
        <v>143429450</v>
      </c>
      <c r="B679">
        <v>859</v>
      </c>
      <c r="C679">
        <v>202211</v>
      </c>
      <c r="D679">
        <v>859</v>
      </c>
    </row>
    <row r="680" spans="1:4">
      <c r="A680">
        <v>143429456</v>
      </c>
      <c r="B680">
        <v>28120</v>
      </c>
      <c r="C680">
        <v>202211</v>
      </c>
      <c r="D680">
        <v>28120</v>
      </c>
    </row>
    <row r="681" spans="1:4">
      <c r="A681">
        <v>143429464</v>
      </c>
      <c r="B681">
        <v>47</v>
      </c>
      <c r="C681">
        <v>202211</v>
      </c>
      <c r="D681">
        <v>47</v>
      </c>
    </row>
    <row r="682" spans="1:4">
      <c r="A682">
        <v>143429465</v>
      </c>
      <c r="B682">
        <v>7797</v>
      </c>
      <c r="C682">
        <v>202211</v>
      </c>
      <c r="D682">
        <v>7797</v>
      </c>
    </row>
    <row r="683" spans="1:4">
      <c r="A683">
        <v>143429471</v>
      </c>
      <c r="B683">
        <v>11136</v>
      </c>
      <c r="C683">
        <v>202212</v>
      </c>
      <c r="D683">
        <v>11136</v>
      </c>
    </row>
    <row r="684" spans="1:4">
      <c r="A684">
        <v>143429472</v>
      </c>
      <c r="B684">
        <v>11136</v>
      </c>
      <c r="C684">
        <v>202212</v>
      </c>
      <c r="D684">
        <v>11136</v>
      </c>
    </row>
    <row r="685" spans="1:4">
      <c r="A685">
        <v>143429475</v>
      </c>
      <c r="B685">
        <v>1171</v>
      </c>
      <c r="C685">
        <v>202211</v>
      </c>
      <c r="D685">
        <v>1672</v>
      </c>
    </row>
    <row r="686" spans="1:4">
      <c r="A686">
        <v>143429476</v>
      </c>
      <c r="B686">
        <v>1254</v>
      </c>
      <c r="C686">
        <v>202211</v>
      </c>
      <c r="D686">
        <v>1254</v>
      </c>
    </row>
    <row r="687" spans="1:4">
      <c r="A687">
        <v>143429477</v>
      </c>
      <c r="B687">
        <v>1601</v>
      </c>
      <c r="C687">
        <v>202211</v>
      </c>
      <c r="D687">
        <v>1601</v>
      </c>
    </row>
    <row r="688" spans="1:4">
      <c r="A688">
        <v>143429478</v>
      </c>
      <c r="B688">
        <v>3648</v>
      </c>
      <c r="C688">
        <v>202211</v>
      </c>
      <c r="D688">
        <v>3694</v>
      </c>
    </row>
    <row r="689" spans="1:4">
      <c r="A689">
        <v>143429479</v>
      </c>
      <c r="B689">
        <v>3694</v>
      </c>
      <c r="C689">
        <v>202211</v>
      </c>
      <c r="D689">
        <v>3694</v>
      </c>
    </row>
    <row r="690" spans="1:4">
      <c r="A690">
        <v>143429480</v>
      </c>
      <c r="B690">
        <v>1951</v>
      </c>
      <c r="C690">
        <v>202211</v>
      </c>
      <c r="D690">
        <v>1951</v>
      </c>
    </row>
    <row r="691" spans="1:4">
      <c r="A691">
        <v>143429483</v>
      </c>
      <c r="B691">
        <v>7517</v>
      </c>
      <c r="C691">
        <v>202212</v>
      </c>
      <c r="D691">
        <v>7517</v>
      </c>
    </row>
    <row r="692" spans="1:4">
      <c r="A692">
        <v>143429490</v>
      </c>
      <c r="B692">
        <v>30555</v>
      </c>
      <c r="C692">
        <v>202211</v>
      </c>
      <c r="D692">
        <v>30555</v>
      </c>
    </row>
    <row r="693" spans="1:4">
      <c r="A693">
        <v>143429508</v>
      </c>
      <c r="B693">
        <v>12993</v>
      </c>
      <c r="C693">
        <v>202211</v>
      </c>
      <c r="D693">
        <v>12993</v>
      </c>
    </row>
    <row r="694" spans="1:4">
      <c r="A694">
        <v>143429509</v>
      </c>
      <c r="B694">
        <v>1903</v>
      </c>
      <c r="C694">
        <v>202211</v>
      </c>
      <c r="D694">
        <v>1903</v>
      </c>
    </row>
    <row r="695" spans="1:4">
      <c r="A695">
        <v>143429538</v>
      </c>
      <c r="B695">
        <v>9021</v>
      </c>
      <c r="C695">
        <v>202211</v>
      </c>
      <c r="D695">
        <v>9021</v>
      </c>
    </row>
    <row r="696" spans="1:4">
      <c r="A696">
        <v>143429539</v>
      </c>
      <c r="B696">
        <v>9652</v>
      </c>
      <c r="C696">
        <v>202211</v>
      </c>
      <c r="D696">
        <v>9652</v>
      </c>
    </row>
    <row r="697" spans="1:4">
      <c r="A697">
        <v>143429553</v>
      </c>
      <c r="B697">
        <v>279</v>
      </c>
      <c r="C697">
        <v>202211</v>
      </c>
      <c r="D697">
        <v>279</v>
      </c>
    </row>
    <row r="698" spans="1:4">
      <c r="A698">
        <v>143429584</v>
      </c>
      <c r="B698">
        <v>10048</v>
      </c>
      <c r="C698">
        <v>202211</v>
      </c>
      <c r="D698">
        <v>10048</v>
      </c>
    </row>
    <row r="699" spans="1:4">
      <c r="A699">
        <v>143429585</v>
      </c>
      <c r="B699">
        <v>10395</v>
      </c>
      <c r="C699">
        <v>202211</v>
      </c>
      <c r="D699">
        <v>10395</v>
      </c>
    </row>
    <row r="700" spans="1:4">
      <c r="A700">
        <v>143429586</v>
      </c>
      <c r="B700">
        <v>628</v>
      </c>
      <c r="C700">
        <v>202211</v>
      </c>
      <c r="D700">
        <v>628</v>
      </c>
    </row>
    <row r="701" spans="1:4">
      <c r="A701">
        <v>143429592</v>
      </c>
      <c r="B701">
        <v>23337</v>
      </c>
      <c r="C701">
        <v>202211</v>
      </c>
      <c r="D701">
        <v>23337</v>
      </c>
    </row>
    <row r="702" spans="1:4">
      <c r="A702">
        <v>143429593</v>
      </c>
      <c r="B702">
        <v>2303</v>
      </c>
      <c r="C702">
        <v>202211</v>
      </c>
      <c r="D702">
        <v>2303</v>
      </c>
    </row>
    <row r="703" spans="1:4">
      <c r="A703">
        <v>143429599</v>
      </c>
      <c r="B703">
        <v>1420</v>
      </c>
      <c r="C703">
        <v>202211</v>
      </c>
      <c r="D703">
        <v>1420</v>
      </c>
    </row>
    <row r="704" spans="1:4">
      <c r="A704">
        <v>143429600</v>
      </c>
      <c r="B704">
        <v>1671</v>
      </c>
      <c r="C704">
        <v>202211</v>
      </c>
      <c r="D704">
        <v>1671</v>
      </c>
    </row>
    <row r="705" spans="1:4">
      <c r="A705">
        <v>143429604</v>
      </c>
      <c r="B705">
        <v>18514</v>
      </c>
      <c r="C705">
        <v>202211</v>
      </c>
      <c r="D705">
        <v>18514</v>
      </c>
    </row>
    <row r="706" spans="1:4">
      <c r="A706">
        <v>143429614</v>
      </c>
      <c r="B706">
        <v>4970</v>
      </c>
      <c r="C706">
        <v>202211</v>
      </c>
      <c r="D706">
        <v>4970</v>
      </c>
    </row>
    <row r="707" spans="1:4">
      <c r="A707">
        <v>143429615</v>
      </c>
      <c r="B707">
        <v>1856</v>
      </c>
      <c r="C707">
        <v>202212</v>
      </c>
      <c r="D707">
        <v>1856</v>
      </c>
    </row>
    <row r="708" spans="1:4">
      <c r="A708">
        <v>143429616</v>
      </c>
      <c r="B708">
        <v>7425</v>
      </c>
      <c r="C708">
        <v>202211</v>
      </c>
      <c r="D708">
        <v>7425</v>
      </c>
    </row>
    <row r="709" spans="1:4">
      <c r="A709">
        <v>143429618</v>
      </c>
      <c r="B709">
        <v>877</v>
      </c>
      <c r="C709">
        <v>202211</v>
      </c>
      <c r="D709">
        <v>877</v>
      </c>
    </row>
    <row r="710" spans="1:4">
      <c r="A710">
        <v>143429651</v>
      </c>
      <c r="B710">
        <v>232</v>
      </c>
      <c r="C710">
        <v>202212</v>
      </c>
      <c r="D710">
        <v>232</v>
      </c>
    </row>
    <row r="711" spans="1:4">
      <c r="A711">
        <v>143439653</v>
      </c>
      <c r="B711">
        <v>164</v>
      </c>
      <c r="C711">
        <v>202211</v>
      </c>
      <c r="D711">
        <v>164</v>
      </c>
    </row>
    <row r="712" spans="1:4">
      <c r="A712">
        <v>143439655</v>
      </c>
      <c r="B712">
        <v>10396</v>
      </c>
      <c r="C712">
        <v>202211</v>
      </c>
      <c r="D712">
        <v>10396</v>
      </c>
    </row>
    <row r="713" spans="1:4">
      <c r="A713">
        <v>143439659</v>
      </c>
      <c r="B713">
        <v>1951</v>
      </c>
      <c r="C713">
        <v>202211</v>
      </c>
      <c r="D713">
        <v>1951</v>
      </c>
    </row>
    <row r="714" spans="1:4">
      <c r="A714">
        <v>143439679</v>
      </c>
      <c r="B714">
        <v>15000</v>
      </c>
      <c r="C714">
        <v>202211</v>
      </c>
      <c r="D714">
        <v>15591</v>
      </c>
    </row>
    <row r="715" spans="1:4">
      <c r="A715">
        <v>143439682</v>
      </c>
      <c r="B715">
        <v>8352</v>
      </c>
      <c r="C715">
        <v>202211</v>
      </c>
      <c r="D715">
        <v>8352</v>
      </c>
    </row>
    <row r="716" spans="1:4">
      <c r="A716">
        <v>143439683</v>
      </c>
      <c r="B716">
        <v>4455</v>
      </c>
      <c r="C716">
        <v>202211</v>
      </c>
      <c r="D716">
        <v>4455</v>
      </c>
    </row>
    <row r="717" spans="1:4">
      <c r="A717">
        <v>143439690</v>
      </c>
      <c r="B717">
        <v>1601</v>
      </c>
      <c r="C717">
        <v>202211</v>
      </c>
      <c r="D717">
        <v>1601</v>
      </c>
    </row>
    <row r="718" spans="1:4">
      <c r="A718">
        <v>143439691</v>
      </c>
      <c r="B718">
        <v>1856</v>
      </c>
      <c r="C718">
        <v>202212</v>
      </c>
      <c r="D718">
        <v>1856</v>
      </c>
    </row>
    <row r="719" spans="1:4">
      <c r="A719">
        <v>143439720</v>
      </c>
      <c r="B719">
        <v>1857</v>
      </c>
      <c r="C719">
        <v>202211</v>
      </c>
      <c r="D719">
        <v>2275</v>
      </c>
    </row>
    <row r="720" spans="1:4">
      <c r="A720">
        <v>143439723</v>
      </c>
      <c r="B720">
        <v>15778</v>
      </c>
      <c r="C720">
        <v>202211</v>
      </c>
      <c r="D720">
        <v>15778</v>
      </c>
    </row>
    <row r="721" spans="1:4">
      <c r="A721">
        <v>143439726</v>
      </c>
      <c r="B721">
        <v>1254</v>
      </c>
      <c r="C721">
        <v>202211</v>
      </c>
      <c r="D721">
        <v>1254</v>
      </c>
    </row>
    <row r="722" spans="1:4">
      <c r="A722">
        <v>143439731</v>
      </c>
      <c r="B722">
        <v>1170</v>
      </c>
      <c r="C722">
        <v>202211</v>
      </c>
      <c r="D722">
        <v>1170</v>
      </c>
    </row>
    <row r="723" spans="1:4">
      <c r="A723">
        <v>143439747</v>
      </c>
      <c r="B723">
        <v>3694</v>
      </c>
      <c r="C723">
        <v>202212</v>
      </c>
      <c r="D723">
        <v>3694</v>
      </c>
    </row>
    <row r="724" spans="1:4">
      <c r="A724">
        <v>143439748</v>
      </c>
      <c r="B724">
        <v>3694</v>
      </c>
      <c r="C724">
        <v>202212</v>
      </c>
      <c r="D724">
        <v>3694</v>
      </c>
    </row>
    <row r="725" spans="1:4">
      <c r="A725">
        <v>143439749</v>
      </c>
      <c r="B725">
        <v>3632</v>
      </c>
      <c r="C725">
        <v>202212</v>
      </c>
      <c r="D725">
        <v>3694</v>
      </c>
    </row>
    <row r="726" spans="1:4">
      <c r="A726">
        <v>143439771</v>
      </c>
      <c r="B726">
        <v>1644</v>
      </c>
      <c r="C726">
        <v>202211</v>
      </c>
      <c r="D726">
        <v>1644</v>
      </c>
    </row>
    <row r="727" spans="1:4">
      <c r="A727">
        <v>143439773</v>
      </c>
      <c r="B727">
        <v>14478</v>
      </c>
      <c r="C727">
        <v>202211</v>
      </c>
      <c r="D727">
        <v>14478</v>
      </c>
    </row>
    <row r="728" spans="1:4">
      <c r="A728">
        <v>143439780</v>
      </c>
      <c r="B728">
        <v>22771</v>
      </c>
      <c r="C728">
        <v>202211</v>
      </c>
      <c r="D728">
        <v>22771</v>
      </c>
    </row>
    <row r="729" spans="1:4">
      <c r="A729">
        <v>143439787</v>
      </c>
      <c r="B729">
        <v>1254</v>
      </c>
      <c r="C729">
        <v>202211</v>
      </c>
      <c r="D729">
        <v>1254</v>
      </c>
    </row>
    <row r="730" spans="1:4">
      <c r="A730">
        <v>143439789</v>
      </c>
      <c r="B730">
        <v>70</v>
      </c>
      <c r="C730">
        <v>202211</v>
      </c>
      <c r="D730">
        <v>70</v>
      </c>
    </row>
    <row r="731" spans="1:4">
      <c r="A731">
        <v>143439803</v>
      </c>
      <c r="B731">
        <v>10357</v>
      </c>
      <c r="C731">
        <v>202211</v>
      </c>
      <c r="D731">
        <v>10357</v>
      </c>
    </row>
    <row r="732" spans="1:4">
      <c r="A732">
        <v>143439805</v>
      </c>
      <c r="B732">
        <v>14849</v>
      </c>
      <c r="C732">
        <v>202211</v>
      </c>
      <c r="D732">
        <v>14849</v>
      </c>
    </row>
    <row r="733" spans="1:4">
      <c r="A733">
        <v>143439806</v>
      </c>
      <c r="B733">
        <v>1476</v>
      </c>
      <c r="C733">
        <v>202211</v>
      </c>
      <c r="D733">
        <v>1601</v>
      </c>
    </row>
    <row r="734" spans="1:4">
      <c r="A734">
        <v>143439825</v>
      </c>
      <c r="B734">
        <v>367</v>
      </c>
      <c r="C734">
        <v>202211</v>
      </c>
      <c r="D734">
        <v>377</v>
      </c>
    </row>
    <row r="735" spans="1:4">
      <c r="A735">
        <v>143439827</v>
      </c>
      <c r="B735">
        <v>1170</v>
      </c>
      <c r="C735">
        <v>202211</v>
      </c>
      <c r="D735">
        <v>1170</v>
      </c>
    </row>
    <row r="736" spans="1:4">
      <c r="A736">
        <v>143439828</v>
      </c>
      <c r="B736">
        <v>1003</v>
      </c>
      <c r="C736">
        <v>202211</v>
      </c>
      <c r="D736">
        <v>1003</v>
      </c>
    </row>
    <row r="737" spans="1:4">
      <c r="A737">
        <v>143449857</v>
      </c>
      <c r="B737">
        <v>836</v>
      </c>
      <c r="C737">
        <v>202211</v>
      </c>
      <c r="D737">
        <v>836</v>
      </c>
    </row>
    <row r="738" spans="1:4">
      <c r="A738">
        <v>143449860</v>
      </c>
      <c r="B738">
        <v>6683</v>
      </c>
      <c r="C738">
        <v>202211</v>
      </c>
      <c r="D738">
        <v>6683</v>
      </c>
    </row>
    <row r="739" spans="1:4">
      <c r="A739">
        <v>143449862</v>
      </c>
      <c r="B739">
        <v>3341</v>
      </c>
      <c r="C739">
        <v>202211</v>
      </c>
      <c r="D739">
        <v>3341</v>
      </c>
    </row>
    <row r="740" spans="1:4">
      <c r="A740">
        <v>143449875</v>
      </c>
      <c r="B740">
        <v>3694</v>
      </c>
      <c r="C740">
        <v>202212</v>
      </c>
      <c r="D740">
        <v>3694</v>
      </c>
    </row>
    <row r="741" spans="1:4">
      <c r="A741">
        <v>143449876</v>
      </c>
      <c r="B741">
        <v>3632</v>
      </c>
      <c r="C741">
        <v>202212</v>
      </c>
      <c r="D741">
        <v>3694</v>
      </c>
    </row>
    <row r="742" spans="1:4">
      <c r="A742">
        <v>143449877</v>
      </c>
      <c r="B742">
        <v>3564</v>
      </c>
      <c r="C742">
        <v>202301</v>
      </c>
      <c r="D742">
        <v>3694</v>
      </c>
    </row>
    <row r="743" spans="1:4">
      <c r="A743">
        <v>143449891</v>
      </c>
      <c r="B743">
        <v>10691</v>
      </c>
      <c r="C743">
        <v>202211</v>
      </c>
      <c r="D743">
        <v>10691</v>
      </c>
    </row>
    <row r="744" spans="1:4">
      <c r="A744">
        <v>143449917</v>
      </c>
      <c r="B744">
        <v>2653</v>
      </c>
      <c r="C744">
        <v>202212</v>
      </c>
      <c r="D744">
        <v>5472</v>
      </c>
    </row>
    <row r="745" spans="1:4">
      <c r="A745">
        <v>143449919</v>
      </c>
      <c r="B745">
        <v>7729</v>
      </c>
      <c r="C745">
        <v>202211</v>
      </c>
      <c r="D745">
        <v>9928</v>
      </c>
    </row>
    <row r="746" spans="1:4">
      <c r="A746">
        <v>143449922</v>
      </c>
      <c r="B746">
        <v>4456</v>
      </c>
      <c r="C746">
        <v>202211</v>
      </c>
      <c r="D746">
        <v>4456</v>
      </c>
    </row>
    <row r="747" spans="1:4">
      <c r="A747">
        <v>143449928</v>
      </c>
      <c r="B747">
        <v>1324</v>
      </c>
      <c r="C747">
        <v>202211</v>
      </c>
      <c r="D747">
        <v>1324</v>
      </c>
    </row>
    <row r="748" spans="1:4">
      <c r="A748">
        <v>143449929</v>
      </c>
      <c r="B748">
        <v>975</v>
      </c>
      <c r="C748">
        <v>202212</v>
      </c>
      <c r="D748">
        <v>975</v>
      </c>
    </row>
    <row r="749" spans="1:4">
      <c r="A749">
        <v>143449946</v>
      </c>
      <c r="B749">
        <v>448</v>
      </c>
      <c r="C749">
        <v>202211</v>
      </c>
      <c r="D749">
        <v>420</v>
      </c>
    </row>
    <row r="750" spans="1:4">
      <c r="A750">
        <v>143449947</v>
      </c>
      <c r="B750">
        <v>1338</v>
      </c>
      <c r="C750">
        <v>202212</v>
      </c>
      <c r="D750">
        <v>1338</v>
      </c>
    </row>
    <row r="751" spans="1:4">
      <c r="A751">
        <v>143449948</v>
      </c>
      <c r="B751">
        <v>2256</v>
      </c>
      <c r="C751">
        <v>202212</v>
      </c>
      <c r="D751">
        <v>2256</v>
      </c>
    </row>
    <row r="752" spans="1:4">
      <c r="A752">
        <v>143449949</v>
      </c>
      <c r="B752">
        <v>1337</v>
      </c>
      <c r="C752">
        <v>202212</v>
      </c>
      <c r="D752">
        <v>836</v>
      </c>
    </row>
    <row r="753" spans="1:4">
      <c r="A753">
        <v>143449951</v>
      </c>
      <c r="B753">
        <v>1365</v>
      </c>
      <c r="C753">
        <v>202212</v>
      </c>
      <c r="D753">
        <v>2172</v>
      </c>
    </row>
    <row r="754" spans="1:4">
      <c r="A754">
        <v>143449952</v>
      </c>
      <c r="B754">
        <v>585</v>
      </c>
      <c r="C754">
        <v>202212</v>
      </c>
      <c r="D754">
        <v>1921</v>
      </c>
    </row>
    <row r="755" spans="1:4">
      <c r="A755">
        <v>143449953</v>
      </c>
      <c r="B755">
        <v>1086</v>
      </c>
      <c r="C755">
        <v>202212</v>
      </c>
      <c r="D755">
        <v>2757</v>
      </c>
    </row>
    <row r="756" spans="1:4">
      <c r="A756">
        <v>143449961</v>
      </c>
      <c r="B756">
        <v>3248</v>
      </c>
      <c r="C756">
        <v>202301</v>
      </c>
      <c r="D756">
        <v>3341</v>
      </c>
    </row>
    <row r="757" spans="1:4">
      <c r="A757">
        <v>143449962</v>
      </c>
      <c r="B757">
        <v>11136</v>
      </c>
      <c r="C757">
        <v>202301</v>
      </c>
      <c r="D757">
        <v>11136</v>
      </c>
    </row>
    <row r="758" spans="1:4">
      <c r="A758">
        <v>143449966</v>
      </c>
      <c r="B758">
        <v>5963</v>
      </c>
      <c r="C758">
        <v>202211</v>
      </c>
      <c r="D758">
        <v>5963</v>
      </c>
    </row>
    <row r="759" spans="1:4">
      <c r="A759">
        <v>143449967</v>
      </c>
      <c r="B759">
        <v>3713</v>
      </c>
      <c r="C759">
        <v>202211</v>
      </c>
      <c r="D759">
        <v>3713</v>
      </c>
    </row>
    <row r="760" spans="1:4">
      <c r="A760">
        <v>143449971</v>
      </c>
      <c r="B760">
        <v>34661</v>
      </c>
      <c r="C760">
        <v>202211</v>
      </c>
      <c r="D760">
        <v>34661</v>
      </c>
    </row>
    <row r="761" spans="1:4">
      <c r="A761">
        <v>143449974</v>
      </c>
      <c r="B761">
        <v>45936</v>
      </c>
      <c r="C761">
        <v>202211</v>
      </c>
      <c r="D761">
        <v>45936</v>
      </c>
    </row>
    <row r="762" spans="1:4">
      <c r="A762">
        <v>143449975</v>
      </c>
      <c r="B762">
        <v>45936</v>
      </c>
      <c r="C762">
        <v>202212</v>
      </c>
      <c r="D762">
        <v>45936</v>
      </c>
    </row>
    <row r="763" spans="1:4">
      <c r="A763">
        <v>143449977</v>
      </c>
      <c r="B763">
        <v>1856</v>
      </c>
      <c r="C763">
        <v>202212</v>
      </c>
      <c r="D763">
        <v>1856</v>
      </c>
    </row>
    <row r="764" spans="1:4">
      <c r="A764">
        <v>143449978</v>
      </c>
      <c r="B764">
        <v>1856</v>
      </c>
      <c r="C764">
        <v>202212</v>
      </c>
      <c r="D764">
        <v>1856</v>
      </c>
    </row>
    <row r="765" spans="1:4">
      <c r="A765">
        <v>143449981</v>
      </c>
      <c r="B765">
        <v>223</v>
      </c>
      <c r="C765">
        <v>202212</v>
      </c>
      <c r="D765">
        <v>223</v>
      </c>
    </row>
    <row r="766" spans="1:4">
      <c r="A766">
        <v>143449996</v>
      </c>
      <c r="B766">
        <v>6238</v>
      </c>
      <c r="C766">
        <v>202211</v>
      </c>
      <c r="D766">
        <v>6238</v>
      </c>
    </row>
    <row r="767" spans="1:4">
      <c r="A767">
        <v>143450004</v>
      </c>
      <c r="B767">
        <v>12845</v>
      </c>
      <c r="C767">
        <v>202212</v>
      </c>
      <c r="D767">
        <v>12845</v>
      </c>
    </row>
    <row r="768" spans="1:4">
      <c r="A768">
        <v>143460020</v>
      </c>
      <c r="B768">
        <v>22272</v>
      </c>
      <c r="C768">
        <v>202211</v>
      </c>
      <c r="D768">
        <v>26727</v>
      </c>
    </row>
    <row r="769" spans="1:4">
      <c r="A769">
        <v>143460029</v>
      </c>
      <c r="B769">
        <v>6382</v>
      </c>
      <c r="C769">
        <v>202211</v>
      </c>
      <c r="D769">
        <v>6382</v>
      </c>
    </row>
    <row r="770" spans="1:4">
      <c r="A770">
        <v>143460030</v>
      </c>
      <c r="B770">
        <v>11137</v>
      </c>
      <c r="C770">
        <v>202211</v>
      </c>
      <c r="D770">
        <v>11137</v>
      </c>
    </row>
    <row r="771" spans="1:4">
      <c r="A771">
        <v>143460035</v>
      </c>
      <c r="B771">
        <v>4203</v>
      </c>
      <c r="C771">
        <v>202212</v>
      </c>
      <c r="D771">
        <v>5547</v>
      </c>
    </row>
    <row r="772" spans="1:4">
      <c r="A772">
        <v>143460037</v>
      </c>
      <c r="B772">
        <v>3175</v>
      </c>
      <c r="C772">
        <v>202212</v>
      </c>
      <c r="D772">
        <v>3175</v>
      </c>
    </row>
    <row r="773" spans="1:4">
      <c r="A773">
        <v>143460044</v>
      </c>
      <c r="B773">
        <v>1255</v>
      </c>
      <c r="C773">
        <v>202212</v>
      </c>
      <c r="D773">
        <v>1255</v>
      </c>
    </row>
    <row r="774" spans="1:4">
      <c r="A774">
        <v>143460045</v>
      </c>
      <c r="B774">
        <v>3032</v>
      </c>
      <c r="C774">
        <v>202212</v>
      </c>
      <c r="D774">
        <v>3032</v>
      </c>
    </row>
    <row r="775" spans="1:4">
      <c r="A775">
        <v>143460047</v>
      </c>
      <c r="B775">
        <v>8169</v>
      </c>
      <c r="C775">
        <v>202212</v>
      </c>
      <c r="D775">
        <v>7984</v>
      </c>
    </row>
    <row r="776" spans="1:4">
      <c r="A776">
        <v>143460048</v>
      </c>
      <c r="B776">
        <v>1318</v>
      </c>
      <c r="C776">
        <v>202212</v>
      </c>
      <c r="D776">
        <v>1337</v>
      </c>
    </row>
    <row r="777" spans="1:4">
      <c r="A777">
        <v>143460051</v>
      </c>
      <c r="B777">
        <v>18375</v>
      </c>
      <c r="C777">
        <v>202212</v>
      </c>
      <c r="D777">
        <v>18375</v>
      </c>
    </row>
    <row r="778" spans="1:4">
      <c r="A778">
        <v>143460052</v>
      </c>
      <c r="B778">
        <v>45936</v>
      </c>
      <c r="C778">
        <v>202212</v>
      </c>
      <c r="D778">
        <v>45936</v>
      </c>
    </row>
    <row r="779" spans="1:4">
      <c r="A779">
        <v>143460054</v>
      </c>
      <c r="B779">
        <v>1056</v>
      </c>
      <c r="C779">
        <v>202212</v>
      </c>
      <c r="D779">
        <v>2757</v>
      </c>
    </row>
    <row r="780" spans="1:4">
      <c r="A780">
        <v>143460056</v>
      </c>
      <c r="B780">
        <v>70</v>
      </c>
      <c r="C780">
        <v>202212</v>
      </c>
      <c r="D780">
        <v>70</v>
      </c>
    </row>
    <row r="781" spans="1:4">
      <c r="A781">
        <v>143460070</v>
      </c>
      <c r="B781">
        <v>6901</v>
      </c>
      <c r="C781">
        <v>202211</v>
      </c>
      <c r="D781">
        <v>7109</v>
      </c>
    </row>
    <row r="782" spans="1:4">
      <c r="A782">
        <v>143460073</v>
      </c>
      <c r="B782">
        <v>6683</v>
      </c>
      <c r="C782">
        <v>202211</v>
      </c>
      <c r="D782">
        <v>6683</v>
      </c>
    </row>
    <row r="783" spans="1:4">
      <c r="A783">
        <v>143460075</v>
      </c>
      <c r="B783">
        <v>498</v>
      </c>
      <c r="C783">
        <v>202212</v>
      </c>
      <c r="D783">
        <v>1088</v>
      </c>
    </row>
    <row r="784" spans="1:4">
      <c r="A784">
        <v>143460091</v>
      </c>
      <c r="B784">
        <v>10784</v>
      </c>
      <c r="C784">
        <v>202211</v>
      </c>
      <c r="D784">
        <v>10798</v>
      </c>
    </row>
    <row r="785" spans="1:4">
      <c r="A785">
        <v>143460092</v>
      </c>
      <c r="B785">
        <v>12215</v>
      </c>
      <c r="C785">
        <v>202211</v>
      </c>
      <c r="D785">
        <v>12252</v>
      </c>
    </row>
    <row r="786" spans="1:4">
      <c r="A786">
        <v>143460095</v>
      </c>
      <c r="B786">
        <v>836</v>
      </c>
      <c r="C786">
        <v>202212</v>
      </c>
      <c r="D786">
        <v>836</v>
      </c>
    </row>
    <row r="787" spans="1:4">
      <c r="A787">
        <v>143460096</v>
      </c>
      <c r="B787">
        <v>45936</v>
      </c>
      <c r="C787">
        <v>202212</v>
      </c>
      <c r="D787">
        <v>45936</v>
      </c>
    </row>
    <row r="788" spans="1:4">
      <c r="A788">
        <v>143460107</v>
      </c>
      <c r="B788">
        <v>1782</v>
      </c>
      <c r="C788">
        <v>202212</v>
      </c>
      <c r="D788">
        <v>1782</v>
      </c>
    </row>
    <row r="789" spans="1:4">
      <c r="A789">
        <v>143460135</v>
      </c>
      <c r="B789">
        <v>8909</v>
      </c>
      <c r="C789">
        <v>202212</v>
      </c>
      <c r="D789">
        <v>8909</v>
      </c>
    </row>
    <row r="790" spans="1:4">
      <c r="A790">
        <v>143460152</v>
      </c>
      <c r="B790">
        <v>15481</v>
      </c>
      <c r="C790">
        <v>202212</v>
      </c>
      <c r="D790">
        <v>15593</v>
      </c>
    </row>
    <row r="791" spans="1:4">
      <c r="A791">
        <v>143460153</v>
      </c>
      <c r="B791">
        <v>6405</v>
      </c>
      <c r="C791">
        <v>202212</v>
      </c>
      <c r="D791">
        <v>6405</v>
      </c>
    </row>
    <row r="792" spans="1:4">
      <c r="A792">
        <v>143460157</v>
      </c>
      <c r="B792">
        <v>419</v>
      </c>
      <c r="C792">
        <v>202212</v>
      </c>
      <c r="D792">
        <v>419</v>
      </c>
    </row>
    <row r="793" spans="1:4">
      <c r="A793">
        <v>143460158</v>
      </c>
      <c r="B793">
        <v>279</v>
      </c>
      <c r="C793">
        <v>202212</v>
      </c>
      <c r="D793">
        <v>279</v>
      </c>
    </row>
    <row r="794" spans="1:4">
      <c r="A794">
        <v>143460199</v>
      </c>
      <c r="B794">
        <v>11510</v>
      </c>
      <c r="C794">
        <v>202212</v>
      </c>
      <c r="D794">
        <v>11881</v>
      </c>
    </row>
    <row r="795" spans="1:4">
      <c r="A795">
        <v>143460200</v>
      </c>
      <c r="B795">
        <v>10023</v>
      </c>
      <c r="C795">
        <v>202212</v>
      </c>
      <c r="D795">
        <v>10023</v>
      </c>
    </row>
    <row r="796" spans="1:4">
      <c r="A796">
        <v>143470228</v>
      </c>
      <c r="B796">
        <v>3620</v>
      </c>
      <c r="C796">
        <v>202212</v>
      </c>
      <c r="D796">
        <v>8631</v>
      </c>
    </row>
    <row r="797" spans="1:4">
      <c r="A797">
        <v>143470229</v>
      </c>
      <c r="B797">
        <v>12993</v>
      </c>
      <c r="C797">
        <v>202212</v>
      </c>
      <c r="D797">
        <v>12993</v>
      </c>
    </row>
    <row r="798" spans="1:4">
      <c r="A798">
        <v>143470230</v>
      </c>
      <c r="B798">
        <v>2507</v>
      </c>
      <c r="C798">
        <v>202212</v>
      </c>
      <c r="D798">
        <v>2507</v>
      </c>
    </row>
    <row r="799" spans="1:4">
      <c r="A799">
        <v>143470246</v>
      </c>
      <c r="B799">
        <v>12799</v>
      </c>
      <c r="C799">
        <v>202212</v>
      </c>
      <c r="D799">
        <v>12799</v>
      </c>
    </row>
    <row r="800" spans="1:4">
      <c r="A800">
        <v>143470255</v>
      </c>
      <c r="B800">
        <v>26171</v>
      </c>
      <c r="C800">
        <v>202212</v>
      </c>
      <c r="D800">
        <v>26171</v>
      </c>
    </row>
    <row r="801" spans="1:4">
      <c r="A801">
        <v>143470275</v>
      </c>
      <c r="B801">
        <v>13364</v>
      </c>
      <c r="C801">
        <v>202212</v>
      </c>
      <c r="D801">
        <v>13364</v>
      </c>
    </row>
    <row r="802" spans="1:4">
      <c r="A802">
        <v>143470276</v>
      </c>
      <c r="B802">
        <v>12593</v>
      </c>
      <c r="C802">
        <v>202212</v>
      </c>
      <c r="D802">
        <v>12593</v>
      </c>
    </row>
    <row r="803" spans="1:4">
      <c r="A803">
        <v>143470313</v>
      </c>
      <c r="B803">
        <v>919</v>
      </c>
      <c r="C803">
        <v>202212</v>
      </c>
      <c r="D803">
        <v>919</v>
      </c>
    </row>
    <row r="804" spans="1:4">
      <c r="A804">
        <v>143470317</v>
      </c>
      <c r="B804">
        <v>58743</v>
      </c>
      <c r="C804">
        <v>202212</v>
      </c>
      <c r="D804">
        <v>58799</v>
      </c>
    </row>
    <row r="805" spans="1:4">
      <c r="A805">
        <v>143470330</v>
      </c>
      <c r="B805">
        <v>464</v>
      </c>
      <c r="C805">
        <v>202212</v>
      </c>
      <c r="D805">
        <v>464</v>
      </c>
    </row>
    <row r="806" spans="1:4">
      <c r="A806">
        <v>143470332</v>
      </c>
      <c r="B806">
        <v>11137</v>
      </c>
      <c r="C806">
        <v>202212</v>
      </c>
      <c r="D806">
        <v>11137</v>
      </c>
    </row>
    <row r="807" spans="1:4">
      <c r="A807">
        <v>143470334</v>
      </c>
      <c r="B807">
        <v>24778</v>
      </c>
      <c r="C807">
        <v>202212</v>
      </c>
      <c r="D807">
        <v>24778</v>
      </c>
    </row>
    <row r="808" spans="1:4">
      <c r="A808">
        <v>143470335</v>
      </c>
      <c r="B808">
        <v>877</v>
      </c>
      <c r="C808">
        <v>202212</v>
      </c>
      <c r="D808">
        <v>877</v>
      </c>
    </row>
    <row r="809" spans="1:4">
      <c r="A809">
        <v>143470339</v>
      </c>
      <c r="B809">
        <v>418</v>
      </c>
      <c r="C809">
        <v>202212</v>
      </c>
      <c r="D809">
        <v>418</v>
      </c>
    </row>
    <row r="810" spans="1:4">
      <c r="A810">
        <v>143470340</v>
      </c>
      <c r="B810">
        <v>1881</v>
      </c>
      <c r="C810">
        <v>202212</v>
      </c>
      <c r="D810">
        <v>1881</v>
      </c>
    </row>
    <row r="811" spans="1:4">
      <c r="A811">
        <v>143470356</v>
      </c>
      <c r="B811">
        <v>10063</v>
      </c>
      <c r="C811">
        <v>202212</v>
      </c>
      <c r="D811">
        <v>10063</v>
      </c>
    </row>
    <row r="812" spans="1:4">
      <c r="A812">
        <v>143470363</v>
      </c>
      <c r="B812">
        <v>10395</v>
      </c>
      <c r="C812">
        <v>202212</v>
      </c>
      <c r="D812">
        <v>10395</v>
      </c>
    </row>
    <row r="813" spans="1:4">
      <c r="A813">
        <v>143470382</v>
      </c>
      <c r="B813">
        <v>1022</v>
      </c>
      <c r="C813">
        <v>202212</v>
      </c>
      <c r="D813">
        <v>1068</v>
      </c>
    </row>
    <row r="814" spans="1:4">
      <c r="A814">
        <v>143480432</v>
      </c>
      <c r="B814">
        <v>8446</v>
      </c>
      <c r="C814">
        <v>202212</v>
      </c>
      <c r="D814">
        <v>8446</v>
      </c>
    </row>
    <row r="815" spans="1:4">
      <c r="A815">
        <v>143480433</v>
      </c>
      <c r="B815">
        <v>7424</v>
      </c>
      <c r="C815">
        <v>202212</v>
      </c>
      <c r="D815">
        <v>7424</v>
      </c>
    </row>
    <row r="816" spans="1:4">
      <c r="A816">
        <v>143480480</v>
      </c>
      <c r="B816">
        <v>2228</v>
      </c>
      <c r="C816">
        <v>202212</v>
      </c>
      <c r="D816">
        <v>2228</v>
      </c>
    </row>
    <row r="817" spans="1:4">
      <c r="A817">
        <v>143480481</v>
      </c>
      <c r="B817">
        <v>5356</v>
      </c>
      <c r="C817">
        <v>202212</v>
      </c>
      <c r="D817">
        <v>5356</v>
      </c>
    </row>
    <row r="818" spans="1:4">
      <c r="A818">
        <v>143480485</v>
      </c>
      <c r="B818">
        <v>140</v>
      </c>
      <c r="C818">
        <v>202212</v>
      </c>
      <c r="D818">
        <v>140</v>
      </c>
    </row>
    <row r="819" spans="1:4">
      <c r="A819">
        <v>143480489</v>
      </c>
      <c r="B819">
        <v>1602</v>
      </c>
      <c r="C819">
        <v>202212</v>
      </c>
      <c r="D819">
        <v>1602</v>
      </c>
    </row>
    <row r="820" spans="1:4">
      <c r="A820">
        <v>143480505</v>
      </c>
      <c r="B820">
        <v>6014</v>
      </c>
      <c r="C820">
        <v>202212</v>
      </c>
      <c r="D820">
        <v>6014</v>
      </c>
    </row>
    <row r="821" spans="1:4">
      <c r="A821">
        <v>143480513</v>
      </c>
      <c r="B821">
        <v>14478</v>
      </c>
      <c r="C821">
        <v>202212</v>
      </c>
      <c r="D821">
        <v>14478</v>
      </c>
    </row>
    <row r="822" spans="1:4">
      <c r="A822">
        <v>143480514</v>
      </c>
      <c r="B822">
        <v>8493</v>
      </c>
      <c r="C822">
        <v>202212</v>
      </c>
      <c r="D822">
        <v>8493</v>
      </c>
    </row>
    <row r="823" spans="1:4">
      <c r="A823">
        <v>143480521</v>
      </c>
      <c r="B823">
        <v>45936</v>
      </c>
      <c r="C823">
        <v>202301</v>
      </c>
      <c r="D823">
        <v>45936</v>
      </c>
    </row>
    <row r="824" spans="1:4">
      <c r="A824">
        <v>143480525</v>
      </c>
      <c r="B824">
        <v>280</v>
      </c>
      <c r="C824">
        <v>202212</v>
      </c>
      <c r="D824">
        <v>280</v>
      </c>
    </row>
    <row r="825" spans="1:4">
      <c r="A825">
        <v>143480537</v>
      </c>
      <c r="B825">
        <v>11092</v>
      </c>
      <c r="C825">
        <v>202212</v>
      </c>
      <c r="D825">
        <v>11092</v>
      </c>
    </row>
    <row r="826" spans="1:4">
      <c r="A826">
        <v>143480539</v>
      </c>
      <c r="B826">
        <v>7220</v>
      </c>
      <c r="C826">
        <v>202212</v>
      </c>
      <c r="D826">
        <v>7354</v>
      </c>
    </row>
    <row r="827" spans="1:4">
      <c r="A827">
        <v>143480547</v>
      </c>
      <c r="B827">
        <v>557</v>
      </c>
      <c r="C827">
        <v>202301</v>
      </c>
      <c r="D827">
        <v>557</v>
      </c>
    </row>
    <row r="828" spans="1:4">
      <c r="A828">
        <v>143480552</v>
      </c>
      <c r="B828">
        <v>502</v>
      </c>
      <c r="C828">
        <v>202212</v>
      </c>
      <c r="D828">
        <v>585</v>
      </c>
    </row>
    <row r="829" spans="1:4">
      <c r="A829">
        <v>143480558</v>
      </c>
      <c r="B829">
        <v>21855</v>
      </c>
      <c r="C829">
        <v>202212</v>
      </c>
      <c r="D829">
        <v>21855</v>
      </c>
    </row>
    <row r="830" spans="1:4">
      <c r="A830">
        <v>143480563</v>
      </c>
      <c r="B830">
        <v>1838</v>
      </c>
      <c r="C830">
        <v>202212</v>
      </c>
      <c r="D830">
        <v>1838</v>
      </c>
    </row>
    <row r="831" spans="1:4">
      <c r="A831">
        <v>143480574</v>
      </c>
      <c r="B831">
        <v>11880</v>
      </c>
      <c r="C831">
        <v>202212</v>
      </c>
      <c r="D831">
        <v>11880</v>
      </c>
    </row>
    <row r="832" spans="1:4">
      <c r="A832">
        <v>143480575</v>
      </c>
      <c r="B832">
        <v>7912</v>
      </c>
      <c r="C832">
        <v>202212</v>
      </c>
      <c r="D832">
        <v>7912</v>
      </c>
    </row>
    <row r="833" spans="1:4">
      <c r="A833">
        <v>143480577</v>
      </c>
      <c r="B833">
        <v>1601</v>
      </c>
      <c r="C833">
        <v>202212</v>
      </c>
      <c r="D833">
        <v>1601</v>
      </c>
    </row>
    <row r="834" spans="1:4">
      <c r="A834">
        <v>143480581</v>
      </c>
      <c r="B834">
        <v>483</v>
      </c>
      <c r="C834">
        <v>202212</v>
      </c>
      <c r="D834">
        <v>11136</v>
      </c>
    </row>
    <row r="835" spans="1:4">
      <c r="A835">
        <v>143480592</v>
      </c>
      <c r="B835">
        <v>1742</v>
      </c>
      <c r="C835">
        <v>202212</v>
      </c>
      <c r="D835">
        <v>1742</v>
      </c>
    </row>
    <row r="836" spans="1:4">
      <c r="A836">
        <v>143480608</v>
      </c>
      <c r="B836">
        <v>13364</v>
      </c>
      <c r="C836">
        <v>202212</v>
      </c>
      <c r="D836">
        <v>13364</v>
      </c>
    </row>
    <row r="837" spans="1:4">
      <c r="A837">
        <v>143480609</v>
      </c>
      <c r="B837">
        <v>6264</v>
      </c>
      <c r="C837">
        <v>202212</v>
      </c>
      <c r="D837">
        <v>6264</v>
      </c>
    </row>
    <row r="838" spans="1:4">
      <c r="A838">
        <v>143480616</v>
      </c>
      <c r="B838">
        <v>24500</v>
      </c>
      <c r="C838">
        <v>202301</v>
      </c>
      <c r="D838">
        <v>24500</v>
      </c>
    </row>
    <row r="839" spans="1:4">
      <c r="A839">
        <v>143480620</v>
      </c>
      <c r="B839">
        <v>10654</v>
      </c>
      <c r="C839">
        <v>202212</v>
      </c>
      <c r="D839">
        <v>10654</v>
      </c>
    </row>
    <row r="840" spans="1:4">
      <c r="A840">
        <v>143480621</v>
      </c>
      <c r="B840">
        <v>864</v>
      </c>
      <c r="C840">
        <v>202212</v>
      </c>
      <c r="D840">
        <v>1922</v>
      </c>
    </row>
    <row r="841" spans="1:4">
      <c r="A841">
        <v>143480645</v>
      </c>
      <c r="B841">
        <v>511</v>
      </c>
      <c r="C841">
        <v>202212</v>
      </c>
      <c r="D841">
        <v>511</v>
      </c>
    </row>
    <row r="842" spans="1:4">
      <c r="A842">
        <v>143480649</v>
      </c>
      <c r="B842">
        <v>4270</v>
      </c>
      <c r="C842">
        <v>202212</v>
      </c>
      <c r="D842">
        <v>4270</v>
      </c>
    </row>
    <row r="843" spans="1:4">
      <c r="A843">
        <v>143480651</v>
      </c>
      <c r="B843">
        <v>2616</v>
      </c>
      <c r="C843">
        <v>202212</v>
      </c>
      <c r="D843">
        <v>2616</v>
      </c>
    </row>
    <row r="844" spans="1:4">
      <c r="A844">
        <v>143480653</v>
      </c>
      <c r="B844">
        <v>743</v>
      </c>
      <c r="C844">
        <v>202212</v>
      </c>
      <c r="D844">
        <v>743</v>
      </c>
    </row>
    <row r="845" spans="1:4">
      <c r="A845">
        <v>143480655</v>
      </c>
      <c r="B845">
        <v>168</v>
      </c>
      <c r="C845">
        <v>202212</v>
      </c>
      <c r="D845">
        <v>168</v>
      </c>
    </row>
    <row r="846" spans="1:4">
      <c r="A846">
        <v>143490660</v>
      </c>
      <c r="B846">
        <v>2251</v>
      </c>
      <c r="C846">
        <v>202212</v>
      </c>
      <c r="D846">
        <v>2251</v>
      </c>
    </row>
    <row r="847" spans="1:4">
      <c r="A847">
        <v>143490662</v>
      </c>
      <c r="B847">
        <v>1671</v>
      </c>
      <c r="C847">
        <v>202212</v>
      </c>
      <c r="D847">
        <v>1671</v>
      </c>
    </row>
    <row r="848" spans="1:4">
      <c r="A848">
        <v>143490682</v>
      </c>
      <c r="B848">
        <v>669</v>
      </c>
      <c r="C848">
        <v>202212</v>
      </c>
      <c r="D848">
        <v>669</v>
      </c>
    </row>
    <row r="849" spans="1:4">
      <c r="A849">
        <v>143490683</v>
      </c>
      <c r="B849">
        <v>3694</v>
      </c>
      <c r="C849">
        <v>202301</v>
      </c>
      <c r="D849">
        <v>3694</v>
      </c>
    </row>
    <row r="850" spans="1:4">
      <c r="A850">
        <v>143490693</v>
      </c>
      <c r="B850">
        <v>826</v>
      </c>
      <c r="C850">
        <v>202301</v>
      </c>
      <c r="D850">
        <v>2088</v>
      </c>
    </row>
    <row r="851" spans="1:4">
      <c r="A851">
        <v>143490694</v>
      </c>
      <c r="B851">
        <v>837</v>
      </c>
      <c r="C851">
        <v>202301</v>
      </c>
      <c r="D851">
        <v>1254</v>
      </c>
    </row>
    <row r="852" spans="1:4">
      <c r="A852">
        <v>143490711</v>
      </c>
      <c r="B852">
        <v>1045</v>
      </c>
      <c r="C852">
        <v>202212</v>
      </c>
      <c r="D852">
        <v>1045</v>
      </c>
    </row>
    <row r="853" spans="1:4">
      <c r="A853">
        <v>143490732</v>
      </c>
      <c r="B853">
        <v>975</v>
      </c>
      <c r="C853">
        <v>202301</v>
      </c>
      <c r="D853">
        <v>975</v>
      </c>
    </row>
    <row r="854" spans="1:4">
      <c r="A854">
        <v>143490736</v>
      </c>
      <c r="B854">
        <v>8470</v>
      </c>
      <c r="C854">
        <v>202212</v>
      </c>
      <c r="D854">
        <v>8470</v>
      </c>
    </row>
    <row r="855" spans="1:4">
      <c r="A855">
        <v>143490737</v>
      </c>
      <c r="B855">
        <v>12622</v>
      </c>
      <c r="C855">
        <v>202212</v>
      </c>
      <c r="D855">
        <v>12622</v>
      </c>
    </row>
    <row r="856" spans="1:4">
      <c r="A856">
        <v>143490747</v>
      </c>
      <c r="B856">
        <v>836</v>
      </c>
      <c r="C856">
        <v>202212</v>
      </c>
      <c r="D856">
        <v>836</v>
      </c>
    </row>
    <row r="857" spans="1:4">
      <c r="A857">
        <v>143490761</v>
      </c>
      <c r="B857">
        <v>418</v>
      </c>
      <c r="C857">
        <v>202301</v>
      </c>
      <c r="D857">
        <v>418</v>
      </c>
    </row>
    <row r="858" spans="1:4">
      <c r="A858">
        <v>143490763</v>
      </c>
      <c r="B858">
        <v>423</v>
      </c>
      <c r="C858">
        <v>202301</v>
      </c>
      <c r="D858">
        <v>423</v>
      </c>
    </row>
    <row r="859" spans="1:4">
      <c r="A859">
        <v>143490765</v>
      </c>
      <c r="B859">
        <v>29441</v>
      </c>
      <c r="C859">
        <v>202301</v>
      </c>
      <c r="D859">
        <v>29441</v>
      </c>
    </row>
    <row r="860" spans="1:4">
      <c r="A860">
        <v>143490767</v>
      </c>
      <c r="B860">
        <v>1253</v>
      </c>
      <c r="C860">
        <v>202301</v>
      </c>
      <c r="D860">
        <v>1420</v>
      </c>
    </row>
    <row r="861" spans="1:4">
      <c r="A861">
        <v>143490772</v>
      </c>
      <c r="B861">
        <v>3156</v>
      </c>
      <c r="C861">
        <v>202301</v>
      </c>
      <c r="D861">
        <v>3416</v>
      </c>
    </row>
    <row r="862" spans="1:4">
      <c r="A862">
        <v>143490786</v>
      </c>
      <c r="B862">
        <v>10580</v>
      </c>
      <c r="C862">
        <v>202212</v>
      </c>
      <c r="D862">
        <v>11137</v>
      </c>
    </row>
    <row r="863" spans="1:4">
      <c r="A863">
        <v>143490787</v>
      </c>
      <c r="B863">
        <v>7332</v>
      </c>
      <c r="C863">
        <v>202212</v>
      </c>
      <c r="D863">
        <v>7332</v>
      </c>
    </row>
    <row r="864" spans="1:4">
      <c r="A864">
        <v>143490790</v>
      </c>
      <c r="B864">
        <v>1601</v>
      </c>
      <c r="C864">
        <v>202212</v>
      </c>
      <c r="D864">
        <v>1601</v>
      </c>
    </row>
    <row r="865" spans="1:4">
      <c r="A865">
        <v>143490803</v>
      </c>
      <c r="B865">
        <v>279</v>
      </c>
      <c r="C865">
        <v>202212</v>
      </c>
      <c r="D865">
        <v>279</v>
      </c>
    </row>
    <row r="866" spans="1:4">
      <c r="A866">
        <v>143490804</v>
      </c>
      <c r="B866">
        <v>1742</v>
      </c>
      <c r="C866">
        <v>202212</v>
      </c>
      <c r="D866">
        <v>1742</v>
      </c>
    </row>
    <row r="867" spans="1:4">
      <c r="A867">
        <v>143490806</v>
      </c>
      <c r="B867">
        <v>964</v>
      </c>
      <c r="C867">
        <v>202301</v>
      </c>
      <c r="D867">
        <v>1923</v>
      </c>
    </row>
    <row r="868" spans="1:4">
      <c r="A868">
        <v>143490807</v>
      </c>
      <c r="B868">
        <v>32364</v>
      </c>
      <c r="C868">
        <v>202301</v>
      </c>
      <c r="D868">
        <v>32364</v>
      </c>
    </row>
    <row r="869" spans="1:4">
      <c r="A869">
        <v>143490813</v>
      </c>
      <c r="B869">
        <v>8967</v>
      </c>
      <c r="C869">
        <v>202301</v>
      </c>
      <c r="D869">
        <v>8967</v>
      </c>
    </row>
    <row r="870" spans="1:4">
      <c r="A870">
        <v>143490814</v>
      </c>
      <c r="B870">
        <v>335</v>
      </c>
      <c r="C870">
        <v>202212</v>
      </c>
      <c r="D870">
        <v>335</v>
      </c>
    </row>
    <row r="871" spans="1:4">
      <c r="A871">
        <v>143490821</v>
      </c>
      <c r="B871">
        <v>6207</v>
      </c>
      <c r="C871">
        <v>202301</v>
      </c>
      <c r="D871">
        <v>9973</v>
      </c>
    </row>
    <row r="872" spans="1:4">
      <c r="A872">
        <v>143490829</v>
      </c>
      <c r="B872">
        <v>6264</v>
      </c>
      <c r="C872">
        <v>202212</v>
      </c>
      <c r="D872">
        <v>6264</v>
      </c>
    </row>
    <row r="873" spans="1:4">
      <c r="A873">
        <v>143490830</v>
      </c>
      <c r="B873">
        <v>10765</v>
      </c>
      <c r="C873">
        <v>202212</v>
      </c>
      <c r="D873">
        <v>10765</v>
      </c>
    </row>
    <row r="874" spans="1:4">
      <c r="A874">
        <v>143490837</v>
      </c>
      <c r="B874">
        <v>1381</v>
      </c>
      <c r="C874">
        <v>202301</v>
      </c>
      <c r="D874">
        <v>1420</v>
      </c>
    </row>
    <row r="875" spans="1:4">
      <c r="A875">
        <v>143500850</v>
      </c>
      <c r="B875">
        <v>696</v>
      </c>
      <c r="C875">
        <v>202212</v>
      </c>
      <c r="D875">
        <v>696</v>
      </c>
    </row>
    <row r="876" spans="1:4">
      <c r="A876">
        <v>143500851</v>
      </c>
      <c r="B876">
        <v>2228</v>
      </c>
      <c r="C876">
        <v>202212</v>
      </c>
      <c r="D876">
        <v>2228</v>
      </c>
    </row>
    <row r="877" spans="1:4">
      <c r="A877">
        <v>143500860</v>
      </c>
      <c r="B877">
        <v>1950</v>
      </c>
      <c r="C877">
        <v>202212</v>
      </c>
      <c r="D877">
        <v>1950</v>
      </c>
    </row>
    <row r="878" spans="1:4">
      <c r="A878">
        <v>143500865</v>
      </c>
      <c r="B878">
        <v>837</v>
      </c>
      <c r="C878">
        <v>202301</v>
      </c>
      <c r="D878">
        <v>1087</v>
      </c>
    </row>
    <row r="879" spans="1:4">
      <c r="A879">
        <v>143500866</v>
      </c>
      <c r="B879">
        <v>14627</v>
      </c>
      <c r="C879">
        <v>202301</v>
      </c>
      <c r="D879">
        <v>14627</v>
      </c>
    </row>
    <row r="880" spans="1:4">
      <c r="A880">
        <v>143500873</v>
      </c>
      <c r="B880">
        <v>15591</v>
      </c>
      <c r="C880">
        <v>202301</v>
      </c>
      <c r="D880">
        <v>15591</v>
      </c>
    </row>
    <row r="881" spans="1:4">
      <c r="A881">
        <v>143500874</v>
      </c>
      <c r="B881">
        <v>3091</v>
      </c>
      <c r="C881">
        <v>202301</v>
      </c>
      <c r="D881">
        <v>3091</v>
      </c>
    </row>
    <row r="882" spans="1:4">
      <c r="A882">
        <v>143500876</v>
      </c>
      <c r="B882">
        <v>2742</v>
      </c>
      <c r="C882">
        <v>202301</v>
      </c>
      <c r="D882">
        <v>2742</v>
      </c>
    </row>
    <row r="883" spans="1:4">
      <c r="A883">
        <v>143500892</v>
      </c>
      <c r="B883">
        <v>4357</v>
      </c>
      <c r="C883">
        <v>202212</v>
      </c>
      <c r="D883">
        <v>4357</v>
      </c>
    </row>
    <row r="884" spans="1:4">
      <c r="A884">
        <v>143500931</v>
      </c>
      <c r="B884">
        <v>8725</v>
      </c>
      <c r="C884">
        <v>202212</v>
      </c>
      <c r="D884">
        <v>8725</v>
      </c>
    </row>
    <row r="885" spans="1:4">
      <c r="A885">
        <v>143500936</v>
      </c>
      <c r="B885">
        <v>140</v>
      </c>
      <c r="C885">
        <v>202212</v>
      </c>
      <c r="D885">
        <v>140</v>
      </c>
    </row>
    <row r="886" spans="1:4">
      <c r="A886">
        <v>143500942</v>
      </c>
      <c r="B886">
        <v>42</v>
      </c>
      <c r="C886">
        <v>202212</v>
      </c>
      <c r="D886">
        <v>1601</v>
      </c>
    </row>
    <row r="887" spans="1:4">
      <c r="A887">
        <v>143500943</v>
      </c>
      <c r="B887">
        <v>1392</v>
      </c>
      <c r="C887">
        <v>202212</v>
      </c>
      <c r="D887">
        <v>1504</v>
      </c>
    </row>
    <row r="888" spans="1:4">
      <c r="A888">
        <v>143500947</v>
      </c>
      <c r="B888">
        <v>743</v>
      </c>
      <c r="C888">
        <v>202301</v>
      </c>
      <c r="D888">
        <v>743</v>
      </c>
    </row>
    <row r="889" spans="1:4">
      <c r="A889">
        <v>143500967</v>
      </c>
      <c r="B889">
        <v>14199</v>
      </c>
      <c r="C889">
        <v>202212</v>
      </c>
      <c r="D889">
        <v>14199</v>
      </c>
    </row>
    <row r="890" spans="1:4">
      <c r="A890">
        <v>143500969</v>
      </c>
      <c r="B890">
        <v>9467</v>
      </c>
      <c r="C890">
        <v>202212</v>
      </c>
      <c r="D890">
        <v>9467</v>
      </c>
    </row>
    <row r="891" spans="1:4">
      <c r="A891">
        <v>143500973</v>
      </c>
      <c r="B891">
        <v>1120</v>
      </c>
      <c r="C891">
        <v>202212</v>
      </c>
      <c r="D891">
        <v>1120</v>
      </c>
    </row>
    <row r="892" spans="1:4">
      <c r="A892">
        <v>143500984</v>
      </c>
      <c r="B892">
        <v>502</v>
      </c>
      <c r="C892">
        <v>202301</v>
      </c>
      <c r="D892">
        <v>2005</v>
      </c>
    </row>
    <row r="893" spans="1:4">
      <c r="A893">
        <v>143500987</v>
      </c>
      <c r="B893">
        <v>45936</v>
      </c>
      <c r="C893">
        <v>202301</v>
      </c>
      <c r="D893">
        <v>45936</v>
      </c>
    </row>
    <row r="894" spans="1:4">
      <c r="A894">
        <v>143500988</v>
      </c>
      <c r="B894">
        <v>20880</v>
      </c>
      <c r="C894">
        <v>202301</v>
      </c>
      <c r="D894">
        <v>20880</v>
      </c>
    </row>
    <row r="895" spans="1:4">
      <c r="A895">
        <v>143501007</v>
      </c>
      <c r="B895">
        <v>1969</v>
      </c>
      <c r="C895">
        <v>202212</v>
      </c>
      <c r="D895">
        <v>2275</v>
      </c>
    </row>
    <row r="896" spans="1:4">
      <c r="A896">
        <v>143501008</v>
      </c>
      <c r="B896">
        <v>1601</v>
      </c>
      <c r="C896">
        <v>202212</v>
      </c>
      <c r="D896">
        <v>1601</v>
      </c>
    </row>
    <row r="897" spans="1:4">
      <c r="A897">
        <v>143501009</v>
      </c>
      <c r="B897">
        <v>14294</v>
      </c>
      <c r="C897">
        <v>202212</v>
      </c>
      <c r="D897">
        <v>14294</v>
      </c>
    </row>
    <row r="898" spans="1:4">
      <c r="A898">
        <v>143501014</v>
      </c>
      <c r="B898">
        <v>140</v>
      </c>
      <c r="C898">
        <v>202301</v>
      </c>
      <c r="D898">
        <v>140</v>
      </c>
    </row>
    <row r="899" spans="1:4">
      <c r="A899">
        <v>143501015</v>
      </c>
      <c r="B899">
        <v>348</v>
      </c>
      <c r="C899">
        <v>202212</v>
      </c>
      <c r="D899">
        <v>696</v>
      </c>
    </row>
    <row r="900" spans="1:4">
      <c r="A900">
        <v>143501016</v>
      </c>
      <c r="B900">
        <v>669</v>
      </c>
      <c r="C900">
        <v>202212</v>
      </c>
      <c r="D900">
        <v>669</v>
      </c>
    </row>
    <row r="901" spans="1:4">
      <c r="A901">
        <v>143501018</v>
      </c>
      <c r="B901">
        <v>1951</v>
      </c>
      <c r="C901">
        <v>202301</v>
      </c>
      <c r="D901">
        <v>1951</v>
      </c>
    </row>
    <row r="902" spans="1:4">
      <c r="A902">
        <v>143511044</v>
      </c>
      <c r="B902">
        <v>464</v>
      </c>
      <c r="C902">
        <v>202212</v>
      </c>
      <c r="D902">
        <v>464</v>
      </c>
    </row>
    <row r="903" spans="1:4">
      <c r="A903">
        <v>143511045</v>
      </c>
      <c r="B903">
        <v>9652</v>
      </c>
      <c r="C903">
        <v>202212</v>
      </c>
      <c r="D903">
        <v>9652</v>
      </c>
    </row>
    <row r="904" spans="1:4">
      <c r="A904">
        <v>143511052</v>
      </c>
      <c r="B904">
        <v>1671</v>
      </c>
      <c r="C904">
        <v>202301</v>
      </c>
      <c r="D904">
        <v>1671</v>
      </c>
    </row>
    <row r="905" spans="1:4">
      <c r="A905">
        <v>143511064</v>
      </c>
      <c r="B905">
        <v>539</v>
      </c>
      <c r="C905">
        <v>202301</v>
      </c>
      <c r="D905">
        <v>2757</v>
      </c>
    </row>
    <row r="906" spans="1:4">
      <c r="A906">
        <v>143511068</v>
      </c>
      <c r="B906">
        <v>3157</v>
      </c>
      <c r="C906">
        <v>202301</v>
      </c>
      <c r="D906">
        <v>3157</v>
      </c>
    </row>
    <row r="907" spans="1:4">
      <c r="A907">
        <v>143511070</v>
      </c>
      <c r="B907">
        <v>669</v>
      </c>
      <c r="C907">
        <v>202301</v>
      </c>
      <c r="D907">
        <v>669</v>
      </c>
    </row>
    <row r="908" spans="1:4">
      <c r="A908">
        <v>143511082</v>
      </c>
      <c r="B908">
        <v>11100</v>
      </c>
      <c r="C908">
        <v>202301</v>
      </c>
      <c r="D908">
        <v>11100</v>
      </c>
    </row>
    <row r="909" spans="1:4">
      <c r="A909">
        <v>143511083</v>
      </c>
      <c r="B909">
        <v>9652</v>
      </c>
      <c r="C909">
        <v>202301</v>
      </c>
      <c r="D909">
        <v>9652</v>
      </c>
    </row>
    <row r="910" spans="1:4">
      <c r="A910">
        <v>143511097</v>
      </c>
      <c r="B910">
        <v>7341</v>
      </c>
      <c r="C910">
        <v>202301</v>
      </c>
      <c r="D910">
        <v>7457</v>
      </c>
    </row>
    <row r="911" spans="1:4">
      <c r="A911">
        <v>143511101</v>
      </c>
      <c r="B911">
        <v>1847</v>
      </c>
      <c r="C911">
        <v>202301</v>
      </c>
      <c r="D911">
        <v>1847</v>
      </c>
    </row>
    <row r="912" spans="1:4">
      <c r="A912">
        <v>143511102</v>
      </c>
      <c r="B912">
        <v>1485</v>
      </c>
      <c r="C912">
        <v>202301</v>
      </c>
      <c r="D912">
        <v>1560</v>
      </c>
    </row>
    <row r="913" spans="1:4">
      <c r="A913">
        <v>143511120</v>
      </c>
      <c r="B913">
        <v>7726</v>
      </c>
      <c r="C913">
        <v>202301</v>
      </c>
      <c r="D913">
        <v>7726</v>
      </c>
    </row>
    <row r="914" spans="1:4">
      <c r="A914">
        <v>143511121</v>
      </c>
      <c r="B914">
        <v>6683</v>
      </c>
      <c r="C914">
        <v>202301</v>
      </c>
      <c r="D914">
        <v>6683</v>
      </c>
    </row>
    <row r="915" spans="1:4">
      <c r="A915">
        <v>143511127</v>
      </c>
      <c r="B915">
        <v>1601</v>
      </c>
      <c r="C915">
        <v>202301</v>
      </c>
      <c r="D915">
        <v>1601</v>
      </c>
    </row>
    <row r="916" spans="1:4">
      <c r="A916">
        <v>143511129</v>
      </c>
      <c r="B916">
        <v>743</v>
      </c>
      <c r="C916">
        <v>202301</v>
      </c>
      <c r="D916">
        <v>743</v>
      </c>
    </row>
    <row r="917" spans="1:4">
      <c r="A917">
        <v>143511148</v>
      </c>
      <c r="B917">
        <v>8584</v>
      </c>
      <c r="C917">
        <v>202301</v>
      </c>
      <c r="D917">
        <v>8584</v>
      </c>
    </row>
    <row r="918" spans="1:4">
      <c r="A918">
        <v>143511149</v>
      </c>
      <c r="B918">
        <v>4269</v>
      </c>
      <c r="C918">
        <v>202301</v>
      </c>
      <c r="D918">
        <v>4269</v>
      </c>
    </row>
    <row r="919" spans="1:4">
      <c r="A919">
        <v>143511152</v>
      </c>
      <c r="B919">
        <v>836</v>
      </c>
      <c r="C919">
        <v>202301</v>
      </c>
      <c r="D919">
        <v>836</v>
      </c>
    </row>
    <row r="920" spans="1:4">
      <c r="A920">
        <v>143511168</v>
      </c>
      <c r="B920">
        <v>4058</v>
      </c>
      <c r="C920">
        <v>202301</v>
      </c>
      <c r="D920">
        <v>4058</v>
      </c>
    </row>
    <row r="921" spans="1:4">
      <c r="A921">
        <v>143511173</v>
      </c>
      <c r="B921">
        <v>45936</v>
      </c>
      <c r="C921">
        <v>202301</v>
      </c>
      <c r="D921">
        <v>45936</v>
      </c>
    </row>
    <row r="922" spans="1:4">
      <c r="A922">
        <v>143511174</v>
      </c>
      <c r="B922">
        <v>45936</v>
      </c>
      <c r="C922">
        <v>202301</v>
      </c>
      <c r="D922">
        <v>45936</v>
      </c>
    </row>
    <row r="923" spans="1:4">
      <c r="A923">
        <v>143511175</v>
      </c>
      <c r="B923">
        <v>18375</v>
      </c>
      <c r="C923">
        <v>202301</v>
      </c>
      <c r="D923">
        <v>18375</v>
      </c>
    </row>
    <row r="924" spans="1:4">
      <c r="A924">
        <v>143511188</v>
      </c>
      <c r="B924">
        <v>696</v>
      </c>
      <c r="C924">
        <v>202301</v>
      </c>
      <c r="D924">
        <v>696</v>
      </c>
    </row>
    <row r="925" spans="1:4">
      <c r="A925">
        <v>143511189</v>
      </c>
      <c r="B925">
        <v>7426</v>
      </c>
      <c r="C925">
        <v>202301</v>
      </c>
      <c r="D925">
        <v>7426</v>
      </c>
    </row>
    <row r="926" spans="1:4">
      <c r="A926">
        <v>143511194</v>
      </c>
      <c r="B926">
        <v>280</v>
      </c>
      <c r="C926">
        <v>202301</v>
      </c>
      <c r="D926">
        <v>280</v>
      </c>
    </row>
    <row r="927" spans="1:4">
      <c r="A927">
        <v>143511201</v>
      </c>
      <c r="B927">
        <v>13958</v>
      </c>
      <c r="C927">
        <v>202301</v>
      </c>
      <c r="D927">
        <v>13958</v>
      </c>
    </row>
    <row r="928" spans="1:4">
      <c r="A928">
        <v>143511209</v>
      </c>
      <c r="B928">
        <v>713</v>
      </c>
      <c r="C928">
        <v>202301</v>
      </c>
      <c r="D928">
        <v>2088</v>
      </c>
    </row>
    <row r="929" spans="1:4">
      <c r="A929">
        <v>143521222</v>
      </c>
      <c r="B929">
        <v>10697</v>
      </c>
      <c r="C929">
        <v>202301</v>
      </c>
      <c r="D929">
        <v>10697</v>
      </c>
    </row>
    <row r="930" spans="1:4">
      <c r="A930">
        <v>143521224</v>
      </c>
      <c r="B930">
        <v>25243</v>
      </c>
      <c r="C930">
        <v>202301</v>
      </c>
      <c r="D930">
        <v>25243</v>
      </c>
    </row>
    <row r="931" spans="1:4">
      <c r="A931">
        <v>143521231</v>
      </c>
      <c r="B931">
        <v>1601</v>
      </c>
      <c r="C931">
        <v>202301</v>
      </c>
      <c r="D931">
        <v>1601</v>
      </c>
    </row>
    <row r="932" spans="1:4">
      <c r="A932">
        <v>143521245</v>
      </c>
      <c r="B932">
        <v>2646</v>
      </c>
      <c r="C932">
        <v>202301</v>
      </c>
      <c r="D932">
        <v>2646</v>
      </c>
    </row>
    <row r="933" spans="1:4">
      <c r="A933">
        <v>143521272</v>
      </c>
      <c r="B933">
        <v>6844</v>
      </c>
      <c r="C933">
        <v>202301</v>
      </c>
      <c r="D933">
        <v>7192</v>
      </c>
    </row>
    <row r="934" spans="1:4">
      <c r="A934">
        <v>143521274</v>
      </c>
      <c r="B934">
        <v>11879</v>
      </c>
      <c r="C934">
        <v>202301</v>
      </c>
      <c r="D934">
        <v>11879</v>
      </c>
    </row>
    <row r="935" spans="1:4">
      <c r="A935">
        <v>143521285</v>
      </c>
      <c r="B935">
        <v>418</v>
      </c>
      <c r="C935">
        <v>202301</v>
      </c>
      <c r="D935">
        <v>1420</v>
      </c>
    </row>
    <row r="936" spans="1:4">
      <c r="A936">
        <v>143521289</v>
      </c>
      <c r="B936">
        <v>84</v>
      </c>
      <c r="C936">
        <v>202301</v>
      </c>
      <c r="D936">
        <v>84</v>
      </c>
    </row>
    <row r="937" spans="1:4">
      <c r="A937">
        <v>143521300</v>
      </c>
      <c r="B937">
        <v>8185</v>
      </c>
      <c r="C937">
        <v>202301</v>
      </c>
      <c r="D937">
        <v>8185</v>
      </c>
    </row>
    <row r="938" spans="1:4">
      <c r="A938">
        <v>143521302</v>
      </c>
      <c r="B938">
        <v>3341</v>
      </c>
      <c r="C938">
        <v>202301</v>
      </c>
      <c r="D938">
        <v>3341</v>
      </c>
    </row>
    <row r="939" spans="1:4">
      <c r="A939">
        <v>143521324</v>
      </c>
      <c r="B939">
        <v>5940</v>
      </c>
      <c r="C939">
        <v>202301</v>
      </c>
      <c r="D939">
        <v>5940</v>
      </c>
    </row>
    <row r="940" spans="1:4">
      <c r="A940">
        <v>143521325</v>
      </c>
      <c r="B940">
        <v>2414</v>
      </c>
      <c r="C940">
        <v>202301</v>
      </c>
      <c r="D940">
        <v>2414</v>
      </c>
    </row>
    <row r="941" spans="1:4">
      <c r="A941">
        <v>143521342</v>
      </c>
      <c r="B941">
        <v>698</v>
      </c>
      <c r="C941">
        <v>202301</v>
      </c>
      <c r="D941">
        <v>698</v>
      </c>
    </row>
    <row r="942" spans="1:4">
      <c r="A942">
        <v>143531365</v>
      </c>
      <c r="B942">
        <v>928</v>
      </c>
      <c r="C942">
        <v>202301</v>
      </c>
      <c r="D942">
        <v>928</v>
      </c>
    </row>
    <row r="943" spans="1:4">
      <c r="A943">
        <v>143531366</v>
      </c>
      <c r="B943">
        <v>5495</v>
      </c>
      <c r="C943">
        <v>202301</v>
      </c>
      <c r="D943">
        <v>5569</v>
      </c>
    </row>
    <row r="944" spans="1:4">
      <c r="A944">
        <v>143531382</v>
      </c>
      <c r="B944">
        <v>446</v>
      </c>
      <c r="C944">
        <v>202301</v>
      </c>
      <c r="D944">
        <v>557</v>
      </c>
    </row>
    <row r="945" spans="1:4">
      <c r="A945">
        <v>143531393</v>
      </c>
      <c r="B945">
        <v>251</v>
      </c>
      <c r="C945">
        <v>202301</v>
      </c>
      <c r="D945">
        <v>251</v>
      </c>
    </row>
    <row r="946" spans="1:4">
      <c r="A946">
        <v>143531423</v>
      </c>
      <c r="B946">
        <v>464</v>
      </c>
      <c r="C946">
        <v>202301</v>
      </c>
      <c r="D946">
        <v>464</v>
      </c>
    </row>
    <row r="947" spans="1:4">
      <c r="A947">
        <v>143531425</v>
      </c>
      <c r="B947">
        <v>13736</v>
      </c>
      <c r="C947">
        <v>202301</v>
      </c>
      <c r="D947">
        <v>13736</v>
      </c>
    </row>
    <row r="948" spans="1:4">
      <c r="A948">
        <v>143531430</v>
      </c>
      <c r="B948">
        <v>1253</v>
      </c>
      <c r="C948">
        <v>202301</v>
      </c>
      <c r="D948">
        <v>1504</v>
      </c>
    </row>
    <row r="949" spans="1:4">
      <c r="A949">
        <v>143531432</v>
      </c>
      <c r="B949">
        <v>464</v>
      </c>
      <c r="C949">
        <v>202301</v>
      </c>
      <c r="D949">
        <v>1392</v>
      </c>
    </row>
    <row r="950" spans="1:4">
      <c r="A950">
        <v>143531433</v>
      </c>
      <c r="B950">
        <v>1044</v>
      </c>
      <c r="C950">
        <v>202301</v>
      </c>
      <c r="D950">
        <v>2320</v>
      </c>
    </row>
    <row r="951" spans="1:4">
      <c r="A951">
        <v>143531435</v>
      </c>
      <c r="B951">
        <v>325</v>
      </c>
      <c r="C951">
        <v>202301</v>
      </c>
      <c r="D951">
        <v>325</v>
      </c>
    </row>
    <row r="952" spans="1:4">
      <c r="A952">
        <v>143531453</v>
      </c>
      <c r="B952">
        <v>8316</v>
      </c>
      <c r="C952">
        <v>202301</v>
      </c>
      <c r="D952">
        <v>8316</v>
      </c>
    </row>
    <row r="953" spans="1:4">
      <c r="A953">
        <v>143531454</v>
      </c>
      <c r="B953">
        <v>13179</v>
      </c>
      <c r="C953">
        <v>202301</v>
      </c>
      <c r="D953">
        <v>13179</v>
      </c>
    </row>
    <row r="954" spans="1:4">
      <c r="A954">
        <v>143531458</v>
      </c>
      <c r="B954">
        <v>1392</v>
      </c>
      <c r="C954">
        <v>202301</v>
      </c>
      <c r="D954">
        <v>1392</v>
      </c>
    </row>
    <row r="955" spans="1:4">
      <c r="A955">
        <v>143531460</v>
      </c>
      <c r="B955">
        <v>1601</v>
      </c>
      <c r="C955">
        <v>202301</v>
      </c>
      <c r="D955">
        <v>1601</v>
      </c>
    </row>
    <row r="956" spans="1:4">
      <c r="A956">
        <v>143541475</v>
      </c>
      <c r="B956">
        <v>6172</v>
      </c>
      <c r="C956">
        <v>202301</v>
      </c>
      <c r="D956">
        <v>6172</v>
      </c>
    </row>
    <row r="957" spans="1:4">
      <c r="A957">
        <v>143541477</v>
      </c>
      <c r="B957">
        <v>12584</v>
      </c>
      <c r="C957">
        <v>202301</v>
      </c>
      <c r="D957">
        <v>12621</v>
      </c>
    </row>
    <row r="958" spans="1:4">
      <c r="A958">
        <v>143541486</v>
      </c>
      <c r="B958">
        <v>2092</v>
      </c>
      <c r="C958">
        <v>202301</v>
      </c>
      <c r="D958">
        <v>2092</v>
      </c>
    </row>
    <row r="959" spans="1:4">
      <c r="A959">
        <v>143541505</v>
      </c>
      <c r="B959">
        <v>13759</v>
      </c>
      <c r="C959">
        <v>202301</v>
      </c>
      <c r="D959">
        <v>15012</v>
      </c>
    </row>
    <row r="960" spans="1:4">
      <c r="A960">
        <v>143541506</v>
      </c>
      <c r="B960">
        <v>5569</v>
      </c>
      <c r="C960">
        <v>202301</v>
      </c>
      <c r="D960">
        <v>5569</v>
      </c>
    </row>
    <row r="961" spans="1:4">
      <c r="A961">
        <v>143541532</v>
      </c>
      <c r="B961">
        <v>2506</v>
      </c>
      <c r="C961">
        <v>202301</v>
      </c>
      <c r="D961">
        <v>2506</v>
      </c>
    </row>
    <row r="962" spans="1:4">
      <c r="A962">
        <v>143541535</v>
      </c>
      <c r="B962">
        <v>4641</v>
      </c>
      <c r="C962">
        <v>202301</v>
      </c>
      <c r="D962">
        <v>4641</v>
      </c>
    </row>
    <row r="963" spans="1:4">
      <c r="A963">
        <v>143541537</v>
      </c>
      <c r="B963">
        <v>743</v>
      </c>
      <c r="C963">
        <v>202301</v>
      </c>
      <c r="D963">
        <v>4640</v>
      </c>
    </row>
    <row r="964" spans="1:4">
      <c r="A964">
        <v>143541542</v>
      </c>
      <c r="B964">
        <v>279</v>
      </c>
      <c r="C964">
        <v>202301</v>
      </c>
      <c r="D964">
        <v>279</v>
      </c>
    </row>
    <row r="965" spans="1:4">
      <c r="A965">
        <v>143541565</v>
      </c>
      <c r="B965">
        <v>836</v>
      </c>
      <c r="C965">
        <v>202301</v>
      </c>
      <c r="D965">
        <v>836</v>
      </c>
    </row>
    <row r="966" spans="1:4">
      <c r="A966">
        <v>143541566</v>
      </c>
      <c r="B966">
        <v>1746</v>
      </c>
      <c r="C966">
        <v>202301</v>
      </c>
      <c r="D966">
        <v>1746</v>
      </c>
    </row>
    <row r="967" spans="1:4">
      <c r="A967">
        <v>143541573</v>
      </c>
      <c r="B967">
        <v>5110</v>
      </c>
      <c r="C967">
        <v>202301</v>
      </c>
      <c r="D967">
        <v>5110</v>
      </c>
    </row>
    <row r="968" spans="1:4">
      <c r="A968">
        <v>143541581</v>
      </c>
      <c r="B968">
        <v>1253</v>
      </c>
      <c r="C968">
        <v>202301</v>
      </c>
      <c r="D968">
        <v>1276</v>
      </c>
    </row>
    <row r="969" spans="1:4">
      <c r="A969">
        <v>143541594</v>
      </c>
      <c r="B969">
        <v>335</v>
      </c>
      <c r="C969">
        <v>202301</v>
      </c>
      <c r="D969">
        <v>335</v>
      </c>
    </row>
    <row r="970" spans="1:4">
      <c r="A970">
        <v>143541595</v>
      </c>
      <c r="B970">
        <v>4640</v>
      </c>
      <c r="C970">
        <v>202301</v>
      </c>
      <c r="D970">
        <v>4640</v>
      </c>
    </row>
    <row r="971" spans="1:4">
      <c r="A971">
        <v>143541596</v>
      </c>
      <c r="B971">
        <v>9467</v>
      </c>
      <c r="C971">
        <v>202301</v>
      </c>
      <c r="D971">
        <v>9467</v>
      </c>
    </row>
    <row r="972" spans="1:4">
      <c r="A972">
        <v>143541616</v>
      </c>
      <c r="B972">
        <v>919</v>
      </c>
      <c r="C972">
        <v>202301</v>
      </c>
      <c r="D972">
        <v>919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F0AC-ECF4-AD4B-A4B1-7837509DD9A6}">
  <sheetPr>
    <tabColor rgb="FFD1C0FF"/>
  </sheetPr>
  <dimension ref="A3:G21"/>
  <sheetViews>
    <sheetView zoomScale="110" zoomScaleNormal="110" workbookViewId="0">
      <selection activeCell="B19" sqref="B19"/>
    </sheetView>
  </sheetViews>
  <sheetFormatPr baseColWidth="10" defaultRowHeight="13"/>
  <cols>
    <col min="1" max="1" width="38.5" customWidth="1"/>
    <col min="2" max="2" width="28.6640625" bestFit="1" customWidth="1"/>
    <col min="3" max="3" width="28.83203125" bestFit="1" customWidth="1"/>
    <col min="4" max="4" width="28.5" customWidth="1"/>
  </cols>
  <sheetData>
    <row r="3" spans="1:7">
      <c r="A3" s="18" t="s">
        <v>165</v>
      </c>
      <c r="B3" t="s">
        <v>180</v>
      </c>
      <c r="C3" t="s">
        <v>183</v>
      </c>
      <c r="D3" s="42" t="s">
        <v>181</v>
      </c>
    </row>
    <row r="4" spans="1:7">
      <c r="A4" s="19">
        <v>202205</v>
      </c>
      <c r="B4">
        <v>714122</v>
      </c>
      <c r="C4">
        <v>682402</v>
      </c>
      <c r="D4" s="41">
        <f>C4/B4</f>
        <v>0.95558181935299569</v>
      </c>
    </row>
    <row r="5" spans="1:7">
      <c r="A5" s="19">
        <v>202206</v>
      </c>
      <c r="B5">
        <v>652155</v>
      </c>
      <c r="C5">
        <v>642686</v>
      </c>
      <c r="D5" s="41">
        <f t="shared" ref="D5:D12" si="0">C5/B5</f>
        <v>0.98548044559958903</v>
      </c>
    </row>
    <row r="6" spans="1:7">
      <c r="A6" s="19">
        <v>202207</v>
      </c>
      <c r="B6">
        <v>383079</v>
      </c>
      <c r="C6">
        <v>373895</v>
      </c>
      <c r="D6" s="41">
        <f t="shared" si="0"/>
        <v>0.97602583279166966</v>
      </c>
    </row>
    <row r="7" spans="1:7">
      <c r="A7" s="19">
        <v>202208</v>
      </c>
      <c r="B7">
        <v>507081</v>
      </c>
      <c r="C7">
        <v>508099</v>
      </c>
      <c r="D7" s="41">
        <f t="shared" si="0"/>
        <v>1.0020075688105057</v>
      </c>
    </row>
    <row r="8" spans="1:7">
      <c r="A8" s="19">
        <v>202209</v>
      </c>
      <c r="B8">
        <v>694721</v>
      </c>
      <c r="C8">
        <v>685728</v>
      </c>
      <c r="D8" s="41">
        <f t="shared" si="0"/>
        <v>0.98705523512316451</v>
      </c>
      <c r="G8" s="43" t="s">
        <v>182</v>
      </c>
    </row>
    <row r="9" spans="1:7">
      <c r="A9" s="19">
        <v>202210</v>
      </c>
      <c r="B9">
        <v>943481</v>
      </c>
      <c r="C9">
        <v>898975</v>
      </c>
      <c r="D9" s="41">
        <f t="shared" si="0"/>
        <v>0.9528278788868032</v>
      </c>
    </row>
    <row r="10" spans="1:7">
      <c r="A10" s="19">
        <v>202211</v>
      </c>
      <c r="B10">
        <v>804250</v>
      </c>
      <c r="C10">
        <v>788633</v>
      </c>
      <c r="D10" s="41">
        <f t="shared" si="0"/>
        <v>0.98058190861050665</v>
      </c>
    </row>
    <row r="11" spans="1:7">
      <c r="A11" s="19">
        <v>202212</v>
      </c>
      <c r="B11">
        <v>849747</v>
      </c>
      <c r="C11">
        <v>819616</v>
      </c>
      <c r="D11" s="41">
        <f t="shared" si="0"/>
        <v>0.96454121050147867</v>
      </c>
    </row>
    <row r="12" spans="1:7">
      <c r="A12" s="19">
        <v>202301</v>
      </c>
      <c r="B12">
        <v>719153</v>
      </c>
      <c r="C12">
        <v>697323</v>
      </c>
      <c r="D12" s="51">
        <f t="shared" si="0"/>
        <v>0.96964484608977508</v>
      </c>
    </row>
    <row r="13" spans="1:7">
      <c r="A13" s="53" t="s">
        <v>166</v>
      </c>
      <c r="B13" s="52">
        <v>6267789</v>
      </c>
      <c r="C13" s="54">
        <v>6097357</v>
      </c>
      <c r="D13" s="50"/>
    </row>
    <row r="14" spans="1:7" ht="14">
      <c r="D14" s="49"/>
    </row>
    <row r="16" spans="1:7" ht="14" thickBot="1">
      <c r="D16" s="44"/>
    </row>
    <row r="17" spans="1:3" ht="17" thickBot="1">
      <c r="A17" s="47" t="s">
        <v>185</v>
      </c>
      <c r="B17" s="55">
        <f>(MAX(D4:D12)-MIN(D4:D12))*100</f>
        <v>4.9179689923702474</v>
      </c>
      <c r="C17" s="45"/>
    </row>
    <row r="18" spans="1:3" ht="14" thickBot="1">
      <c r="B18" s="48"/>
    </row>
    <row r="19" spans="1:3" ht="17" thickBot="1">
      <c r="A19" s="47" t="s">
        <v>187</v>
      </c>
      <c r="B19" s="58">
        <f>(D12-D4)/D4*100</f>
        <v>1.4716716509216525</v>
      </c>
      <c r="C19" s="44"/>
    </row>
    <row r="21" spans="1:3">
      <c r="A21" s="57"/>
      <c r="B21" s="56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13DF2C-C65C-DD49-8768-8F4E34F39F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Catégorie des articles</vt:lpstr>
      <vt:lpstr>Commandes (CDE)</vt:lpstr>
      <vt:lpstr>Réception</vt:lpstr>
      <vt:lpstr>Expéditions</vt:lpstr>
      <vt:lpstr>Etape-1</vt:lpstr>
      <vt:lpstr>Etape1-2</vt:lpstr>
      <vt:lpstr>Etape2</vt:lpstr>
      <vt:lpstr>Etape3</vt:lpstr>
      <vt:lpstr>Etape4-1</vt:lpstr>
      <vt:lpstr>Etape4_2</vt:lpstr>
      <vt:lpstr>Etape5-1</vt:lpstr>
      <vt:lpstr>Etape5-2</vt:lpstr>
      <vt:lpstr>Etape6-1</vt:lpstr>
      <vt:lpstr>Etape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manalekarroumi8@gmail.com</cp:lastModifiedBy>
  <dcterms:created xsi:type="dcterms:W3CDTF">2025-11-20T23:37:57Z</dcterms:created>
  <dcterms:modified xsi:type="dcterms:W3CDTF">2025-12-07T01:12:33Z</dcterms:modified>
</cp:coreProperties>
</file>